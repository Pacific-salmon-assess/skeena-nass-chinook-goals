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1.xml" ContentType="application/vnd.openxmlformats-officedocument.drawing+xml"/>
  <Override PartName="/xl/comments6.xml" ContentType="application/vnd.openxmlformats-officedocument.spreadsheetml.comments+xml"/>
  <Override PartName="/xl/threadedComments/threadedComment2.xml" ContentType="application/vnd.ms-excel.threaded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omments7.xml" ContentType="application/vnd.openxmlformats-officedocument.spreadsheetml.comments+xml"/>
  <Override PartName="/xl/comments8.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CONNORSB\Documents\Github\skeena-nass-chinook-goals\data\"/>
    </mc:Choice>
  </mc:AlternateContent>
  <xr:revisionPtr revIDLastSave="0" documentId="13_ncr:1_{E37BD8B1-A27F-46D9-9F00-4C5F62737F88}" xr6:coauthVersionLast="47" xr6:coauthVersionMax="47" xr10:uidLastSave="{00000000-0000-0000-0000-000000000000}"/>
  <bookViews>
    <workbookView xWindow="-28920" yWindow="-120" windowWidth="29040" windowHeight="15720" tabRatio="848" xr2:uid="{A444428C-0639-471E-BAC4-92EAFD216C46}"/>
  </bookViews>
  <sheets>
    <sheet name="For Brendan" sheetId="17" r:id="rId1"/>
    <sheet name="A6-Chin (NEW2)" sheetId="15" r:id="rId2"/>
    <sheet name="A6-Chin (NEW2+Khutz)" sheetId="1" r:id="rId3"/>
    <sheet name="A6a-Chin (Upper&amp;MidCU)" sheetId="13" r:id="rId4"/>
    <sheet name="A6b-Chin (LN&amp;CoastalCU)" sheetId="14" r:id="rId5"/>
    <sheet name="Data-Nisga'a Angling" sheetId="16" r:id="rId6"/>
    <sheet name="Data-PSC Chin (10Feb26)" sheetId="2" r:id="rId7"/>
    <sheet name="Bayesian Sum (10Feb26)" sheetId="3" r:id="rId8"/>
    <sheet name="Bayesian SD Ests (10Feb26rev)" sheetId="4" r:id="rId9"/>
    <sheet name="Data-Coastal-Chin-Esc (new)" sheetId="5" r:id="rId10"/>
    <sheet name="Data25_Table4 index method" sheetId="6" r:id="rId11"/>
    <sheet name="Data-Sport-Inriver (CH - new)" sheetId="7" r:id="rId12"/>
    <sheet name="Data-Chin-Nisga'a" sheetId="8" r:id="rId13"/>
    <sheet name="A3.1a_CF-Tidal (Chin)" sheetId="9" r:id="rId14"/>
    <sheet name="A3.1b CF-tidal-Harvests (Chin)" sheetId="10" r:id="rId15"/>
    <sheet name="A3.2a_CF-Tidal (Ch-rel)" sheetId="11" r:id="rId16"/>
    <sheet name="Data-CH_DNA 24" sheetId="12" r:id="rId17"/>
  </sheets>
  <externalReferences>
    <externalReference r:id="rId18"/>
    <externalReference r:id="rId19"/>
    <externalReference r:id="rId20"/>
  </externalReferences>
  <definedNames>
    <definedName name="\a" localSheetId="11">#REF!</definedName>
    <definedName name="\a">#REF!</definedName>
    <definedName name="\b" localSheetId="11">#REF!</definedName>
    <definedName name="\b">#REF!</definedName>
    <definedName name="\m" localSheetId="11">#REF!</definedName>
    <definedName name="\m">#REF!</definedName>
    <definedName name="\p" localSheetId="11">#REF!</definedName>
    <definedName name="\p">#REF!</definedName>
    <definedName name="\r" localSheetId="11">#REF!</definedName>
    <definedName name="\r">#REF!</definedName>
    <definedName name="____________________MES1" localSheetId="11">#REF!</definedName>
    <definedName name="____________________MES1">#REF!</definedName>
    <definedName name="____________________MES2" localSheetId="11">#REF!</definedName>
    <definedName name="____________________MES2">#REF!</definedName>
    <definedName name="____________________MES3" localSheetId="11">#REF!</definedName>
    <definedName name="____________________MES3">#REF!</definedName>
    <definedName name="___________________MES1" localSheetId="11">#REF!</definedName>
    <definedName name="___________________MES1">#REF!</definedName>
    <definedName name="___________________MES2" localSheetId="11">#REF!</definedName>
    <definedName name="___________________MES2">#REF!</definedName>
    <definedName name="___________________MES3" localSheetId="11">#REF!</definedName>
    <definedName name="___________________MES3">#REF!</definedName>
    <definedName name="__________________MES1" localSheetId="11">#REF!</definedName>
    <definedName name="__________________MES1">#REF!</definedName>
    <definedName name="__________________MES2" localSheetId="11">#REF!</definedName>
    <definedName name="__________________MES2">#REF!</definedName>
    <definedName name="__________________MES3" localSheetId="11">#REF!</definedName>
    <definedName name="__________________MES3">#REF!</definedName>
    <definedName name="_________________MES1" localSheetId="11">#REF!</definedName>
    <definedName name="_________________MES1">#REF!</definedName>
    <definedName name="_________________MES2" localSheetId="11">#REF!</definedName>
    <definedName name="_________________MES2">#REF!</definedName>
    <definedName name="_________________MES3" localSheetId="11">#REF!</definedName>
    <definedName name="_________________MES3">#REF!</definedName>
    <definedName name="________________MES1" localSheetId="11">#REF!</definedName>
    <definedName name="________________MES1">#REF!</definedName>
    <definedName name="________________MES2" localSheetId="11">#REF!</definedName>
    <definedName name="________________MES2">#REF!</definedName>
    <definedName name="________________MES3" localSheetId="11">#REF!</definedName>
    <definedName name="________________MES3">#REF!</definedName>
    <definedName name="_______________MES1" localSheetId="16">#REF!</definedName>
    <definedName name="_______________MES1" localSheetId="11">#REF!</definedName>
    <definedName name="_______________MES1">#REF!</definedName>
    <definedName name="_______________MES2" localSheetId="16">#REF!</definedName>
    <definedName name="_______________MES2" localSheetId="11">#REF!</definedName>
    <definedName name="_______________MES2">#REF!</definedName>
    <definedName name="_______________MES3" localSheetId="16">#REF!</definedName>
    <definedName name="_______________MES3" localSheetId="11">#REF!</definedName>
    <definedName name="_______________MES3">#REF!</definedName>
    <definedName name="______________MES1" localSheetId="11">#REF!</definedName>
    <definedName name="______________MES1">#REF!</definedName>
    <definedName name="______________MES2" localSheetId="11">#REF!</definedName>
    <definedName name="______________MES2">#REF!</definedName>
    <definedName name="______________MES3" localSheetId="11">#REF!</definedName>
    <definedName name="______________MES3">#REF!</definedName>
    <definedName name="_____________MES1" localSheetId="11">#REF!</definedName>
    <definedName name="_____________MES1">#REF!</definedName>
    <definedName name="_____________MES2" localSheetId="11">#REF!</definedName>
    <definedName name="_____________MES2">#REF!</definedName>
    <definedName name="_____________MES3" localSheetId="11">#REF!</definedName>
    <definedName name="_____________MES3">#REF!</definedName>
    <definedName name="____________MES1" localSheetId="11">#REF!</definedName>
    <definedName name="____________MES1">#REF!</definedName>
    <definedName name="____________MES2" localSheetId="11">#REF!</definedName>
    <definedName name="____________MES2">#REF!</definedName>
    <definedName name="____________MES3" localSheetId="11">#REF!</definedName>
    <definedName name="____________MES3">#REF!</definedName>
    <definedName name="___________MES1" localSheetId="11">#REF!</definedName>
    <definedName name="___________MES1">#REF!</definedName>
    <definedName name="___________MES2" localSheetId="11">#REF!</definedName>
    <definedName name="___________MES2">#REF!</definedName>
    <definedName name="___________MES3" localSheetId="11">#REF!</definedName>
    <definedName name="___________MES3">#REF!</definedName>
    <definedName name="__________MES1" localSheetId="11">#REF!</definedName>
    <definedName name="__________MES1">#REF!</definedName>
    <definedName name="__________MES2" localSheetId="11">#REF!</definedName>
    <definedName name="__________MES2">#REF!</definedName>
    <definedName name="__________MES3" localSheetId="11">#REF!</definedName>
    <definedName name="__________MES3">#REF!</definedName>
    <definedName name="_________MES1" localSheetId="11">#REF!</definedName>
    <definedName name="_________MES1">#REF!</definedName>
    <definedName name="_________MES2" localSheetId="11">#REF!</definedName>
    <definedName name="_________MES2">#REF!</definedName>
    <definedName name="_________MES3" localSheetId="11">#REF!</definedName>
    <definedName name="_________MES3">#REF!</definedName>
    <definedName name="________MES1" localSheetId="11">#REF!</definedName>
    <definedName name="________MES1">#REF!</definedName>
    <definedName name="________MES2" localSheetId="11">#REF!</definedName>
    <definedName name="________MES2">#REF!</definedName>
    <definedName name="________MES3" localSheetId="11">#REF!</definedName>
    <definedName name="________MES3">#REF!</definedName>
    <definedName name="_______MES1" localSheetId="11">#REF!</definedName>
    <definedName name="_______MES1">#REF!</definedName>
    <definedName name="_______MES2" localSheetId="11">#REF!</definedName>
    <definedName name="_______MES2">#REF!</definedName>
    <definedName name="_______MES3" localSheetId="11">#REF!</definedName>
    <definedName name="_______MES3">#REF!</definedName>
    <definedName name="______MES1" localSheetId="11">#REF!</definedName>
    <definedName name="______MES1">#REF!</definedName>
    <definedName name="______MES2" localSheetId="11">#REF!</definedName>
    <definedName name="______MES2">#REF!</definedName>
    <definedName name="______MES3" localSheetId="11">#REF!</definedName>
    <definedName name="______MES3">#REF!</definedName>
    <definedName name="_____MES1" localSheetId="11">#REF!</definedName>
    <definedName name="_____MES1">#REF!</definedName>
    <definedName name="_____MES2" localSheetId="11">#REF!</definedName>
    <definedName name="_____MES2">#REF!</definedName>
    <definedName name="_____MES3" localSheetId="11">#REF!</definedName>
    <definedName name="_____MES3">#REF!</definedName>
    <definedName name="____MES1" localSheetId="11">#REF!</definedName>
    <definedName name="____MES1">#REF!</definedName>
    <definedName name="____MES2" localSheetId="11">#REF!</definedName>
    <definedName name="____MES2">#REF!</definedName>
    <definedName name="____MES3" localSheetId="11">#REF!</definedName>
    <definedName name="____MES3">#REF!</definedName>
    <definedName name="___MES1" localSheetId="11">#REF!</definedName>
    <definedName name="___MES1">#REF!</definedName>
    <definedName name="___MES2" localSheetId="11">#REF!</definedName>
    <definedName name="___MES2">#REF!</definedName>
    <definedName name="___MES3" localSheetId="11">#REF!</definedName>
    <definedName name="___MES3">#REF!</definedName>
    <definedName name="__123Graph_A" localSheetId="6" hidden="1">#REF!</definedName>
    <definedName name="__123Graph_A" hidden="1">#REF!</definedName>
    <definedName name="__123Graph_AHSTROL2" localSheetId="6" hidden="1">#REF!</definedName>
    <definedName name="__123Graph_AHSTROL2" hidden="1">#REF!</definedName>
    <definedName name="__123Graph_AHSTROL3" localSheetId="6" hidden="1">#REF!</definedName>
    <definedName name="__123Graph_AHSTROL3" hidden="1">#REF!</definedName>
    <definedName name="__123Graph_AHSTROLL" localSheetId="6" hidden="1">#REF!</definedName>
    <definedName name="__123Graph_AHSTROLL" hidden="1">#REF!</definedName>
    <definedName name="__123Graph_ANTROLL_HR" localSheetId="6" hidden="1">#REF!</definedName>
    <definedName name="__123Graph_ANTROLL_HR" hidden="1">#REF!</definedName>
    <definedName name="__123Graph_B" localSheetId="6" hidden="1">#REF!</definedName>
    <definedName name="__123Graph_B" hidden="1">#REF!</definedName>
    <definedName name="__123Graph_BHSTROL2" localSheetId="6" hidden="1">#REF!</definedName>
    <definedName name="__123Graph_BHSTROL2" hidden="1">#REF!</definedName>
    <definedName name="__123Graph_BHSTROL3" localSheetId="6" hidden="1">#REF!</definedName>
    <definedName name="__123Graph_BHSTROL3" hidden="1">#REF!</definedName>
    <definedName name="__123Graph_BHSTROLL" localSheetId="6" hidden="1">#REF!</definedName>
    <definedName name="__123Graph_BHSTROLL" hidden="1">#REF!</definedName>
    <definedName name="__123Graph_BNTROLL_HR" localSheetId="6" hidden="1">#REF!</definedName>
    <definedName name="__123Graph_BNTROLL_HR" hidden="1">#REF!</definedName>
    <definedName name="__123Graph_C" localSheetId="6" hidden="1">#REF!</definedName>
    <definedName name="__123Graph_C" hidden="1">#REF!</definedName>
    <definedName name="__123Graph_CHSTROL2" localSheetId="6" hidden="1">#REF!</definedName>
    <definedName name="__123Graph_CHSTROL2" hidden="1">#REF!</definedName>
    <definedName name="__123Graph_CHSTROL3" localSheetId="6" hidden="1">#REF!</definedName>
    <definedName name="__123Graph_CHSTROL3" hidden="1">#REF!</definedName>
    <definedName name="__123Graph_CHSTROLL" localSheetId="6" hidden="1">#REF!</definedName>
    <definedName name="__123Graph_CHSTROLL" hidden="1">#REF!</definedName>
    <definedName name="__123Graph_CNTROLL_HR" localSheetId="6" hidden="1">#REF!</definedName>
    <definedName name="__123Graph_CNTROLL_HR" hidden="1">#REF!</definedName>
    <definedName name="__123Graph_D" localSheetId="6" hidden="1">#REF!</definedName>
    <definedName name="__123Graph_D" localSheetId="11" hidden="1">#REF!</definedName>
    <definedName name="__123Graph_D" hidden="1">#REF!</definedName>
    <definedName name="__123Graph_DHSTROL2" localSheetId="6" hidden="1">#REF!</definedName>
    <definedName name="__123Graph_DHSTROL2" localSheetId="11" hidden="1">#REF!</definedName>
    <definedName name="__123Graph_DHSTROL2" hidden="1">#REF!</definedName>
    <definedName name="__123Graph_DHSTROL3" localSheetId="6" hidden="1">#REF!</definedName>
    <definedName name="__123Graph_DHSTROL3" hidden="1">#REF!</definedName>
    <definedName name="__123Graph_DHSTROLL" localSheetId="6" hidden="1">#REF!</definedName>
    <definedName name="__123Graph_DHSTROLL" hidden="1">#REF!</definedName>
    <definedName name="__123Graph_DNTROLL_HR" localSheetId="6" hidden="1">#REF!</definedName>
    <definedName name="__123Graph_DNTROLL_HR" hidden="1">#REF!</definedName>
    <definedName name="__123Graph_X" localSheetId="6" hidden="1">#REF!</definedName>
    <definedName name="__123Graph_X" hidden="1">#REF!</definedName>
    <definedName name="__123Graph_XHSTROL2" localSheetId="6" hidden="1">#REF!</definedName>
    <definedName name="__123Graph_XHSTROL2" hidden="1">#REF!</definedName>
    <definedName name="__123Graph_XHSTROL3" localSheetId="6" hidden="1">#REF!</definedName>
    <definedName name="__123Graph_XHSTROL3" hidden="1">#REF!</definedName>
    <definedName name="__123Graph_XHSTROLL" localSheetId="6" hidden="1">#REF!</definedName>
    <definedName name="__123Graph_XHSTROLL" hidden="1">#REF!</definedName>
    <definedName name="__123Graph_XNTROLL_HR" localSheetId="6" hidden="1">#REF!</definedName>
    <definedName name="__123Graph_XNTROLL_HR" hidden="1">#REF!</definedName>
    <definedName name="__MES1" localSheetId="16">#REF!</definedName>
    <definedName name="__MES1" localSheetId="11">#REF!</definedName>
    <definedName name="__MES1">#REF!</definedName>
    <definedName name="__MES2" localSheetId="11">#REF!</definedName>
    <definedName name="__MES2">#REF!</definedName>
    <definedName name="__MES3" localSheetId="11">#REF!</definedName>
    <definedName name="__MES3">#REF!</definedName>
    <definedName name="_1" localSheetId="11">#REF!</definedName>
    <definedName name="_1">#REF!</definedName>
    <definedName name="_2" localSheetId="11">#REF!</definedName>
    <definedName name="_2">#REF!</definedName>
    <definedName name="_3" localSheetId="11">#REF!</definedName>
    <definedName name="_3">#REF!</definedName>
    <definedName name="_4" localSheetId="11">#REF!</definedName>
    <definedName name="_4">#REF!</definedName>
    <definedName name="_5" localSheetId="11">#REF!</definedName>
    <definedName name="_5">#REF!</definedName>
    <definedName name="_6" localSheetId="11">#REF!</definedName>
    <definedName name="_6">#REF!</definedName>
    <definedName name="_Fill" localSheetId="11" hidden="1">#REF!</definedName>
    <definedName name="_Fill" hidden="1">#REF!</definedName>
    <definedName name="_Key1" localSheetId="6" hidden="1">#REF!</definedName>
    <definedName name="_Key1" localSheetId="11" hidden="1">#REF!</definedName>
    <definedName name="_Key1" hidden="1">#REF!</definedName>
    <definedName name="_Key2" localSheetId="6" hidden="1">#REF!</definedName>
    <definedName name="_Key2" localSheetId="11" hidden="1">#REF!</definedName>
    <definedName name="_Key2" hidden="1">#REF!</definedName>
    <definedName name="_MES1" localSheetId="3">#REF!</definedName>
    <definedName name="_MES1" localSheetId="4">#REF!</definedName>
    <definedName name="_MES1" localSheetId="1">#REF!</definedName>
    <definedName name="_MES1" localSheetId="2">#REF!</definedName>
    <definedName name="_MES1" localSheetId="16">#REF!</definedName>
    <definedName name="_MES1" localSheetId="11">#REF!</definedName>
    <definedName name="_MES1">#REF!</definedName>
    <definedName name="_MES2" localSheetId="3">#REF!</definedName>
    <definedName name="_MES2" localSheetId="4">#REF!</definedName>
    <definedName name="_MES2" localSheetId="1">#REF!</definedName>
    <definedName name="_MES2" localSheetId="2">#REF!</definedName>
    <definedName name="_MES2" localSheetId="11">#REF!</definedName>
    <definedName name="_MES2">#REF!</definedName>
    <definedName name="_MES3" localSheetId="11">#REF!</definedName>
    <definedName name="_MES3">#REF!</definedName>
    <definedName name="_Order1" hidden="1">255</definedName>
    <definedName name="_Order2" hidden="1">255</definedName>
    <definedName name="_Parse_Out" localSheetId="6" hidden="1">#REF!</definedName>
    <definedName name="_Parse_Out" hidden="1">#REF!</definedName>
    <definedName name="_Ref271185703" localSheetId="6">'Data-PSC Chin (10Feb26)'!$A$1</definedName>
    <definedName name="_Regression_Out" localSheetId="11" hidden="1">#REF!</definedName>
    <definedName name="_Regression_Out" hidden="1">#REF!</definedName>
    <definedName name="_Regression_X" localSheetId="11" hidden="1">#REF!</definedName>
    <definedName name="_Regression_X" hidden="1">#REF!</definedName>
    <definedName name="_Regression_Y" localSheetId="11" hidden="1">#REF!</definedName>
    <definedName name="_Regression_Y" hidden="1">#REF!</definedName>
    <definedName name="_Sort" localSheetId="6" hidden="1">#REF!</definedName>
    <definedName name="_Sort" localSheetId="11" hidden="1">#REF!</definedName>
    <definedName name="_Sort" hidden="1">#REF!</definedName>
    <definedName name="a" localSheetId="3">#REF!</definedName>
    <definedName name="a" localSheetId="4">#REF!</definedName>
    <definedName name="a" localSheetId="1">#REF!</definedName>
    <definedName name="a" localSheetId="2">#REF!</definedName>
    <definedName name="a" localSheetId="16">#REF!</definedName>
    <definedName name="a" localSheetId="11">#REF!</definedName>
    <definedName name="a">#REF!</definedName>
    <definedName name="aa" localSheetId="3">#REF!</definedName>
    <definedName name="aa" localSheetId="4">#REF!</definedName>
    <definedName name="aa" localSheetId="1">#REF!</definedName>
    <definedName name="aa" localSheetId="2">#REF!</definedName>
    <definedName name="aa" localSheetId="11">#REF!</definedName>
    <definedName name="aa">#REF!</definedName>
    <definedName name="aaa" localSheetId="3">#REF!</definedName>
    <definedName name="aaa" localSheetId="4">#REF!</definedName>
    <definedName name="aaa" localSheetId="1">#REF!</definedName>
    <definedName name="aaa" localSheetId="2">#REF!</definedName>
    <definedName name="aaa" localSheetId="11">#REF!</definedName>
    <definedName name="aaa">#REF!</definedName>
    <definedName name="aaaa" localSheetId="11">#REF!</definedName>
    <definedName name="aaaa">#REF!</definedName>
    <definedName name="ALLLENGTHS" localSheetId="6">#REF!</definedName>
    <definedName name="ALLLENGTHS" localSheetId="11">#REF!</definedName>
    <definedName name="ALLLENGTHS">#REF!</definedName>
    <definedName name="APR" localSheetId="3">#REF!</definedName>
    <definedName name="APR" localSheetId="4">#REF!</definedName>
    <definedName name="APR" localSheetId="1">#REF!</definedName>
    <definedName name="APR" localSheetId="2">#REF!</definedName>
    <definedName name="APR" localSheetId="16">#REF!</definedName>
    <definedName name="APR" localSheetId="11">#REF!</definedName>
    <definedName name="APR">#REF!</definedName>
    <definedName name="AUG" localSheetId="3">#REF!</definedName>
    <definedName name="AUG" localSheetId="4">#REF!</definedName>
    <definedName name="AUG" localSheetId="1">#REF!</definedName>
    <definedName name="AUG" localSheetId="2">#REF!</definedName>
    <definedName name="AUG" localSheetId="11">#REF!</definedName>
    <definedName name="AUG">#REF!</definedName>
    <definedName name="AUKE" localSheetId="11">#REF!</definedName>
    <definedName name="AUKE">#REF!</definedName>
    <definedName name="AVG" localSheetId="11">#REF!</definedName>
    <definedName name="AVG">#REF!</definedName>
    <definedName name="BERN" localSheetId="11">#REF!</definedName>
    <definedName name="BERN">#REF!</definedName>
    <definedName name="Bin" localSheetId="11">#REF!</definedName>
    <definedName name="Bin">#REF!</definedName>
    <definedName name="binno" localSheetId="6">#REF!</definedName>
    <definedName name="binno">#REF!</definedName>
    <definedName name="BOATS" localSheetId="11">#REF!</definedName>
    <definedName name="BOATS">#REF!</definedName>
    <definedName name="CAPLENGTHS" localSheetId="6">#REF!</definedName>
    <definedName name="CAPLENGTHS" localSheetId="11">#REF!</definedName>
    <definedName name="CAPLENGTHS">#REF!</definedName>
    <definedName name="Capture" localSheetId="16">#REF!</definedName>
    <definedName name="Capture" localSheetId="11">#REF!</definedName>
    <definedName name="Capture">#REF!</definedName>
    <definedName name="CBWorkbookPriority" hidden="1">-1753701523</definedName>
    <definedName name="ChartDataLowerRightX" localSheetId="11">#REF!</definedName>
    <definedName name="ChartDataLowerRightX">#REF!</definedName>
    <definedName name="ChartDataLowerRightY" localSheetId="11">#REF!</definedName>
    <definedName name="ChartDataLowerRightY">#REF!</definedName>
    <definedName name="ChartDataUpperLeftX" localSheetId="11">#REF!</definedName>
    <definedName name="ChartDataUpperLeftX">#REF!</definedName>
    <definedName name="ChartDataUpperLeftY" localSheetId="11">#REF!</definedName>
    <definedName name="ChartDataUpperLeftY">#REF!</definedName>
    <definedName name="CHINOOK" localSheetId="11">#REF!</definedName>
    <definedName name="CHINOOK">#REF!</definedName>
    <definedName name="CHINOOK_CATCHES_BY_WEEK_IN_BELLA_COOLA_RIVER_INDIAN_FOOD_FISHERY" localSheetId="3">#REF!</definedName>
    <definedName name="CHINOOK_CATCHES_BY_WEEK_IN_BELLA_COOLA_RIVER_INDIAN_FOOD_FISHERY" localSheetId="4">#REF!</definedName>
    <definedName name="CHINOOK_CATCHES_BY_WEEK_IN_BELLA_COOLA_RIVER_INDIAN_FOOD_FISHERY" localSheetId="1">#REF!</definedName>
    <definedName name="CHINOOK_CATCHES_BY_WEEK_IN_BELLA_COOLA_RIVER_INDIAN_FOOD_FISHERY" localSheetId="2">#REF!</definedName>
    <definedName name="CHINOOK_CATCHES_BY_WEEK_IN_BELLA_COOLA_RIVER_INDIAN_FOOD_FISHERY" localSheetId="11">#REF!</definedName>
    <definedName name="CHINOOK_CATCHES_BY_WEEK_IN_BELLA_COOLA_RIVER_INDIAN_FOOD_FISHERY">#REF!</definedName>
    <definedName name="CHUM" localSheetId="11">#REF!</definedName>
    <definedName name="CHUM">#REF!</definedName>
    <definedName name="COHO" localSheetId="11">#REF!</definedName>
    <definedName name="COHO">#REF!</definedName>
    <definedName name="CPPExp">#REF!</definedName>
    <definedName name="CPPMax">#REF!</definedName>
    <definedName name="CPPRate">#REF!</definedName>
    <definedName name="Cum_Capture" localSheetId="11">#REF!</definedName>
    <definedName name="Cum_Capture">#REF!</definedName>
    <definedName name="Cum_Mark" localSheetId="11">#REF!</definedName>
    <definedName name="Cum_Mark">#REF!</definedName>
    <definedName name="Cum_Recapture" localSheetId="11">#REF!</definedName>
    <definedName name="Cum_Recapture">#REF!</definedName>
    <definedName name="Cum_Sample_1" localSheetId="11">#REF!</definedName>
    <definedName name="Cum_Sample_1">#REF!</definedName>
    <definedName name="Cum_Sample_2" localSheetId="11">#REF!</definedName>
    <definedName name="Cum_Sample_2">#REF!</definedName>
    <definedName name="d" localSheetId="3">#REF!</definedName>
    <definedName name="d" localSheetId="4">#REF!</definedName>
    <definedName name="d" localSheetId="1">#REF!</definedName>
    <definedName name="d" localSheetId="2">#REF!</definedName>
    <definedName name="d" localSheetId="11">#REF!</definedName>
    <definedName name="d">#REF!</definedName>
    <definedName name="Data" localSheetId="6">#REF!</definedName>
    <definedName name="Data" localSheetId="11">#REF!</definedName>
    <definedName name="Data">#REF!</definedName>
    <definedName name="Data1" localSheetId="6">#REF!</definedName>
    <definedName name="Data1" localSheetId="11">#REF!</definedName>
    <definedName name="Data1">#REF!</definedName>
    <definedName name="Data2" localSheetId="16">#REF!</definedName>
    <definedName name="Data2">#REF!</definedName>
    <definedName name="dataALL" localSheetId="6">#REF!</definedName>
    <definedName name="dataALL" localSheetId="11">#REF!</definedName>
    <definedName name="dataALL">#REF!</definedName>
    <definedName name="_xlnm.Database" localSheetId="3">#REF!</definedName>
    <definedName name="_xlnm.Database" localSheetId="4">#REF!</definedName>
    <definedName name="_xlnm.Database" localSheetId="1">#REF!</definedName>
    <definedName name="_xlnm.Database" localSheetId="2">#REF!</definedName>
    <definedName name="_xlnm.Database" localSheetId="6">#REF!</definedName>
    <definedName name="_xlnm.Database" localSheetId="11">#REF!</definedName>
    <definedName name="_xlnm.Database">#REF!</definedName>
    <definedName name="DatabaseName" localSheetId="3">#REF!</definedName>
    <definedName name="DatabaseName" localSheetId="4">#REF!</definedName>
    <definedName name="DatabaseName" localSheetId="1">#REF!</definedName>
    <definedName name="DatabaseName" localSheetId="2">#REF!</definedName>
    <definedName name="DatabaseName" localSheetId="16">#REF!</definedName>
    <definedName name="DatabaseName" localSheetId="11">#REF!</definedName>
    <definedName name="DatabaseName">#REF!</definedName>
    <definedName name="DataList" localSheetId="16">#REF!</definedName>
    <definedName name="DataList" localSheetId="11">#REF!</definedName>
    <definedName name="DataList">#REF!</definedName>
    <definedName name="DataLowerRight" localSheetId="11">#REF!</definedName>
    <definedName name="DataLowerRight">#REF!</definedName>
    <definedName name="dataSample_1" localSheetId="6">#REF!</definedName>
    <definedName name="dataSample_1" localSheetId="11">#REF!</definedName>
    <definedName name="dataSample_1">#REF!</definedName>
    <definedName name="dataSample_2" localSheetId="6">#REF!</definedName>
    <definedName name="dataSample_2" localSheetId="11">#REF!</definedName>
    <definedName name="dataSample_2">#REF!</definedName>
    <definedName name="DataUpperLeft" localSheetId="11">#REF!</definedName>
    <definedName name="DataUpperLeft">#REF!</definedName>
    <definedName name="Date_wk" localSheetId="6">#REF!</definedName>
    <definedName name="Date_wk" localSheetId="11">#REF!</definedName>
    <definedName name="Date_wk">#REF!</definedName>
    <definedName name="Date_wk1" localSheetId="11">#REF!</definedName>
    <definedName name="Date_wk1">#REF!</definedName>
    <definedName name="DISTRICT" localSheetId="11">#REF!</definedName>
    <definedName name="DISTRICT">#REF!</definedName>
    <definedName name="EHBExp">#REF!</definedName>
    <definedName name="EIExp">#REF!</definedName>
    <definedName name="EIMax">#REF!</definedName>
    <definedName name="EIRate">#REF!</definedName>
    <definedName name="ElectExp">#REF!</definedName>
    <definedName name="ElectRate">#REF!</definedName>
    <definedName name="ExpType">#REF!</definedName>
    <definedName name="f" localSheetId="6">#REF!</definedName>
    <definedName name="f" localSheetId="11">#REF!</definedName>
    <definedName name="f">#REF!</definedName>
    <definedName name="F2BDAY">#REF!</definedName>
    <definedName name="F2CHIN">#REF!</definedName>
    <definedName name="F2CHUM">#REF!</definedName>
    <definedName name="F2COHO">#REF!</definedName>
    <definedName name="F2PINK">#REF!</definedName>
    <definedName name="F2SOCK">#REF!</definedName>
    <definedName name="F36A">#REF!</definedName>
    <definedName name="F36C">#REF!</definedName>
    <definedName name="F36S">#REF!</definedName>
    <definedName name="F36U">#REF!</definedName>
    <definedName name="F38A">#REF!</definedName>
    <definedName name="F38C">#REF!</definedName>
    <definedName name="F38S">#REF!</definedName>
    <definedName name="F38U">#REF!</definedName>
    <definedName name="F3CANCAT">#REF!</definedName>
    <definedName name="F3CANESC">#REF!</definedName>
    <definedName name="F4CHIN">#REF!</definedName>
    <definedName name="F4CHUM">#REF!</definedName>
    <definedName name="F4COHO">#REF!</definedName>
    <definedName name="F4PINK">#REF!</definedName>
    <definedName name="F5AI">#REF!</definedName>
    <definedName name="F5BI">#REF!</definedName>
    <definedName name="F5LTI">#REF!</definedName>
    <definedName name="F5LTW">#REF!</definedName>
    <definedName name="F5STII">#REF!</definedName>
    <definedName name="F5TI">#REF!</definedName>
    <definedName name="FISHERY">#N/A</definedName>
    <definedName name="FisherybyYear_SO" localSheetId="3">#REF!</definedName>
    <definedName name="FisherybyYear_SO" localSheetId="4">#REF!</definedName>
    <definedName name="FisherybyYear_SO" localSheetId="1">#REF!</definedName>
    <definedName name="FisherybyYear_SO" localSheetId="2">#REF!</definedName>
    <definedName name="FisherybyYear_SO" localSheetId="16">#REF!</definedName>
    <definedName name="FisherybyYear_SO" localSheetId="11">#REF!</definedName>
    <definedName name="FisherybyYear_SO">#REF!</definedName>
    <definedName name="FORD" localSheetId="11">#REF!</definedName>
    <definedName name="FORD">#REF!</definedName>
    <definedName name="garb" localSheetId="3">#REF!</definedName>
    <definedName name="garb" localSheetId="4">#REF!</definedName>
    <definedName name="garb" localSheetId="1">#REF!</definedName>
    <definedName name="garb" localSheetId="2">#REF!</definedName>
    <definedName name="garb" localSheetId="11">#REF!</definedName>
    <definedName name="garb">#REF!</definedName>
    <definedName name="GEAR" localSheetId="11">#REF!</definedName>
    <definedName name="GEAR">#REF!</definedName>
    <definedName name="GEAR_CODE" localSheetId="11">#REF!</definedName>
    <definedName name="GEAR_CODE">#REF!</definedName>
    <definedName name="GroupByClause" localSheetId="11">#REF!</definedName>
    <definedName name="GroupByClause">#REF!</definedName>
    <definedName name="HARVEST" localSheetId="11">#REF!</definedName>
    <definedName name="HARVEST">#REF!</definedName>
    <definedName name="HARVEST_CODE" localSheetId="11">#REF!</definedName>
    <definedName name="HARVEST_CODE">#REF!</definedName>
    <definedName name="Header" localSheetId="11">#REF!</definedName>
    <definedName name="Header">#REF!</definedName>
    <definedName name="hhh" localSheetId="16">#REF!</definedName>
    <definedName name="hhh">#REF!</definedName>
    <definedName name="HOURS" localSheetId="11">#REF!</definedName>
    <definedName name="HOURS">#REF!</definedName>
    <definedName name="HUGH" localSheetId="11">#REF!</definedName>
    <definedName name="HUGH">#REF!</definedName>
    <definedName name="INDEX" localSheetId="11">#REF!</definedName>
    <definedName name="INDEX">#REF!</definedName>
    <definedName name="INT" localSheetId="3">#REF!</definedName>
    <definedName name="INT" localSheetId="4">#REF!</definedName>
    <definedName name="INT" localSheetId="1">#REF!</definedName>
    <definedName name="INT" localSheetId="2">#REF!</definedName>
    <definedName name="INT" localSheetId="11">#REF!</definedName>
    <definedName name="INT">#REF!</definedName>
    <definedName name="INT_CSV" localSheetId="11">#REF!</definedName>
    <definedName name="INT_CSV">#REF!</definedName>
    <definedName name="Int_out1" localSheetId="11">#REF!</definedName>
    <definedName name="Int_out1">#REF!</definedName>
    <definedName name="JACK" localSheetId="11">#REF!</definedName>
    <definedName name="JACK">#REF!</definedName>
    <definedName name="JUL" localSheetId="11">#REF!</definedName>
    <definedName name="JUL">#REF!</definedName>
    <definedName name="JUN" localSheetId="11">#REF!</definedName>
    <definedName name="JUN">#REF!</definedName>
    <definedName name="junk" localSheetId="11">#REF!</definedName>
    <definedName name="junk">#REF!</definedName>
    <definedName name="junk2" localSheetId="11">#REF!</definedName>
    <definedName name="junk2">#REF!</definedName>
    <definedName name="junk3" localSheetId="11">#REF!</definedName>
    <definedName name="junk3">#REF!</definedName>
    <definedName name="junk4" localSheetId="11">#REF!</definedName>
    <definedName name="junk4">#REF!</definedName>
    <definedName name="KB_DMP_PC_20_0074" localSheetId="16">#REF!</definedName>
    <definedName name="KB_DMP_PC_20_0074">#REF!</definedName>
    <definedName name="LANDINGS" localSheetId="11">#REF!</definedName>
    <definedName name="LANDINGS">#REF!</definedName>
    <definedName name="lastSunday" localSheetId="11">#REF!</definedName>
    <definedName name="lastSunday">#REF!</definedName>
    <definedName name="M">#N/A</definedName>
    <definedName name="Mark" localSheetId="16">#REF!</definedName>
    <definedName name="Mark" localSheetId="11">#REF!</definedName>
    <definedName name="Mark">#REF!</definedName>
    <definedName name="MARKLENGTHS" localSheetId="6">#REF!</definedName>
    <definedName name="MARKLENGTHS" localSheetId="11">#REF!</definedName>
    <definedName name="MARKLENGTHS">#REF!</definedName>
    <definedName name="MAY" localSheetId="3">#REF!</definedName>
    <definedName name="MAY" localSheetId="4">#REF!</definedName>
    <definedName name="MAY" localSheetId="1">#REF!</definedName>
    <definedName name="MAY" localSheetId="2">#REF!</definedName>
    <definedName name="MAY" localSheetId="16">#REF!</definedName>
    <definedName name="MAY" localSheetId="11">#REF!</definedName>
    <definedName name="MAY">#REF!</definedName>
    <definedName name="MSP">#REF!</definedName>
    <definedName name="NonNass">#REF!</definedName>
    <definedName name="NOV" localSheetId="11">#REF!</definedName>
    <definedName name="NOV">#REF!</definedName>
    <definedName name="NSPORT" localSheetId="11">#REF!</definedName>
    <definedName name="NSPORT">#REF!</definedName>
    <definedName name="OCT" localSheetId="11">#REF!</definedName>
    <definedName name="OCT">#REF!</definedName>
    <definedName name="OrderByClause" localSheetId="11">#REF!</definedName>
    <definedName name="OrderByClause">#REF!</definedName>
    <definedName name="P" localSheetId="11">#REF!</definedName>
    <definedName name="P">#REF!</definedName>
    <definedName name="PenEmp">#REF!</definedName>
    <definedName name="PensionExp">#REF!</definedName>
    <definedName name="PeriodsInYear">#REF!</definedName>
    <definedName name="PINK" localSheetId="11">#REF!</definedName>
    <definedName name="PINK">#REF!</definedName>
    <definedName name="PivotData">"AlexPivot!R8C1:B48"</definedName>
    <definedName name="PivotLowerRight" localSheetId="11">#REF!</definedName>
    <definedName name="PivotLowerRight">#REF!</definedName>
    <definedName name="PivotUpperLeft" localSheetId="11">#REF!</definedName>
    <definedName name="PivotUpperLeft">#REF!</definedName>
    <definedName name="_xlnm.Print_Area" localSheetId="13">'A3.1a_CF-Tidal (Chin)'!$A$1:$AC$140</definedName>
    <definedName name="_xlnm.Print_Area" localSheetId="15">'A3.2a_CF-Tidal (Ch-rel)'!$A$1:$AC$140</definedName>
    <definedName name="_xlnm.Print_Area" localSheetId="3">'A6a-Chin (Upper&amp;MidCU)'!$A$1:$AL$68</definedName>
    <definedName name="_xlnm.Print_Area" localSheetId="4">'A6b-Chin (LN&amp;CoastalCU)'!$A$1:$AM$68</definedName>
    <definedName name="_xlnm.Print_Area" localSheetId="1">'A6-Chin (NEW2)'!$A$1:$AL$68</definedName>
    <definedName name="_xlnm.Print_Area" localSheetId="2">'A6-Chin (NEW2+Khutz)'!$A$1:$AL$68</definedName>
    <definedName name="_xlnm.Print_Area" localSheetId="16">#REF!</definedName>
    <definedName name="_xlnm.Print_Area" localSheetId="9">'Data-Coastal-Chin-Esc (new)'!$A$1:$AC$56</definedName>
    <definedName name="_xlnm.Print_Area" localSheetId="6">#REF!</definedName>
    <definedName name="_xlnm.Print_Area" localSheetId="11">#REF!</definedName>
    <definedName name="_xlnm.Print_Area">#REF!</definedName>
    <definedName name="PRINT_AREA_MI" localSheetId="6">#REF!</definedName>
    <definedName name="PRINT_AREA_MI" localSheetId="11">#REF!</definedName>
    <definedName name="PRINT_AREA_MI">#REF!</definedName>
    <definedName name="_xlnm.Print_Titles" localSheetId="16">#REF!</definedName>
    <definedName name="_xlnm.Print_Titles" localSheetId="6">#REF!</definedName>
    <definedName name="_xlnm.Print_Titles" localSheetId="11">#REF!</definedName>
    <definedName name="_xlnm.Print_Titles">#REF!</definedName>
    <definedName name="PRINT_TITLES_MI" localSheetId="6">#REF!</definedName>
    <definedName name="PRINT_TITLES_MI" localSheetId="11">#REF!</definedName>
    <definedName name="PRINT_TITLES_MI">#REF!</definedName>
    <definedName name="qrrryctinvisual" localSheetId="3">#REF!</definedName>
    <definedName name="qrrryctinvisual" localSheetId="4">#REF!</definedName>
    <definedName name="qrrryctinvisual" localSheetId="1">#REF!</definedName>
    <definedName name="qrrryctinvisual" localSheetId="2">#REF!</definedName>
    <definedName name="qrrryctinvisual" localSheetId="16">#REF!</definedName>
    <definedName name="qrrryctinvisual" localSheetId="11">#REF!</definedName>
    <definedName name="qrrryctinvisual">#REF!</definedName>
    <definedName name="Qry_Esc_SX_Xtab" localSheetId="11">#REF!</definedName>
    <definedName name="Qry_Esc_SX_Xtab">#REF!</definedName>
    <definedName name="Qry_SXCatch_AKStockComp_Pt2" localSheetId="11">#REF!</definedName>
    <definedName name="Qry_SXCatch_AKStockComp_Pt2">#REF!</definedName>
    <definedName name="qryCtInVisual" localSheetId="3">#REF!</definedName>
    <definedName name="qryCtInVisual" localSheetId="4">#REF!</definedName>
    <definedName name="qryCtInVisual" localSheetId="1">#REF!</definedName>
    <definedName name="qryCtInVisual" localSheetId="2">#REF!</definedName>
    <definedName name="qryCtInVisual" localSheetId="11">#REF!</definedName>
    <definedName name="qryCtInVisual">#REF!</definedName>
    <definedName name="Query1" localSheetId="11">#REF!</definedName>
    <definedName name="Query1">#REF!</definedName>
    <definedName name="RECAPLENGTHS" localSheetId="6">#REF!</definedName>
    <definedName name="RECAPLENGTHS" localSheetId="11">#REF!</definedName>
    <definedName name="RECAPLENGTHS">#REF!</definedName>
    <definedName name="Recapture" localSheetId="16">#REF!</definedName>
    <definedName name="Recapture" localSheetId="11">#REF!</definedName>
    <definedName name="Recapture">#REF!</definedName>
    <definedName name="ReplicateLowerRightX" localSheetId="3">#REF!</definedName>
    <definedName name="ReplicateLowerRightX" localSheetId="4">#REF!</definedName>
    <definedName name="ReplicateLowerRightX" localSheetId="1">#REF!</definedName>
    <definedName name="ReplicateLowerRightX" localSheetId="2">#REF!</definedName>
    <definedName name="ReplicateLowerRightX" localSheetId="6">#REF!</definedName>
    <definedName name="ReplicateLowerRightX" localSheetId="11">#REF!</definedName>
    <definedName name="ReplicateLowerRightX">#REF!</definedName>
    <definedName name="ReplicateLowerRightY" localSheetId="6">#REF!</definedName>
    <definedName name="ReplicateLowerRightY" localSheetId="11">#REF!</definedName>
    <definedName name="ReplicateLowerRightY">#REF!</definedName>
    <definedName name="ReplicateUpperLeftX" localSheetId="6">#REF!</definedName>
    <definedName name="ReplicateUpperLeftX" localSheetId="11">#REF!</definedName>
    <definedName name="ReplicateUpperLeftX">#REF!</definedName>
    <definedName name="ReplicateUpperLeftY" localSheetId="6">#REF!</definedName>
    <definedName name="ReplicateUpperLeftY" localSheetId="11">#REF!</definedName>
    <definedName name="ReplicateUpperLeftY">#REF!</definedName>
    <definedName name="ResultSet">"AlexData!$A$14:$AN$1657"</definedName>
    <definedName name="SALM" localSheetId="16">#REF!</definedName>
    <definedName name="SALM" localSheetId="11">#REF!</definedName>
    <definedName name="SALM">#REF!</definedName>
    <definedName name="Sample_1" localSheetId="16">#REF!</definedName>
    <definedName name="Sample_1" localSheetId="11">#REF!</definedName>
    <definedName name="Sample_1">#REF!</definedName>
    <definedName name="Sample_2" localSheetId="16">#REF!</definedName>
    <definedName name="Sample_2" localSheetId="11">#REF!</definedName>
    <definedName name="Sample_2">#REF!</definedName>
    <definedName name="SCN" localSheetId="3">#REF!</definedName>
    <definedName name="SCN" localSheetId="4">#REF!</definedName>
    <definedName name="SCN" localSheetId="1">#REF!</definedName>
    <definedName name="SCN" localSheetId="2">#REF!</definedName>
    <definedName name="SCN" localSheetId="11">#REF!</definedName>
    <definedName name="SCN">#REF!</definedName>
    <definedName name="SelectClause" localSheetId="11">#REF!</definedName>
    <definedName name="SelectClause">#REF!</definedName>
    <definedName name="SEP" localSheetId="3">#REF!</definedName>
    <definedName name="SEP" localSheetId="4">#REF!</definedName>
    <definedName name="SEP" localSheetId="1">#REF!</definedName>
    <definedName name="SEP" localSheetId="2">#REF!</definedName>
    <definedName name="SEP" localSheetId="11">#REF!</definedName>
    <definedName name="SEP">#REF!</definedName>
    <definedName name="SESPA" localSheetId="11">#REF!</definedName>
    <definedName name="SESPA">#REF!</definedName>
    <definedName name="SOCKEYE" localSheetId="11">#REF!</definedName>
    <definedName name="SOCKEYE">#REF!</definedName>
    <definedName name="Spec">#REF!</definedName>
    <definedName name="STAT_WEEK" localSheetId="11">#REF!</definedName>
    <definedName name="STAT_WEEK">#REF!</definedName>
    <definedName name="stdatabase" localSheetId="6">#REF!</definedName>
    <definedName name="stdatabase" localSheetId="11">#REF!</definedName>
    <definedName name="stdatabase">#REF!</definedName>
    <definedName name="STEELHEAD" localSheetId="11">#REF!</definedName>
    <definedName name="STEELHEAD">#REF!</definedName>
    <definedName name="STOCK">#N/A</definedName>
    <definedName name="StockbyYear_SO" localSheetId="3">#REF!</definedName>
    <definedName name="StockbyYear_SO" localSheetId="4">#REF!</definedName>
    <definedName name="StockbyYear_SO" localSheetId="1">#REF!</definedName>
    <definedName name="StockbyYear_SO" localSheetId="2">#REF!</definedName>
    <definedName name="StockbyYear_SO" localSheetId="16">#REF!</definedName>
    <definedName name="StockbyYear_SO" localSheetId="11">#REF!</definedName>
    <definedName name="StockbyYear_SO">#REF!</definedName>
    <definedName name="SUM_HARVES">#N/A</definedName>
    <definedName name="SXNorm" localSheetId="11">#REF!</definedName>
    <definedName name="SXNorm">#REF!</definedName>
    <definedName name="SXStockComp" localSheetId="11">#REF!</definedName>
    <definedName name="SXStockComp">#REF!</definedName>
    <definedName name="T" localSheetId="3">#REF!</definedName>
    <definedName name="T" localSheetId="4">#REF!</definedName>
    <definedName name="T" localSheetId="1">#REF!</definedName>
    <definedName name="T" localSheetId="2">#REF!</definedName>
    <definedName name="T" localSheetId="16">#REF!</definedName>
    <definedName name="t" localSheetId="11">#REF!</definedName>
    <definedName name="t">#REF!</definedName>
    <definedName name="Table1" localSheetId="3">#REF!</definedName>
    <definedName name="Table1" localSheetId="4">#REF!</definedName>
    <definedName name="Table1" localSheetId="1">#REF!</definedName>
    <definedName name="Table1" localSheetId="2">#REF!</definedName>
    <definedName name="Table1" localSheetId="11">#REF!</definedName>
    <definedName name="Table1">#REF!</definedName>
    <definedName name="Table2" localSheetId="11">#REF!</definedName>
    <definedName name="Table2">#REF!</definedName>
    <definedName name="Table3" localSheetId="11">#REF!</definedName>
    <definedName name="Table3">#REF!</definedName>
    <definedName name="Table4" localSheetId="11">#REF!</definedName>
    <definedName name="Table4">#REF!</definedName>
    <definedName name="Table5" localSheetId="11">#REF!</definedName>
    <definedName name="Table5">#REF!</definedName>
    <definedName name="Table5_Nisgaa" localSheetId="11">#REF!</definedName>
    <definedName name="Table5_Nisgaa">#REF!</definedName>
    <definedName name="Table5_NonNisgaa" localSheetId="11">#REF!</definedName>
    <definedName name="Table5_NonNisgaa">#REF!</definedName>
    <definedName name="TableName" localSheetId="11">#REF!</definedName>
    <definedName name="TableName">#REF!</definedName>
    <definedName name="tblexport_structure_" localSheetId="11">#REF!</definedName>
    <definedName name="tblexport_structure_">#REF!</definedName>
    <definedName name="test" localSheetId="11">#REF!</definedName>
    <definedName name="test">#REF!</definedName>
    <definedName name="tval" localSheetId="11">#REF!</definedName>
    <definedName name="tval">#REF!</definedName>
    <definedName name="UserName" localSheetId="11">#REF!</definedName>
    <definedName name="UserName">#REF!</definedName>
    <definedName name="VacExp">#REF!</definedName>
    <definedName name="VALUE" localSheetId="11">#REF!</definedName>
    <definedName name="VALUE">#REF!</definedName>
    <definedName name="VarPercentage">#REF!</definedName>
    <definedName name="ViewName" localSheetId="11">#REF!</definedName>
    <definedName name="ViewName">#REF!</definedName>
    <definedName name="vlrange">#REF!</definedName>
    <definedName name="WageExp">#REF!</definedName>
    <definedName name="WCBExp">#REF!</definedName>
    <definedName name="WCBRate">#REF!</definedName>
    <definedName name="Wetest" localSheetId="11">#REF!</definedName>
    <definedName name="Wetest">#REF!</definedName>
    <definedName name="WhereClause" localSheetId="11">#REF!</definedName>
    <definedName name="WhereClause">#REF!</definedName>
    <definedName name="wrn.DFOGNHD." localSheetId="16" hidden="1">{#N/A,#N/A,FALSE,"GN940615"}</definedName>
    <definedName name="wrn.DFOGNHD." localSheetId="9" hidden="1">{#N/A,#N/A,FALSE,"GN940615"}</definedName>
    <definedName name="wrn.DFOGNHD." localSheetId="5" hidden="1">{#N/A,#N/A,FALSE,"GN940615"}</definedName>
    <definedName name="wrn.DFOGNHD." localSheetId="6" hidden="1">{#N/A,#N/A,FALSE,"GN940615"}</definedName>
    <definedName name="wrn.DFOGNHD." localSheetId="11" hidden="1">{#N/A,#N/A,FALSE,"GN940615"}</definedName>
    <definedName name="wrn.DFOGNHD." hidden="1">{#N/A,#N/A,FALSE,"GN940615"}</definedName>
    <definedName name="x" localSheetId="16">#REF!</definedName>
    <definedName name="x" localSheetId="11">#REF!</definedName>
    <definedName name="x">#REF!</definedName>
    <definedName name="YEAR" localSheetId="16">#REF!</definedName>
    <definedName name="YEAR" localSheetId="11">#REF!</definedName>
    <definedName name="YEAR">#REF!</definedName>
    <definedName name="zzz_Trip_Summary" localSheetId="11">#REF!</definedName>
    <definedName name="zzz_Trip_Summary">#REF!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9" i="17" l="1"/>
  <c r="V10" i="17"/>
  <c r="V11" i="17"/>
  <c r="V12" i="17"/>
  <c r="V13" i="17"/>
  <c r="V14" i="17"/>
  <c r="V15" i="17"/>
  <c r="V16" i="17"/>
  <c r="V17" i="17"/>
  <c r="V18" i="17"/>
  <c r="V19" i="17"/>
  <c r="V20" i="17"/>
  <c r="V21" i="17"/>
  <c r="V22" i="17"/>
  <c r="V23" i="17"/>
  <c r="V24" i="17"/>
  <c r="V25" i="17"/>
  <c r="V26" i="17"/>
  <c r="V27" i="17"/>
  <c r="V28" i="17"/>
  <c r="V29" i="17"/>
  <c r="V30" i="17"/>
  <c r="V31" i="17"/>
  <c r="V32" i="17"/>
  <c r="V33" i="17"/>
  <c r="V34" i="17"/>
  <c r="V35" i="17"/>
  <c r="V36" i="17"/>
  <c r="V37" i="17"/>
  <c r="V38" i="17"/>
  <c r="V39" i="17"/>
  <c r="V8" i="17"/>
  <c r="U9" i="17"/>
  <c r="U10" i="17"/>
  <c r="U11" i="17"/>
  <c r="U12" i="17"/>
  <c r="U13" i="17"/>
  <c r="U14" i="17"/>
  <c r="U15" i="17"/>
  <c r="U16" i="17"/>
  <c r="U17" i="17"/>
  <c r="U18" i="17"/>
  <c r="U19" i="17"/>
  <c r="U20" i="17"/>
  <c r="U21" i="17"/>
  <c r="U22" i="17"/>
  <c r="U23" i="17"/>
  <c r="U24" i="17"/>
  <c r="U25" i="17"/>
  <c r="U26" i="17"/>
  <c r="U27" i="17"/>
  <c r="U28" i="17"/>
  <c r="U29" i="17"/>
  <c r="U30" i="17"/>
  <c r="U31" i="17"/>
  <c r="U32" i="17"/>
  <c r="U33" i="17"/>
  <c r="U34" i="17"/>
  <c r="U35" i="17"/>
  <c r="U36" i="17"/>
  <c r="U37" i="17"/>
  <c r="U38" i="17"/>
  <c r="U39" i="17"/>
  <c r="U8" i="17"/>
  <c r="E9" i="17"/>
  <c r="E10" i="17"/>
  <c r="E11" i="17"/>
  <c r="E12" i="17"/>
  <c r="E13" i="17"/>
  <c r="E14" i="17"/>
  <c r="E15" i="17"/>
  <c r="E16" i="17"/>
  <c r="E17" i="17"/>
  <c r="E18" i="17"/>
  <c r="E19" i="17"/>
  <c r="E20" i="17"/>
  <c r="E21" i="17"/>
  <c r="E22" i="17"/>
  <c r="E23" i="17"/>
  <c r="E24" i="17"/>
  <c r="E25" i="17"/>
  <c r="E26" i="17"/>
  <c r="E27" i="17"/>
  <c r="E28" i="17"/>
  <c r="E29" i="17"/>
  <c r="E30" i="17"/>
  <c r="E31" i="17"/>
  <c r="E32" i="17"/>
  <c r="E33" i="17"/>
  <c r="E34" i="17"/>
  <c r="E35" i="17"/>
  <c r="E36" i="17"/>
  <c r="E37" i="17"/>
  <c r="E38" i="17"/>
  <c r="E39" i="17"/>
  <c r="E8" i="17"/>
  <c r="S22" i="14"/>
  <c r="S23" i="14"/>
  <c r="S24" i="14"/>
  <c r="S25" i="14"/>
  <c r="S26" i="14"/>
  <c r="S27" i="14"/>
  <c r="S28" i="14"/>
  <c r="S29" i="14"/>
  <c r="S30" i="14"/>
  <c r="S31" i="14"/>
  <c r="S32" i="14"/>
  <c r="S33" i="14"/>
  <c r="S34" i="14"/>
  <c r="S35" i="14"/>
  <c r="S36" i="14"/>
  <c r="S37" i="14"/>
  <c r="S38" i="14"/>
  <c r="S39" i="14"/>
  <c r="S40" i="14"/>
  <c r="S41" i="14"/>
  <c r="S42" i="14"/>
  <c r="S43" i="14"/>
  <c r="S44" i="14"/>
  <c r="S45" i="14"/>
  <c r="S21" i="14"/>
  <c r="H9" i="17"/>
  <c r="I9" i="17"/>
  <c r="H10" i="17"/>
  <c r="I10" i="17"/>
  <c r="H11" i="17"/>
  <c r="I11" i="17"/>
  <c r="H12" i="17"/>
  <c r="I12" i="17"/>
  <c r="H13" i="17"/>
  <c r="I13" i="17"/>
  <c r="H14" i="17"/>
  <c r="I14" i="17"/>
  <c r="H15" i="17"/>
  <c r="I15" i="17"/>
  <c r="H16" i="17"/>
  <c r="I16" i="17"/>
  <c r="H17" i="17"/>
  <c r="I17" i="17"/>
  <c r="H18" i="17"/>
  <c r="I18" i="17"/>
  <c r="H19" i="17"/>
  <c r="I19" i="17"/>
  <c r="H20" i="17"/>
  <c r="I20" i="17"/>
  <c r="H21" i="17"/>
  <c r="I21" i="17"/>
  <c r="H22" i="17"/>
  <c r="I22" i="17"/>
  <c r="H23" i="17"/>
  <c r="I23" i="17"/>
  <c r="H24" i="17"/>
  <c r="I24" i="17"/>
  <c r="H25" i="17"/>
  <c r="I25" i="17"/>
  <c r="H26" i="17"/>
  <c r="I26" i="17"/>
  <c r="H27" i="17"/>
  <c r="I27" i="17"/>
  <c r="H28" i="17"/>
  <c r="I28" i="17"/>
  <c r="H29" i="17"/>
  <c r="I29" i="17"/>
  <c r="H30" i="17"/>
  <c r="I30" i="17"/>
  <c r="H31" i="17"/>
  <c r="I31" i="17"/>
  <c r="H32" i="17"/>
  <c r="I32" i="17"/>
  <c r="H33" i="17"/>
  <c r="I33" i="17"/>
  <c r="H34" i="17"/>
  <c r="I34" i="17"/>
  <c r="H35" i="17"/>
  <c r="I35" i="17"/>
  <c r="H36" i="17"/>
  <c r="I36" i="17"/>
  <c r="H37" i="17"/>
  <c r="I37" i="17"/>
  <c r="H38" i="17"/>
  <c r="I38" i="17"/>
  <c r="H39" i="17"/>
  <c r="I39" i="17"/>
  <c r="I8" i="17"/>
  <c r="H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8"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6" i="17"/>
  <c r="R103" i="16"/>
  <c r="N103" i="16"/>
  <c r="J103" i="16"/>
  <c r="F103" i="16"/>
  <c r="P101" i="16"/>
  <c r="L101" i="16"/>
  <c r="H101" i="16"/>
  <c r="D101" i="16"/>
  <c r="U100" i="16"/>
  <c r="T100" i="16"/>
  <c r="U96" i="16"/>
  <c r="T96" i="16"/>
  <c r="U95" i="16"/>
  <c r="T95" i="16"/>
  <c r="U94" i="16"/>
  <c r="T94" i="16"/>
  <c r="F94" i="16"/>
  <c r="R94" i="16" s="1"/>
  <c r="U93" i="16"/>
  <c r="T93" i="16"/>
  <c r="U92" i="16"/>
  <c r="T92" i="16"/>
  <c r="F92" i="16"/>
  <c r="R92" i="16" s="1"/>
  <c r="U91" i="16"/>
  <c r="T91" i="16"/>
  <c r="U90" i="16"/>
  <c r="T90" i="16"/>
  <c r="U89" i="16"/>
  <c r="T89" i="16"/>
  <c r="U88" i="16"/>
  <c r="T88" i="16"/>
  <c r="U87" i="16"/>
  <c r="T87" i="16"/>
  <c r="F87" i="16"/>
  <c r="R87" i="16" s="1"/>
  <c r="U86" i="16"/>
  <c r="T86" i="16"/>
  <c r="F86" i="16"/>
  <c r="U85" i="16"/>
  <c r="T85" i="16"/>
  <c r="F85" i="16"/>
  <c r="F95" i="16" s="1"/>
  <c r="U84" i="16"/>
  <c r="T84" i="16"/>
  <c r="F84" i="16"/>
  <c r="F101" i="16" s="1"/>
  <c r="T83" i="16"/>
  <c r="U82" i="16"/>
  <c r="T82" i="16"/>
  <c r="F82" i="16"/>
  <c r="F96" i="16" s="1"/>
  <c r="T81" i="16"/>
  <c r="T80" i="16"/>
  <c r="T79" i="16"/>
  <c r="T78" i="16"/>
  <c r="T77" i="16"/>
  <c r="C77" i="16"/>
  <c r="C78" i="16" s="1"/>
  <c r="C79" i="16" s="1"/>
  <c r="C80" i="16" s="1"/>
  <c r="C81" i="16" s="1"/>
  <c r="C82" i="16" s="1"/>
  <c r="C83" i="16" s="1"/>
  <c r="C84" i="16" s="1"/>
  <c r="C85" i="16" s="1"/>
  <c r="C86" i="16" s="1"/>
  <c r="C87" i="16" s="1"/>
  <c r="C88" i="16" s="1"/>
  <c r="C89" i="16" s="1"/>
  <c r="C90" i="16" s="1"/>
  <c r="C91" i="16" s="1"/>
  <c r="C92" i="16" s="1"/>
  <c r="C93" i="16" s="1"/>
  <c r="C94" i="16" s="1"/>
  <c r="C95" i="16" s="1"/>
  <c r="C96" i="16" s="1"/>
  <c r="T76" i="16"/>
  <c r="R69" i="16"/>
  <c r="N69" i="16"/>
  <c r="J69" i="16"/>
  <c r="F69" i="16"/>
  <c r="P67" i="16"/>
  <c r="L67" i="16"/>
  <c r="H67" i="16"/>
  <c r="D67" i="16"/>
  <c r="U66" i="16"/>
  <c r="T66" i="16"/>
  <c r="C64" i="16"/>
  <c r="U62" i="16"/>
  <c r="T62" i="16"/>
  <c r="U61" i="16"/>
  <c r="T61" i="16"/>
  <c r="U60" i="16"/>
  <c r="T60" i="16"/>
  <c r="U59" i="16"/>
  <c r="T59" i="16"/>
  <c r="U58" i="16"/>
  <c r="T58" i="16"/>
  <c r="U57" i="16"/>
  <c r="T57" i="16"/>
  <c r="U56" i="16"/>
  <c r="T56" i="16"/>
  <c r="U55" i="16"/>
  <c r="T55" i="16"/>
  <c r="U54" i="16"/>
  <c r="T54" i="16"/>
  <c r="U53" i="16"/>
  <c r="T53" i="16"/>
  <c r="R53" i="16"/>
  <c r="N53" i="16"/>
  <c r="F53" i="16"/>
  <c r="U52" i="16"/>
  <c r="T52" i="16"/>
  <c r="R52" i="16"/>
  <c r="N52" i="16"/>
  <c r="F52" i="16"/>
  <c r="U51" i="16"/>
  <c r="T51" i="16"/>
  <c r="F51" i="16"/>
  <c r="U50" i="16"/>
  <c r="T50" i="16"/>
  <c r="F50" i="16"/>
  <c r="U49" i="16"/>
  <c r="T49" i="16"/>
  <c r="F49" i="16"/>
  <c r="F67" i="16" s="1"/>
  <c r="U48" i="16"/>
  <c r="T48" i="16"/>
  <c r="F48" i="16"/>
  <c r="U47" i="16"/>
  <c r="T47" i="16"/>
  <c r="F47" i="16"/>
  <c r="U46" i="16"/>
  <c r="T46" i="16"/>
  <c r="F46" i="16"/>
  <c r="U45" i="16"/>
  <c r="T45" i="16"/>
  <c r="F45" i="16"/>
  <c r="U44" i="16"/>
  <c r="T44" i="16"/>
  <c r="F44" i="16"/>
  <c r="U43" i="16"/>
  <c r="T43" i="16"/>
  <c r="F43" i="16"/>
  <c r="C43" i="16"/>
  <c r="C44" i="16" s="1"/>
  <c r="C45" i="16" s="1"/>
  <c r="C46" i="16" s="1"/>
  <c r="C47" i="16" s="1"/>
  <c r="C48" i="16" s="1"/>
  <c r="C49" i="16" s="1"/>
  <c r="C50" i="16" s="1"/>
  <c r="C51" i="16" s="1"/>
  <c r="C52" i="16" s="1"/>
  <c r="C53" i="16" s="1"/>
  <c r="C54" i="16" s="1"/>
  <c r="C55" i="16" s="1"/>
  <c r="C56" i="16" s="1"/>
  <c r="C57" i="16" s="1"/>
  <c r="C58" i="16" s="1"/>
  <c r="C59" i="16" s="1"/>
  <c r="C60" i="16" s="1"/>
  <c r="C61" i="16" s="1"/>
  <c r="C62" i="16" s="1"/>
  <c r="U42" i="16"/>
  <c r="T42" i="16"/>
  <c r="F42" i="16"/>
  <c r="R32" i="16"/>
  <c r="N32" i="16"/>
  <c r="J32" i="16"/>
  <c r="F32" i="16"/>
  <c r="P30" i="16"/>
  <c r="L30" i="16"/>
  <c r="H30" i="16"/>
  <c r="F30" i="16"/>
  <c r="R30" i="16" s="1"/>
  <c r="Q30" i="16" s="1"/>
  <c r="D30" i="16"/>
  <c r="E30" i="16" s="1"/>
  <c r="T29" i="16"/>
  <c r="A28" i="16"/>
  <c r="C27" i="16"/>
  <c r="A27" i="16"/>
  <c r="A26" i="16"/>
  <c r="U25" i="16"/>
  <c r="T25" i="16"/>
  <c r="A25" i="16"/>
  <c r="U24" i="16"/>
  <c r="T24" i="16"/>
  <c r="F24" i="16"/>
  <c r="N24" i="16" s="1"/>
  <c r="A24" i="16"/>
  <c r="U23" i="16"/>
  <c r="T23" i="16"/>
  <c r="A23" i="16"/>
  <c r="U22" i="16"/>
  <c r="T22" i="16"/>
  <c r="F22" i="16"/>
  <c r="A22" i="16"/>
  <c r="U21" i="16"/>
  <c r="T21" i="16"/>
  <c r="R21" i="16"/>
  <c r="N21" i="16"/>
  <c r="F21" i="16"/>
  <c r="A21" i="16"/>
  <c r="U20" i="16"/>
  <c r="T20" i="16"/>
  <c r="R20" i="16"/>
  <c r="N20" i="16"/>
  <c r="F20" i="16"/>
  <c r="A20" i="16"/>
  <c r="U19" i="16"/>
  <c r="T19" i="16"/>
  <c r="F19" i="16"/>
  <c r="F25" i="16" s="1"/>
  <c r="A19" i="16"/>
  <c r="U18" i="16"/>
  <c r="T18" i="16"/>
  <c r="R18" i="16"/>
  <c r="N18" i="16"/>
  <c r="F18" i="16"/>
  <c r="A18" i="16"/>
  <c r="U17" i="16"/>
  <c r="T17" i="16"/>
  <c r="R17" i="16"/>
  <c r="N17" i="16"/>
  <c r="F17" i="16"/>
  <c r="A17" i="16"/>
  <c r="U16" i="16"/>
  <c r="T16" i="16"/>
  <c r="R16" i="16"/>
  <c r="N16" i="16"/>
  <c r="J16" i="16"/>
  <c r="F16" i="16"/>
  <c r="A16" i="16"/>
  <c r="U15" i="16"/>
  <c r="T15" i="16"/>
  <c r="F15" i="16"/>
  <c r="A15" i="16"/>
  <c r="U14" i="16"/>
  <c r="T14" i="16"/>
  <c r="F14" i="16"/>
  <c r="A14" i="16"/>
  <c r="U13" i="16"/>
  <c r="T13" i="16"/>
  <c r="F13" i="16"/>
  <c r="A13" i="16"/>
  <c r="U12" i="16"/>
  <c r="T12" i="16"/>
  <c r="F12" i="16"/>
  <c r="A12" i="16"/>
  <c r="U11" i="16"/>
  <c r="T11" i="16"/>
  <c r="F11" i="16"/>
  <c r="A11" i="16"/>
  <c r="U10" i="16"/>
  <c r="T10" i="16"/>
  <c r="F10" i="16"/>
  <c r="A10" i="16"/>
  <c r="U9" i="16"/>
  <c r="T9" i="16"/>
  <c r="R9" i="16"/>
  <c r="N9" i="16"/>
  <c r="F9" i="16"/>
  <c r="A9" i="16"/>
  <c r="U8" i="16"/>
  <c r="T8" i="16"/>
  <c r="F8" i="16"/>
  <c r="A8" i="16"/>
  <c r="U7" i="16"/>
  <c r="T7" i="16"/>
  <c r="R7" i="16"/>
  <c r="N7" i="16"/>
  <c r="F7" i="16"/>
  <c r="A7" i="16"/>
  <c r="U6" i="16"/>
  <c r="T6" i="16"/>
  <c r="F6" i="16"/>
  <c r="C6" i="16"/>
  <c r="C7" i="16" s="1"/>
  <c r="C8" i="16" s="1"/>
  <c r="C9" i="16" s="1"/>
  <c r="C10" i="16" s="1"/>
  <c r="C11" i="16" s="1"/>
  <c r="C12" i="16" s="1"/>
  <c r="C13" i="16" s="1"/>
  <c r="C14" i="16" s="1"/>
  <c r="C15" i="16" s="1"/>
  <c r="C16" i="16" s="1"/>
  <c r="C17" i="16" s="1"/>
  <c r="C18" i="16" s="1"/>
  <c r="C19" i="16" s="1"/>
  <c r="C20" i="16" s="1"/>
  <c r="C21" i="16" s="1"/>
  <c r="C22" i="16" s="1"/>
  <c r="C23" i="16" s="1"/>
  <c r="C24" i="16" s="1"/>
  <c r="C25" i="16" s="1"/>
  <c r="A6" i="16"/>
  <c r="U5" i="16"/>
  <c r="T5" i="16"/>
  <c r="F5" i="16"/>
  <c r="A5" i="16"/>
  <c r="T101" i="16" l="1"/>
  <c r="T67" i="16"/>
  <c r="T103" i="16"/>
  <c r="T30" i="16"/>
  <c r="N96" i="16"/>
  <c r="J96" i="16"/>
  <c r="R96" i="16"/>
  <c r="E101" i="16"/>
  <c r="R101" i="16"/>
  <c r="Q101" i="16" s="1"/>
  <c r="N101" i="16"/>
  <c r="M101" i="16" s="1"/>
  <c r="J101" i="16"/>
  <c r="I101" i="16" s="1"/>
  <c r="T32" i="16"/>
  <c r="T69" i="16"/>
  <c r="R25" i="16"/>
  <c r="J25" i="16"/>
  <c r="N25" i="16"/>
  <c r="R95" i="16"/>
  <c r="N95" i="16"/>
  <c r="J95" i="16"/>
  <c r="E67" i="16"/>
  <c r="R67" i="16"/>
  <c r="Q67" i="16" s="1"/>
  <c r="N67" i="16"/>
  <c r="M67" i="16" s="1"/>
  <c r="J67" i="16"/>
  <c r="I67" i="16" s="1"/>
  <c r="F62" i="16"/>
  <c r="J87" i="16"/>
  <c r="F60" i="16"/>
  <c r="N87" i="16"/>
  <c r="J94" i="16"/>
  <c r="J92" i="16"/>
  <c r="F90" i="16"/>
  <c r="N92" i="16"/>
  <c r="F100" i="16"/>
  <c r="N94" i="16"/>
  <c r="R24" i="16"/>
  <c r="F29" i="16"/>
  <c r="F56" i="16"/>
  <c r="J24" i="16"/>
  <c r="J30" i="16"/>
  <c r="I30" i="16" s="1"/>
  <c r="A30" i="16" s="1"/>
  <c r="S46" i="14" s="1"/>
  <c r="F58" i="16"/>
  <c r="N30" i="16"/>
  <c r="M30" i="16" s="1"/>
  <c r="F66" i="16"/>
  <c r="F88" i="16"/>
  <c r="F54" i="16"/>
  <c r="F23" i="16"/>
  <c r="F61" i="16"/>
  <c r="F59" i="16"/>
  <c r="F93" i="16"/>
  <c r="F91" i="16"/>
  <c r="F89" i="16"/>
  <c r="F57" i="16"/>
  <c r="F55" i="16"/>
  <c r="U101" i="16" l="1"/>
  <c r="U103" i="16" s="1"/>
  <c r="V103" i="16" s="1"/>
  <c r="R91" i="16"/>
  <c r="N91" i="16"/>
  <c r="J91" i="16"/>
  <c r="R100" i="16"/>
  <c r="N100" i="16"/>
  <c r="J100" i="16"/>
  <c r="R93" i="16"/>
  <c r="N93" i="16"/>
  <c r="J93" i="16"/>
  <c r="R61" i="16"/>
  <c r="N61" i="16"/>
  <c r="J61" i="16"/>
  <c r="J23" i="16"/>
  <c r="R23" i="16"/>
  <c r="N23" i="16"/>
  <c r="R54" i="16"/>
  <c r="N54" i="16"/>
  <c r="J54" i="16"/>
  <c r="J88" i="16"/>
  <c r="R88" i="16"/>
  <c r="N88" i="16"/>
  <c r="R60" i="16"/>
  <c r="N60" i="16"/>
  <c r="J60" i="16"/>
  <c r="R66" i="16"/>
  <c r="J66" i="16"/>
  <c r="N66" i="16"/>
  <c r="R62" i="16"/>
  <c r="J62" i="16"/>
  <c r="N62" i="16"/>
  <c r="R58" i="16"/>
  <c r="N58" i="16"/>
  <c r="J58" i="16"/>
  <c r="U30" i="16"/>
  <c r="N59" i="16"/>
  <c r="R59" i="16"/>
  <c r="J59" i="16"/>
  <c r="R90" i="16"/>
  <c r="N90" i="16"/>
  <c r="J90" i="16"/>
  <c r="N56" i="16"/>
  <c r="R56" i="16"/>
  <c r="J56" i="16"/>
  <c r="J55" i="16"/>
  <c r="N55" i="16"/>
  <c r="R55" i="16"/>
  <c r="R29" i="16"/>
  <c r="Q29" i="16" s="1"/>
  <c r="N29" i="16"/>
  <c r="M29" i="16" s="1"/>
  <c r="J29" i="16"/>
  <c r="I29" i="16" s="1"/>
  <c r="E29" i="16"/>
  <c r="A29" i="16" s="1"/>
  <c r="U67" i="16"/>
  <c r="U69" i="16" s="1"/>
  <c r="V69" i="16" s="1"/>
  <c r="N57" i="16"/>
  <c r="J57" i="16"/>
  <c r="R57" i="16"/>
  <c r="J89" i="16"/>
  <c r="R89" i="16"/>
  <c r="N89" i="16"/>
  <c r="U29" i="16" l="1"/>
  <c r="U32" i="16" s="1"/>
  <c r="V32" i="16" s="1"/>
  <c r="O90" i="15" l="1"/>
  <c r="AI84" i="15"/>
  <c r="AH84" i="15"/>
  <c r="AG84" i="15"/>
  <c r="Q84" i="15"/>
  <c r="K84" i="15"/>
  <c r="F84" i="15"/>
  <c r="BS75" i="15"/>
  <c r="BS74" i="15"/>
  <c r="BS73" i="15"/>
  <c r="BS72" i="15"/>
  <c r="BS71" i="15"/>
  <c r="BS70" i="15"/>
  <c r="BS69" i="15"/>
  <c r="BS68" i="15"/>
  <c r="BS67" i="15"/>
  <c r="BS66" i="15"/>
  <c r="BS65" i="15"/>
  <c r="BS64" i="15"/>
  <c r="BS63" i="15"/>
  <c r="AN63" i="15"/>
  <c r="BS62" i="15"/>
  <c r="BS61" i="15"/>
  <c r="BS60" i="15"/>
  <c r="BS59" i="15"/>
  <c r="BS58" i="15"/>
  <c r="BS57" i="15"/>
  <c r="CJ54" i="15"/>
  <c r="CG54" i="15"/>
  <c r="CF54" i="15"/>
  <c r="AI54" i="15"/>
  <c r="AH54" i="15"/>
  <c r="AG54" i="15"/>
  <c r="CJ53" i="15"/>
  <c r="CG53" i="15"/>
  <c r="CF53" i="15"/>
  <c r="AI53" i="15"/>
  <c r="AH53" i="15"/>
  <c r="AG53" i="15"/>
  <c r="CJ51" i="15"/>
  <c r="CG51" i="15"/>
  <c r="CF51" i="15"/>
  <c r="AI51" i="15"/>
  <c r="AH51" i="15"/>
  <c r="AG51" i="15"/>
  <c r="K51" i="15"/>
  <c r="CJ50" i="15"/>
  <c r="CG50" i="15"/>
  <c r="CF50" i="15"/>
  <c r="AI50" i="15"/>
  <c r="AH50" i="15"/>
  <c r="AG50" i="15"/>
  <c r="K50" i="15"/>
  <c r="AD49" i="15"/>
  <c r="K49" i="15"/>
  <c r="H49" i="15"/>
  <c r="EW47" i="15"/>
  <c r="CM46" i="15"/>
  <c r="AD46" i="15"/>
  <c r="N46" i="15"/>
  <c r="L46" i="15"/>
  <c r="G46" i="15"/>
  <c r="X46" i="15" s="1"/>
  <c r="E46" i="15"/>
  <c r="DF45" i="15"/>
  <c r="DE45" i="15"/>
  <c r="DA45" i="15"/>
  <c r="CM45" i="15"/>
  <c r="AT45" i="15"/>
  <c r="AD45" i="15"/>
  <c r="Y45" i="15"/>
  <c r="N45" i="15"/>
  <c r="L45" i="15"/>
  <c r="H45" i="15"/>
  <c r="G45" i="15"/>
  <c r="X45" i="15" s="1"/>
  <c r="E45" i="15"/>
  <c r="CM44" i="15"/>
  <c r="BV44" i="15"/>
  <c r="BI44" i="15"/>
  <c r="BH44" i="15"/>
  <c r="BG44" i="15"/>
  <c r="AD44" i="15"/>
  <c r="N44" i="15"/>
  <c r="L44" i="15"/>
  <c r="G44" i="15"/>
  <c r="X44" i="15" s="1"/>
  <c r="E44" i="15"/>
  <c r="CM43" i="15"/>
  <c r="BI43" i="15"/>
  <c r="BH43" i="15"/>
  <c r="BG43" i="15"/>
  <c r="AD43" i="15"/>
  <c r="BV43" i="15" s="1"/>
  <c r="N43" i="15"/>
  <c r="L43" i="15"/>
  <c r="G43" i="15"/>
  <c r="X43" i="15" s="1"/>
  <c r="E43" i="15"/>
  <c r="CM42" i="15"/>
  <c r="BI42" i="15"/>
  <c r="BH42" i="15"/>
  <c r="BG42" i="15"/>
  <c r="AD42" i="15"/>
  <c r="BV42" i="15" s="1"/>
  <c r="N42" i="15"/>
  <c r="L42" i="15"/>
  <c r="G42" i="15"/>
  <c r="X42" i="15" s="1"/>
  <c r="E42" i="15"/>
  <c r="FE41" i="15"/>
  <c r="CM41" i="15"/>
  <c r="BI41" i="15"/>
  <c r="BH41" i="15"/>
  <c r="BG41" i="15"/>
  <c r="AD41" i="15"/>
  <c r="BV41" i="15" s="1"/>
  <c r="N41" i="15"/>
  <c r="L41" i="15"/>
  <c r="G41" i="15"/>
  <c r="E41" i="15"/>
  <c r="CM40" i="15"/>
  <c r="BI40" i="15"/>
  <c r="BH40" i="15"/>
  <c r="BG40" i="15"/>
  <c r="AD40" i="15"/>
  <c r="BV40" i="15" s="1"/>
  <c r="N40" i="15"/>
  <c r="L40" i="15"/>
  <c r="G40" i="15"/>
  <c r="X40" i="15" s="1"/>
  <c r="E40" i="15"/>
  <c r="FE39" i="15"/>
  <c r="CM39" i="15"/>
  <c r="BI39" i="15"/>
  <c r="BH39" i="15"/>
  <c r="BG39" i="15"/>
  <c r="AD39" i="15"/>
  <c r="BV39" i="15" s="1"/>
  <c r="X39" i="15"/>
  <c r="N39" i="15"/>
  <c r="L39" i="15"/>
  <c r="G39" i="15"/>
  <c r="E39" i="15"/>
  <c r="EP38" i="15"/>
  <c r="CM38" i="15"/>
  <c r="BI38" i="15"/>
  <c r="BH38" i="15"/>
  <c r="BG38" i="15"/>
  <c r="AN38" i="15"/>
  <c r="AD38" i="15"/>
  <c r="BV38" i="15" s="1"/>
  <c r="R38" i="15"/>
  <c r="N38" i="15"/>
  <c r="L38" i="15"/>
  <c r="H38" i="15"/>
  <c r="AT38" i="15" s="1"/>
  <c r="G38" i="15"/>
  <c r="X38" i="15" s="1"/>
  <c r="E38" i="15"/>
  <c r="EP37" i="15"/>
  <c r="CM37" i="15"/>
  <c r="BI37" i="15"/>
  <c r="BH37" i="15"/>
  <c r="BG37" i="15"/>
  <c r="AN37" i="15"/>
  <c r="AD37" i="15"/>
  <c r="BV37" i="15" s="1"/>
  <c r="R37" i="15"/>
  <c r="N37" i="15"/>
  <c r="L37" i="15"/>
  <c r="H37" i="15"/>
  <c r="G37" i="15"/>
  <c r="EY37" i="15" s="1"/>
  <c r="EZ37" i="15" s="1"/>
  <c r="E37" i="15"/>
  <c r="FE36" i="15"/>
  <c r="EP36" i="15"/>
  <c r="CM36" i="15"/>
  <c r="BI36" i="15"/>
  <c r="BH36" i="15"/>
  <c r="BG36" i="15"/>
  <c r="AN36" i="15"/>
  <c r="AD36" i="15"/>
  <c r="BV36" i="15" s="1"/>
  <c r="R36" i="15"/>
  <c r="N36" i="15"/>
  <c r="L36" i="15"/>
  <c r="H36" i="15"/>
  <c r="G36" i="15"/>
  <c r="E36" i="15"/>
  <c r="EP35" i="15"/>
  <c r="CM35" i="15"/>
  <c r="BI35" i="15"/>
  <c r="BH35" i="15"/>
  <c r="BG35" i="15"/>
  <c r="AN35" i="15"/>
  <c r="AD35" i="15"/>
  <c r="BV35" i="15" s="1"/>
  <c r="R35" i="15"/>
  <c r="N35" i="15"/>
  <c r="L35" i="15"/>
  <c r="FE35" i="15" s="1"/>
  <c r="H35" i="15"/>
  <c r="Y35" i="15" s="1"/>
  <c r="BW35" i="15" s="1"/>
  <c r="G35" i="15"/>
  <c r="E35" i="15"/>
  <c r="EP34" i="15"/>
  <c r="CM34" i="15"/>
  <c r="BI34" i="15"/>
  <c r="BH34" i="15"/>
  <c r="BG34" i="15"/>
  <c r="AN34" i="15"/>
  <c r="AD34" i="15"/>
  <c r="BV34" i="15" s="1"/>
  <c r="R34" i="15"/>
  <c r="N34" i="15"/>
  <c r="L34" i="15"/>
  <c r="H34" i="15"/>
  <c r="G34" i="15"/>
  <c r="E34" i="15"/>
  <c r="FE33" i="15"/>
  <c r="EP33" i="15"/>
  <c r="CM33" i="15"/>
  <c r="BI33" i="15"/>
  <c r="BH33" i="15"/>
  <c r="BG33" i="15"/>
  <c r="AN33" i="15"/>
  <c r="AD33" i="15"/>
  <c r="BV33" i="15" s="1"/>
  <c r="R33" i="15"/>
  <c r="N33" i="15"/>
  <c r="L33" i="15"/>
  <c r="H33" i="15"/>
  <c r="G33" i="15"/>
  <c r="X33" i="15" s="1"/>
  <c r="E33" i="15"/>
  <c r="EP32" i="15"/>
  <c r="CM32" i="15"/>
  <c r="BV32" i="15"/>
  <c r="BI32" i="15"/>
  <c r="BH32" i="15"/>
  <c r="BG32" i="15"/>
  <c r="AN32" i="15"/>
  <c r="AD32" i="15"/>
  <c r="X32" i="15"/>
  <c r="R32" i="15"/>
  <c r="N32" i="15"/>
  <c r="L32" i="15"/>
  <c r="H32" i="15"/>
  <c r="EY32" i="15" s="1"/>
  <c r="G32" i="15"/>
  <c r="E32" i="15"/>
  <c r="EP31" i="15"/>
  <c r="CM31" i="15"/>
  <c r="BV31" i="15"/>
  <c r="BI31" i="15"/>
  <c r="BH31" i="15"/>
  <c r="BG31" i="15"/>
  <c r="AN31" i="15"/>
  <c r="AD31" i="15"/>
  <c r="R31" i="15"/>
  <c r="Y31" i="15" s="1"/>
  <c r="BW31" i="15" s="1"/>
  <c r="N31" i="15"/>
  <c r="L31" i="15"/>
  <c r="FE31" i="15" s="1"/>
  <c r="H31" i="15"/>
  <c r="G31" i="15"/>
  <c r="E31" i="15"/>
  <c r="EP30" i="15"/>
  <c r="CM30" i="15"/>
  <c r="BI30" i="15"/>
  <c r="BH30" i="15"/>
  <c r="BG30" i="15"/>
  <c r="AN30" i="15"/>
  <c r="AD30" i="15"/>
  <c r="BV30" i="15" s="1"/>
  <c r="R30" i="15"/>
  <c r="N30" i="15"/>
  <c r="L30" i="15"/>
  <c r="FE30" i="15" s="1"/>
  <c r="H30" i="15"/>
  <c r="G30" i="15"/>
  <c r="X30" i="15" s="1"/>
  <c r="E30" i="15"/>
  <c r="EP29" i="15"/>
  <c r="CM29" i="15"/>
  <c r="BV29" i="15"/>
  <c r="BI29" i="15"/>
  <c r="BH29" i="15"/>
  <c r="BG29" i="15"/>
  <c r="AN29" i="15"/>
  <c r="AD29" i="15"/>
  <c r="R29" i="15"/>
  <c r="N29" i="15"/>
  <c r="L29" i="15"/>
  <c r="H29" i="15"/>
  <c r="Y29" i="15" s="1"/>
  <c r="BW29" i="15" s="1"/>
  <c r="G29" i="15"/>
  <c r="X29" i="15" s="1"/>
  <c r="E29" i="15"/>
  <c r="FE28" i="15"/>
  <c r="EP28" i="15"/>
  <c r="CM28" i="15"/>
  <c r="BI28" i="15"/>
  <c r="BH28" i="15"/>
  <c r="BG28" i="15"/>
  <c r="AN28" i="15"/>
  <c r="AD28" i="15"/>
  <c r="R28" i="15"/>
  <c r="N28" i="15"/>
  <c r="L28" i="15"/>
  <c r="H28" i="15"/>
  <c r="G28" i="15"/>
  <c r="E28" i="15"/>
  <c r="EP27" i="15"/>
  <c r="CM27" i="15"/>
  <c r="BI27" i="15"/>
  <c r="BH27" i="15"/>
  <c r="BG27" i="15"/>
  <c r="AN27" i="15"/>
  <c r="AD27" i="15"/>
  <c r="BV27" i="15" s="1"/>
  <c r="R27" i="15"/>
  <c r="N27" i="15"/>
  <c r="L27" i="15"/>
  <c r="H27" i="15"/>
  <c r="AT27" i="15" s="1"/>
  <c r="G27" i="15"/>
  <c r="E27" i="15"/>
  <c r="FE26" i="15"/>
  <c r="EP26" i="15"/>
  <c r="CM26" i="15"/>
  <c r="BV26" i="15"/>
  <c r="BI26" i="15"/>
  <c r="BH26" i="15"/>
  <c r="BG26" i="15"/>
  <c r="AN26" i="15"/>
  <c r="AD26" i="15"/>
  <c r="R26" i="15"/>
  <c r="Y26" i="15" s="1"/>
  <c r="BW26" i="15" s="1"/>
  <c r="N26" i="15"/>
  <c r="L26" i="15"/>
  <c r="H26" i="15"/>
  <c r="M26" i="15" s="1"/>
  <c r="G26" i="15"/>
  <c r="X26" i="15" s="1"/>
  <c r="BU26" i="15" s="1"/>
  <c r="E26" i="15"/>
  <c r="EP25" i="15"/>
  <c r="CM25" i="15"/>
  <c r="BI25" i="15"/>
  <c r="BH25" i="15"/>
  <c r="BG25" i="15"/>
  <c r="AN25" i="15"/>
  <c r="AD25" i="15"/>
  <c r="R25" i="15"/>
  <c r="N25" i="15"/>
  <c r="L25" i="15"/>
  <c r="H25" i="15"/>
  <c r="Y25" i="15" s="1"/>
  <c r="BW25" i="15" s="1"/>
  <c r="G25" i="15"/>
  <c r="E25" i="15"/>
  <c r="FE24" i="15"/>
  <c r="CM24" i="15"/>
  <c r="BV24" i="15"/>
  <c r="BI24" i="15"/>
  <c r="BH24" i="15"/>
  <c r="BG24" i="15"/>
  <c r="AN24" i="15"/>
  <c r="AD24" i="15"/>
  <c r="R24" i="15"/>
  <c r="N24" i="15"/>
  <c r="L24" i="15"/>
  <c r="H24" i="15"/>
  <c r="G24" i="15"/>
  <c r="E24" i="15"/>
  <c r="EY23" i="15"/>
  <c r="CM23" i="15"/>
  <c r="BI23" i="15"/>
  <c r="BH23" i="15"/>
  <c r="BG23" i="15"/>
  <c r="AN23" i="15"/>
  <c r="AD23" i="15"/>
  <c r="R23" i="15"/>
  <c r="Y23" i="15" s="1"/>
  <c r="BW23" i="15" s="1"/>
  <c r="N23" i="15"/>
  <c r="L23" i="15"/>
  <c r="H23" i="15"/>
  <c r="G23" i="15"/>
  <c r="X23" i="15" s="1"/>
  <c r="E23" i="15"/>
  <c r="FE22" i="15"/>
  <c r="DD22" i="15"/>
  <c r="DD23" i="15" s="1"/>
  <c r="CM22" i="15"/>
  <c r="BV22" i="15"/>
  <c r="BI22" i="15"/>
  <c r="BH22" i="15"/>
  <c r="BG22" i="15"/>
  <c r="AN22" i="15"/>
  <c r="AD22" i="15"/>
  <c r="R22" i="15"/>
  <c r="N22" i="15"/>
  <c r="L22" i="15"/>
  <c r="H22" i="15"/>
  <c r="G22" i="15"/>
  <c r="E22" i="15"/>
  <c r="DD21" i="15"/>
  <c r="CM21" i="15"/>
  <c r="BI21" i="15"/>
  <c r="BH21" i="15"/>
  <c r="BG21" i="15"/>
  <c r="AN21" i="15"/>
  <c r="AD21" i="15"/>
  <c r="R21" i="15"/>
  <c r="N21" i="15"/>
  <c r="L21" i="15"/>
  <c r="H21" i="15"/>
  <c r="G21" i="15"/>
  <c r="EY21" i="15" s="1"/>
  <c r="EZ21" i="15" s="1"/>
  <c r="E21" i="15"/>
  <c r="FE20" i="15"/>
  <c r="BV20" i="15"/>
  <c r="BI20" i="15"/>
  <c r="BH20" i="15"/>
  <c r="BG20" i="15"/>
  <c r="AN20" i="15"/>
  <c r="Y20" i="15"/>
  <c r="BW20" i="15" s="1"/>
  <c r="N20" i="15"/>
  <c r="L20" i="15"/>
  <c r="G20" i="15"/>
  <c r="E20" i="15"/>
  <c r="BV19" i="15"/>
  <c r="BI19" i="15"/>
  <c r="BH19" i="15"/>
  <c r="BG19" i="15"/>
  <c r="AN19" i="15"/>
  <c r="Y19" i="15"/>
  <c r="N19" i="15"/>
  <c r="L19" i="15"/>
  <c r="G19" i="15"/>
  <c r="X19" i="15" s="1"/>
  <c r="AO19" i="15" s="1"/>
  <c r="E19" i="15"/>
  <c r="FE18" i="15"/>
  <c r="BV18" i="15"/>
  <c r="BI18" i="15"/>
  <c r="BH18" i="15"/>
  <c r="BG18" i="15"/>
  <c r="AT18" i="15"/>
  <c r="AN18" i="15"/>
  <c r="AC18" i="15"/>
  <c r="Y18" i="15"/>
  <c r="BW18" i="15" s="1"/>
  <c r="N18" i="15"/>
  <c r="L18" i="15"/>
  <c r="G18" i="15"/>
  <c r="E18" i="15"/>
  <c r="BV17" i="15"/>
  <c r="BI17" i="15"/>
  <c r="BH17" i="15"/>
  <c r="BG17" i="15"/>
  <c r="AT17" i="15"/>
  <c r="AN17" i="15"/>
  <c r="Y17" i="15"/>
  <c r="BW17" i="15" s="1"/>
  <c r="N17" i="15"/>
  <c r="L17" i="15"/>
  <c r="FE17" i="15" s="1"/>
  <c r="G17" i="15"/>
  <c r="X17" i="15" s="1"/>
  <c r="E17" i="15"/>
  <c r="BV16" i="15"/>
  <c r="BI16" i="15"/>
  <c r="BH16" i="15"/>
  <c r="BG16" i="15"/>
  <c r="AN16" i="15"/>
  <c r="Y16" i="15"/>
  <c r="BW16" i="15" s="1"/>
  <c r="N16" i="15"/>
  <c r="L16" i="15"/>
  <c r="G16" i="15"/>
  <c r="E16" i="15"/>
  <c r="BV15" i="15"/>
  <c r="BI15" i="15"/>
  <c r="BH15" i="15"/>
  <c r="BG15" i="15"/>
  <c r="AT15" i="15"/>
  <c r="AN15" i="15"/>
  <c r="Y15" i="15"/>
  <c r="N15" i="15"/>
  <c r="L15" i="15"/>
  <c r="FE15" i="15" s="1"/>
  <c r="G15" i="15"/>
  <c r="E15" i="15"/>
  <c r="BV14" i="15"/>
  <c r="BI14" i="15"/>
  <c r="BH14" i="15"/>
  <c r="BG14" i="15"/>
  <c r="AT14" i="15"/>
  <c r="Y14" i="15"/>
  <c r="BW14" i="15" s="1"/>
  <c r="N14" i="15"/>
  <c r="M14" i="15"/>
  <c r="L14" i="15"/>
  <c r="FE14" i="15" s="1"/>
  <c r="G14" i="15"/>
  <c r="EY14" i="15" s="1"/>
  <c r="EZ14" i="15" s="1"/>
  <c r="BW13" i="15"/>
  <c r="BV13" i="15"/>
  <c r="BI13" i="15"/>
  <c r="BH13" i="15"/>
  <c r="BG13" i="15"/>
  <c r="Y13" i="15"/>
  <c r="N13" i="15"/>
  <c r="L13" i="15"/>
  <c r="G13" i="15"/>
  <c r="EN12" i="15"/>
  <c r="BZ12" i="15"/>
  <c r="BW12" i="15"/>
  <c r="BV12" i="15"/>
  <c r="BU12" i="15"/>
  <c r="BT12" i="15"/>
  <c r="BX12" i="15" s="1"/>
  <c r="BS12" i="15"/>
  <c r="AJ12" i="15"/>
  <c r="BY12" i="15" s="1"/>
  <c r="AE12" i="15"/>
  <c r="EO12" i="15" s="1"/>
  <c r="AA12" i="15"/>
  <c r="V12" i="15"/>
  <c r="EL12" i="15" s="1"/>
  <c r="T12" i="15"/>
  <c r="L12" i="15"/>
  <c r="FE12" i="15" s="1"/>
  <c r="FE11" i="15"/>
  <c r="EN11" i="15"/>
  <c r="BW11" i="15"/>
  <c r="BV11" i="15"/>
  <c r="BU11" i="15"/>
  <c r="BT11" i="15"/>
  <c r="BS11" i="15"/>
  <c r="AE11" i="15"/>
  <c r="EO11" i="15" s="1"/>
  <c r="AA11" i="15"/>
  <c r="V11" i="15"/>
  <c r="T11" i="15"/>
  <c r="L11" i="15"/>
  <c r="ET11" i="15" s="1"/>
  <c r="EO10" i="15"/>
  <c r="EN10" i="15"/>
  <c r="DH10" i="15"/>
  <c r="BX10" i="15"/>
  <c r="BW10" i="15"/>
  <c r="BV10" i="15"/>
  <c r="BU10" i="15"/>
  <c r="BT10" i="15"/>
  <c r="BS10" i="15"/>
  <c r="AJ10" i="15"/>
  <c r="AE10" i="15"/>
  <c r="AA10" i="15"/>
  <c r="V10" i="15"/>
  <c r="EL10" i="15" s="1"/>
  <c r="T10" i="15"/>
  <c r="L10" i="15"/>
  <c r="FE10" i="15" s="1"/>
  <c r="ET9" i="15"/>
  <c r="EO9" i="15"/>
  <c r="EN9" i="15"/>
  <c r="BW9" i="15"/>
  <c r="BV9" i="15"/>
  <c r="BU9" i="15"/>
  <c r="BT9" i="15"/>
  <c r="BS9" i="15"/>
  <c r="BX9" i="15" s="1"/>
  <c r="AE9" i="15"/>
  <c r="AA9" i="15"/>
  <c r="V9" i="15"/>
  <c r="AJ9" i="15" s="1"/>
  <c r="T9" i="15"/>
  <c r="L9" i="15"/>
  <c r="FE9" i="15" s="1"/>
  <c r="EN8" i="15"/>
  <c r="EL8" i="15"/>
  <c r="DH8" i="15"/>
  <c r="BW8" i="15"/>
  <c r="BV8" i="15"/>
  <c r="BX8" i="15" s="1"/>
  <c r="BU8" i="15"/>
  <c r="BT8" i="15"/>
  <c r="BS8" i="15"/>
  <c r="AE8" i="15"/>
  <c r="EO8" i="15" s="1"/>
  <c r="AA8" i="15"/>
  <c r="AJ8" i="15" s="1"/>
  <c r="V8" i="15"/>
  <c r="T8" i="15"/>
  <c r="L8" i="15"/>
  <c r="FE8" i="15" s="1"/>
  <c r="EO7" i="15"/>
  <c r="EN7" i="15"/>
  <c r="EL7" i="15"/>
  <c r="BW7" i="15"/>
  <c r="BV7" i="15"/>
  <c r="BU7" i="15"/>
  <c r="BT7" i="15"/>
  <c r="BS7" i="15"/>
  <c r="BX7" i="15" s="1"/>
  <c r="AE7" i="15"/>
  <c r="AA7" i="15"/>
  <c r="V7" i="15"/>
  <c r="AJ7" i="15" s="1"/>
  <c r="T7" i="15"/>
  <c r="L7" i="15"/>
  <c r="FE7" i="15" s="1"/>
  <c r="BC2" i="15"/>
  <c r="J13" i="14"/>
  <c r="O90" i="14"/>
  <c r="AI84" i="14"/>
  <c r="AH84" i="14"/>
  <c r="AG84" i="14"/>
  <c r="K84" i="14"/>
  <c r="F84" i="14"/>
  <c r="BT75" i="14"/>
  <c r="BT74" i="14"/>
  <c r="BT73" i="14"/>
  <c r="BT72" i="14"/>
  <c r="BT71" i="14"/>
  <c r="BT70" i="14"/>
  <c r="BT69" i="14"/>
  <c r="BT68" i="14"/>
  <c r="BT67" i="14"/>
  <c r="BT66" i="14"/>
  <c r="BT65" i="14"/>
  <c r="BT64" i="14"/>
  <c r="BT63" i="14"/>
  <c r="AO63" i="14"/>
  <c r="BT62" i="14"/>
  <c r="BT61" i="14"/>
  <c r="BT60" i="14"/>
  <c r="BT59" i="14"/>
  <c r="BT58" i="14"/>
  <c r="BT57" i="14"/>
  <c r="CK54" i="14"/>
  <c r="CH54" i="14"/>
  <c r="CG54" i="14"/>
  <c r="AI54" i="14"/>
  <c r="AH54" i="14"/>
  <c r="AG54" i="14"/>
  <c r="CK53" i="14"/>
  <c r="CH53" i="14"/>
  <c r="CG53" i="14"/>
  <c r="AI53" i="14"/>
  <c r="AH53" i="14"/>
  <c r="AG53" i="14"/>
  <c r="CK51" i="14"/>
  <c r="CH51" i="14"/>
  <c r="CG51" i="14"/>
  <c r="AI51" i="14"/>
  <c r="AH51" i="14"/>
  <c r="AG51" i="14"/>
  <c r="K51" i="14"/>
  <c r="CK50" i="14"/>
  <c r="CH50" i="14"/>
  <c r="CG50" i="14"/>
  <c r="AI50" i="14"/>
  <c r="AH50" i="14"/>
  <c r="AG50" i="14"/>
  <c r="K50" i="14"/>
  <c r="K49" i="14"/>
  <c r="H49" i="14"/>
  <c r="EX47" i="14"/>
  <c r="CN46" i="14"/>
  <c r="N46" i="14"/>
  <c r="L46" i="14"/>
  <c r="AT46" i="14" s="1"/>
  <c r="DG45" i="14"/>
  <c r="DF45" i="14"/>
  <c r="DB45" i="14"/>
  <c r="CN45" i="14"/>
  <c r="N45" i="14"/>
  <c r="L45" i="14"/>
  <c r="AU45" i="14" s="1"/>
  <c r="J45" i="14"/>
  <c r="X45" i="14"/>
  <c r="CN44" i="14"/>
  <c r="BJ44" i="14"/>
  <c r="BI44" i="14"/>
  <c r="BH44" i="14"/>
  <c r="X44" i="14"/>
  <c r="N44" i="14"/>
  <c r="L44" i="14"/>
  <c r="AT44" i="14" s="1"/>
  <c r="CN43" i="14"/>
  <c r="BJ43" i="14"/>
  <c r="BI43" i="14"/>
  <c r="BH43" i="14"/>
  <c r="N43" i="14"/>
  <c r="M43" i="14"/>
  <c r="L43" i="14"/>
  <c r="AT43" i="14" s="1"/>
  <c r="J43" i="14"/>
  <c r="AV43" i="14" s="1"/>
  <c r="X43" i="14"/>
  <c r="EZ42" i="14"/>
  <c r="CN42" i="14"/>
  <c r="BJ42" i="14"/>
  <c r="BI42" i="14"/>
  <c r="BH42" i="14"/>
  <c r="N42" i="14"/>
  <c r="L42" i="14"/>
  <c r="X42" i="14"/>
  <c r="EZ41" i="14"/>
  <c r="CN41" i="14"/>
  <c r="BJ41" i="14"/>
  <c r="BI41" i="14"/>
  <c r="BH41" i="14"/>
  <c r="N41" i="14"/>
  <c r="L41" i="14"/>
  <c r="X41" i="14"/>
  <c r="FF40" i="14"/>
  <c r="CN40" i="14"/>
  <c r="BJ40" i="14"/>
  <c r="BI40" i="14"/>
  <c r="BH40" i="14"/>
  <c r="N40" i="14"/>
  <c r="M40" i="14"/>
  <c r="L40" i="14"/>
  <c r="AU40" i="14" s="1"/>
  <c r="X40" i="14"/>
  <c r="EZ39" i="14"/>
  <c r="CN39" i="14"/>
  <c r="BJ39" i="14"/>
  <c r="BI39" i="14"/>
  <c r="BH39" i="14"/>
  <c r="N39" i="14"/>
  <c r="M39" i="14"/>
  <c r="L39" i="14"/>
  <c r="J39" i="14"/>
  <c r="X39" i="14"/>
  <c r="CN38" i="14"/>
  <c r="BJ38" i="14"/>
  <c r="BI38" i="14"/>
  <c r="BH38" i="14"/>
  <c r="AO38" i="14"/>
  <c r="X38" i="14"/>
  <c r="N38" i="14"/>
  <c r="M38" i="14"/>
  <c r="L38" i="14"/>
  <c r="J38" i="14"/>
  <c r="CN37" i="14"/>
  <c r="BV37" i="14"/>
  <c r="BJ37" i="14"/>
  <c r="BI37" i="14"/>
  <c r="BH37" i="14"/>
  <c r="AO37" i="14"/>
  <c r="X37" i="14"/>
  <c r="N37" i="14"/>
  <c r="L37" i="14"/>
  <c r="CN36" i="14"/>
  <c r="BJ36" i="14"/>
  <c r="BI36" i="14"/>
  <c r="BH36" i="14"/>
  <c r="AO36" i="14"/>
  <c r="N36" i="14"/>
  <c r="L36" i="14"/>
  <c r="FF36" i="14" s="1"/>
  <c r="J36" i="14"/>
  <c r="EZ35" i="14"/>
  <c r="CN35" i="14"/>
  <c r="BJ35" i="14"/>
  <c r="BI35" i="14"/>
  <c r="BH35" i="14"/>
  <c r="AO35" i="14"/>
  <c r="N35" i="14"/>
  <c r="L35" i="14"/>
  <c r="J35" i="14"/>
  <c r="X35" i="14"/>
  <c r="EZ34" i="14"/>
  <c r="CN34" i="14"/>
  <c r="BJ34" i="14"/>
  <c r="BI34" i="14"/>
  <c r="BH34" i="14"/>
  <c r="AO34" i="14"/>
  <c r="N34" i="14"/>
  <c r="L34" i="14"/>
  <c r="X34" i="14"/>
  <c r="CN33" i="14"/>
  <c r="BJ33" i="14"/>
  <c r="BI33" i="14"/>
  <c r="BH33" i="14"/>
  <c r="AO33" i="14"/>
  <c r="N33" i="14"/>
  <c r="L33" i="14"/>
  <c r="J33" i="14"/>
  <c r="EZ32" i="14"/>
  <c r="CN32" i="14"/>
  <c r="BJ32" i="14"/>
  <c r="BI32" i="14"/>
  <c r="BH32" i="14"/>
  <c r="AO32" i="14"/>
  <c r="N32" i="14"/>
  <c r="L32" i="14"/>
  <c r="AU32" i="14" s="1"/>
  <c r="J32" i="14"/>
  <c r="X32" i="14"/>
  <c r="AP32" i="14" s="1"/>
  <c r="CN31" i="14"/>
  <c r="BJ31" i="14"/>
  <c r="BI31" i="14"/>
  <c r="BH31" i="14"/>
  <c r="AO31" i="14"/>
  <c r="X31" i="14"/>
  <c r="N31" i="14"/>
  <c r="L31" i="14"/>
  <c r="FF31" i="14" s="1"/>
  <c r="CN30" i="14"/>
  <c r="BJ30" i="14"/>
  <c r="BI30" i="14"/>
  <c r="BH30" i="14"/>
  <c r="AO30" i="14"/>
  <c r="N30" i="14"/>
  <c r="L30" i="14"/>
  <c r="CN29" i="14"/>
  <c r="BJ29" i="14"/>
  <c r="BI29" i="14"/>
  <c r="BH29" i="14"/>
  <c r="AO29" i="14"/>
  <c r="N29" i="14"/>
  <c r="L29" i="14"/>
  <c r="FF29" i="14" s="1"/>
  <c r="EZ29" i="14"/>
  <c r="CN28" i="14"/>
  <c r="BJ28" i="14"/>
  <c r="BI28" i="14"/>
  <c r="BH28" i="14"/>
  <c r="AO28" i="14"/>
  <c r="N28" i="14"/>
  <c r="L28" i="14"/>
  <c r="AU28" i="14" s="1"/>
  <c r="EZ28" i="14"/>
  <c r="EZ27" i="14"/>
  <c r="CN27" i="14"/>
  <c r="BJ27" i="14"/>
  <c r="BI27" i="14"/>
  <c r="BH27" i="14"/>
  <c r="AO27" i="14"/>
  <c r="X27" i="14"/>
  <c r="BV27" i="14" s="1"/>
  <c r="N27" i="14"/>
  <c r="L27" i="14"/>
  <c r="AU27" i="14" s="1"/>
  <c r="J27" i="14"/>
  <c r="AV27" i="14" s="1"/>
  <c r="FF26" i="14"/>
  <c r="CN26" i="14"/>
  <c r="BJ26" i="14"/>
  <c r="BI26" i="14"/>
  <c r="BH26" i="14"/>
  <c r="AO26" i="14"/>
  <c r="N26" i="14"/>
  <c r="L26" i="14"/>
  <c r="CN25" i="14"/>
  <c r="BJ25" i="14"/>
  <c r="BI25" i="14"/>
  <c r="BH25" i="14"/>
  <c r="AO25" i="14"/>
  <c r="X25" i="14"/>
  <c r="AP25" i="14" s="1"/>
  <c r="N25" i="14"/>
  <c r="L25" i="14"/>
  <c r="AT25" i="14" s="1"/>
  <c r="EZ25" i="14"/>
  <c r="CN24" i="14"/>
  <c r="BJ24" i="14"/>
  <c r="BI24" i="14"/>
  <c r="BH24" i="14"/>
  <c r="AO24" i="14"/>
  <c r="X24" i="14"/>
  <c r="N24" i="14"/>
  <c r="M24" i="14"/>
  <c r="L24" i="14"/>
  <c r="AU24" i="14" s="1"/>
  <c r="EZ23" i="14"/>
  <c r="CN23" i="14"/>
  <c r="BJ23" i="14"/>
  <c r="BI23" i="14"/>
  <c r="BH23" i="14"/>
  <c r="BL23" i="14" s="1"/>
  <c r="AO23" i="14"/>
  <c r="X23" i="14"/>
  <c r="N23" i="14"/>
  <c r="L23" i="14"/>
  <c r="FF23" i="14" s="1"/>
  <c r="J23" i="14"/>
  <c r="BX66" i="14" s="1"/>
  <c r="FF22" i="14"/>
  <c r="CN22" i="14"/>
  <c r="BJ22" i="14"/>
  <c r="BI22" i="14"/>
  <c r="BH22" i="14"/>
  <c r="AO22" i="14"/>
  <c r="N22" i="14"/>
  <c r="L22" i="14"/>
  <c r="AT22" i="14"/>
  <c r="EZ21" i="14"/>
  <c r="DE21" i="14"/>
  <c r="DE22" i="14" s="1"/>
  <c r="DE23" i="14" s="1"/>
  <c r="CN21" i="14"/>
  <c r="BJ21" i="14"/>
  <c r="BI21" i="14"/>
  <c r="BH21" i="14"/>
  <c r="AO21" i="14"/>
  <c r="X21" i="14"/>
  <c r="BV21" i="14" s="1"/>
  <c r="N21" i="14"/>
  <c r="L21" i="14"/>
  <c r="M21" i="14" s="1"/>
  <c r="J21" i="14"/>
  <c r="BJ20" i="14"/>
  <c r="BI20" i="14"/>
  <c r="BH20" i="14"/>
  <c r="AO20" i="14"/>
  <c r="Y20" i="14"/>
  <c r="BX20" i="14" s="1"/>
  <c r="N20" i="14"/>
  <c r="L20" i="14"/>
  <c r="FF20" i="14" s="1"/>
  <c r="EZ19" i="14"/>
  <c r="FA19" i="14" s="1"/>
  <c r="BJ19" i="14"/>
  <c r="BI19" i="14"/>
  <c r="BH19" i="14"/>
  <c r="AO19" i="14"/>
  <c r="Y19" i="14"/>
  <c r="BX19" i="14" s="1"/>
  <c r="N19" i="14"/>
  <c r="L19" i="14"/>
  <c r="AT19" i="14" s="1"/>
  <c r="EZ18" i="14"/>
  <c r="FA18" i="14" s="1"/>
  <c r="BJ18" i="14"/>
  <c r="BI18" i="14"/>
  <c r="BH18" i="14"/>
  <c r="AO18" i="14"/>
  <c r="Y18" i="14"/>
  <c r="BX18" i="14" s="1"/>
  <c r="X18" i="14"/>
  <c r="BV18" i="14" s="1"/>
  <c r="N18" i="14"/>
  <c r="L18" i="14"/>
  <c r="BJ17" i="14"/>
  <c r="BI17" i="14"/>
  <c r="BH17" i="14"/>
  <c r="AU17" i="14"/>
  <c r="AO17" i="14"/>
  <c r="Y17" i="14"/>
  <c r="BX17" i="14" s="1"/>
  <c r="N17" i="14"/>
  <c r="L17" i="14"/>
  <c r="FF17" i="14" s="1"/>
  <c r="EZ16" i="14"/>
  <c r="FA16" i="14" s="1"/>
  <c r="BJ16" i="14"/>
  <c r="BI16" i="14"/>
  <c r="BH16" i="14"/>
  <c r="AO16" i="14"/>
  <c r="Y16" i="14"/>
  <c r="BX16" i="14" s="1"/>
  <c r="X16" i="14"/>
  <c r="BV16" i="14" s="1"/>
  <c r="N16" i="14"/>
  <c r="L16" i="14"/>
  <c r="AU16" i="14" s="1"/>
  <c r="BJ15" i="14"/>
  <c r="BI15" i="14"/>
  <c r="BH15" i="14"/>
  <c r="AO15" i="14"/>
  <c r="Y15" i="14"/>
  <c r="N15" i="14"/>
  <c r="L15" i="14"/>
  <c r="AU15" i="14" s="1"/>
  <c r="I51" i="14"/>
  <c r="EZ14" i="14"/>
  <c r="FA14" i="14" s="1"/>
  <c r="BJ14" i="14"/>
  <c r="BI14" i="14"/>
  <c r="BH14" i="14"/>
  <c r="Y14" i="14"/>
  <c r="BX14" i="14" s="1"/>
  <c r="X14" i="14"/>
  <c r="BV14" i="14" s="1"/>
  <c r="N14" i="14"/>
  <c r="L14" i="14"/>
  <c r="AU14" i="14" s="1"/>
  <c r="J14" i="14"/>
  <c r="EZ13" i="14"/>
  <c r="FA13" i="14" s="1"/>
  <c r="BJ13" i="14"/>
  <c r="BI13" i="14"/>
  <c r="BH13" i="14"/>
  <c r="Y13" i="14"/>
  <c r="BX13" i="14" s="1"/>
  <c r="X13" i="14"/>
  <c r="N13" i="14"/>
  <c r="L13" i="14"/>
  <c r="M13" i="14" s="1"/>
  <c r="EO12" i="14"/>
  <c r="BX12" i="14"/>
  <c r="BW12" i="14"/>
  <c r="BV12" i="14"/>
  <c r="BU12" i="14"/>
  <c r="BT12" i="14"/>
  <c r="AE12" i="14"/>
  <c r="EP12" i="14" s="1"/>
  <c r="AA12" i="14"/>
  <c r="V12" i="14"/>
  <c r="T12" i="14"/>
  <c r="L12" i="14"/>
  <c r="FF12" i="14" s="1"/>
  <c r="EO11" i="14"/>
  <c r="BX11" i="14"/>
  <c r="BW11" i="14"/>
  <c r="BV11" i="14"/>
  <c r="BU11" i="14"/>
  <c r="BT11" i="14"/>
  <c r="AE11" i="14"/>
  <c r="EP11" i="14" s="1"/>
  <c r="AA11" i="14"/>
  <c r="V11" i="14"/>
  <c r="T11" i="14"/>
  <c r="L11" i="14"/>
  <c r="EU11" i="14" s="1"/>
  <c r="EP10" i="14"/>
  <c r="EO10" i="14"/>
  <c r="BY10" i="14"/>
  <c r="BX10" i="14"/>
  <c r="BW10" i="14"/>
  <c r="BV10" i="14"/>
  <c r="BU10" i="14"/>
  <c r="BT10" i="14"/>
  <c r="AE10" i="14"/>
  <c r="AA10" i="14"/>
  <c r="AJ10" i="14" s="1"/>
  <c r="V10" i="14"/>
  <c r="EM10" i="14" s="1"/>
  <c r="T10" i="14"/>
  <c r="L10" i="14"/>
  <c r="FF10" i="14" s="1"/>
  <c r="EO9" i="14"/>
  <c r="BX9" i="14"/>
  <c r="BW9" i="14"/>
  <c r="BV9" i="14"/>
  <c r="BU9" i="14"/>
  <c r="BT9" i="14"/>
  <c r="AE9" i="14"/>
  <c r="EP9" i="14" s="1"/>
  <c r="AA9" i="14"/>
  <c r="V9" i="14"/>
  <c r="T9" i="14"/>
  <c r="L9" i="14"/>
  <c r="FF9" i="14" s="1"/>
  <c r="EO8" i="14"/>
  <c r="EM8" i="14"/>
  <c r="BX8" i="14"/>
  <c r="BW8" i="14"/>
  <c r="BV8" i="14"/>
  <c r="BU8" i="14"/>
  <c r="BT8" i="14"/>
  <c r="AE8" i="14"/>
  <c r="EP8" i="14" s="1"/>
  <c r="AA8" i="14"/>
  <c r="AJ8" i="14" s="1"/>
  <c r="V8" i="14"/>
  <c r="DI8" i="14" s="1"/>
  <c r="T8" i="14"/>
  <c r="L8" i="14"/>
  <c r="FF8" i="14" s="1"/>
  <c r="EO7" i="14"/>
  <c r="BX7" i="14"/>
  <c r="BW7" i="14"/>
  <c r="BV7" i="14"/>
  <c r="BU7" i="14"/>
  <c r="BT7" i="14"/>
  <c r="AE7" i="14"/>
  <c r="EP7" i="14" s="1"/>
  <c r="AA7" i="14"/>
  <c r="V7" i="14"/>
  <c r="AJ7" i="14" s="1"/>
  <c r="T7" i="14"/>
  <c r="L7" i="14"/>
  <c r="FF7" i="14" s="1"/>
  <c r="O90" i="13"/>
  <c r="AI84" i="13"/>
  <c r="AH84" i="13"/>
  <c r="AG84" i="13"/>
  <c r="Q84" i="13"/>
  <c r="K84" i="13"/>
  <c r="F84" i="13"/>
  <c r="BS75" i="13"/>
  <c r="BS74" i="13"/>
  <c r="BS73" i="13"/>
  <c r="BS72" i="13"/>
  <c r="BS71" i="13"/>
  <c r="BS70" i="13"/>
  <c r="BS69" i="13"/>
  <c r="BS68" i="13"/>
  <c r="BS67" i="13"/>
  <c r="BS66" i="13"/>
  <c r="BS65" i="13"/>
  <c r="BS64" i="13"/>
  <c r="BS63" i="13"/>
  <c r="AN63" i="13"/>
  <c r="BS62" i="13"/>
  <c r="BS61" i="13"/>
  <c r="BS60" i="13"/>
  <c r="BS59" i="13"/>
  <c r="BS58" i="13"/>
  <c r="BS57" i="13"/>
  <c r="CJ54" i="13"/>
  <c r="CG54" i="13"/>
  <c r="CF54" i="13"/>
  <c r="AI54" i="13"/>
  <c r="AH54" i="13"/>
  <c r="AG54" i="13"/>
  <c r="CJ53" i="13"/>
  <c r="CG53" i="13"/>
  <c r="CF53" i="13"/>
  <c r="AI53" i="13"/>
  <c r="AH53" i="13"/>
  <c r="AG53" i="13"/>
  <c r="CJ51" i="13"/>
  <c r="CG51" i="13"/>
  <c r="CF51" i="13"/>
  <c r="AI51" i="13"/>
  <c r="AH51" i="13"/>
  <c r="AG51" i="13"/>
  <c r="K51" i="13"/>
  <c r="CJ50" i="13"/>
  <c r="CG50" i="13"/>
  <c r="CF50" i="13"/>
  <c r="AI50" i="13"/>
  <c r="AH50" i="13"/>
  <c r="AG50" i="13"/>
  <c r="K50" i="13"/>
  <c r="K49" i="13"/>
  <c r="H49" i="13"/>
  <c r="EW47" i="13"/>
  <c r="CM46" i="13"/>
  <c r="N46" i="13"/>
  <c r="L46" i="13"/>
  <c r="G46" i="13"/>
  <c r="X46" i="13" s="1"/>
  <c r="E46" i="13"/>
  <c r="DF45" i="13"/>
  <c r="DE45" i="13"/>
  <c r="DA45" i="13"/>
  <c r="CM45" i="13"/>
  <c r="N45" i="13"/>
  <c r="L45" i="13"/>
  <c r="AT45" i="13" s="1"/>
  <c r="H45" i="13"/>
  <c r="G45" i="13"/>
  <c r="E45" i="13"/>
  <c r="CM44" i="13"/>
  <c r="BI44" i="13"/>
  <c r="BH44" i="13"/>
  <c r="BG44" i="13"/>
  <c r="N44" i="13"/>
  <c r="L44" i="13"/>
  <c r="G44" i="13"/>
  <c r="X44" i="13" s="1"/>
  <c r="E44" i="13"/>
  <c r="CM43" i="13"/>
  <c r="BI43" i="13"/>
  <c r="BH43" i="13"/>
  <c r="BG43" i="13"/>
  <c r="N43" i="13"/>
  <c r="L43" i="13"/>
  <c r="G43" i="13"/>
  <c r="X43" i="13" s="1"/>
  <c r="E43" i="13"/>
  <c r="FE42" i="13"/>
  <c r="CM42" i="13"/>
  <c r="BI42" i="13"/>
  <c r="BH42" i="13"/>
  <c r="BG42" i="13"/>
  <c r="N42" i="13"/>
  <c r="L42" i="13"/>
  <c r="G42" i="13"/>
  <c r="X42" i="13" s="1"/>
  <c r="E42" i="13"/>
  <c r="FE41" i="13"/>
  <c r="CM41" i="13"/>
  <c r="BI41" i="13"/>
  <c r="BH41" i="13"/>
  <c r="BG41" i="13"/>
  <c r="N41" i="13"/>
  <c r="L41" i="13"/>
  <c r="G41" i="13"/>
  <c r="X41" i="13" s="1"/>
  <c r="E41" i="13"/>
  <c r="CM40" i="13"/>
  <c r="BI40" i="13"/>
  <c r="BH40" i="13"/>
  <c r="BG40" i="13"/>
  <c r="X40" i="13"/>
  <c r="N40" i="13"/>
  <c r="L40" i="13"/>
  <c r="G40" i="13"/>
  <c r="E40" i="13"/>
  <c r="FE39" i="13"/>
  <c r="FC39" i="13"/>
  <c r="CM39" i="13"/>
  <c r="BI39" i="13"/>
  <c r="BH39" i="13"/>
  <c r="BG39" i="13"/>
  <c r="X39" i="13"/>
  <c r="N39" i="13"/>
  <c r="L39" i="13"/>
  <c r="G39" i="13"/>
  <c r="E39" i="13"/>
  <c r="FE38" i="13"/>
  <c r="FC38" i="13"/>
  <c r="CM38" i="13"/>
  <c r="BI38" i="13"/>
  <c r="BH38" i="13"/>
  <c r="BG38" i="13"/>
  <c r="AN38" i="13"/>
  <c r="N38" i="13"/>
  <c r="L38" i="13"/>
  <c r="H38" i="13"/>
  <c r="G38" i="13"/>
  <c r="E38" i="13"/>
  <c r="CM37" i="13"/>
  <c r="BI37" i="13"/>
  <c r="BH37" i="13"/>
  <c r="BG37" i="13"/>
  <c r="AN37" i="13"/>
  <c r="N37" i="13"/>
  <c r="L37" i="13"/>
  <c r="FE37" i="13" s="1"/>
  <c r="H37" i="13"/>
  <c r="G37" i="13"/>
  <c r="E37" i="13"/>
  <c r="CM36" i="13"/>
  <c r="BI36" i="13"/>
  <c r="BH36" i="13"/>
  <c r="BG36" i="13"/>
  <c r="AN36" i="13"/>
  <c r="O36" i="13"/>
  <c r="N36" i="13"/>
  <c r="L36" i="13"/>
  <c r="H36" i="13"/>
  <c r="G36" i="13"/>
  <c r="X36" i="13" s="1"/>
  <c r="E36" i="13"/>
  <c r="CM35" i="13"/>
  <c r="BI35" i="13"/>
  <c r="BH35" i="13"/>
  <c r="BG35" i="13"/>
  <c r="AN35" i="13"/>
  <c r="N35" i="13"/>
  <c r="L35" i="13"/>
  <c r="H35" i="13"/>
  <c r="M35" i="13" s="1"/>
  <c r="G35" i="13"/>
  <c r="X35" i="13" s="1"/>
  <c r="AO35" i="13" s="1"/>
  <c r="E35" i="13"/>
  <c r="FE34" i="13"/>
  <c r="CM34" i="13"/>
  <c r="BI34" i="13"/>
  <c r="BH34" i="13"/>
  <c r="BG34" i="13"/>
  <c r="AN34" i="13"/>
  <c r="O34" i="13"/>
  <c r="N34" i="13"/>
  <c r="L34" i="13"/>
  <c r="H34" i="13"/>
  <c r="AT34" i="13" s="1"/>
  <c r="G34" i="13"/>
  <c r="X34" i="13" s="1"/>
  <c r="E34" i="13"/>
  <c r="FE33" i="13"/>
  <c r="CM33" i="13"/>
  <c r="BI33" i="13"/>
  <c r="BH33" i="13"/>
  <c r="BG33" i="13"/>
  <c r="AN33" i="13"/>
  <c r="X33" i="13"/>
  <c r="N33" i="13"/>
  <c r="O33" i="13" s="1"/>
  <c r="L33" i="13"/>
  <c r="H33" i="13"/>
  <c r="M33" i="13" s="1"/>
  <c r="G33" i="13"/>
  <c r="EY33" i="13" s="1"/>
  <c r="E33" i="13"/>
  <c r="CM32" i="13"/>
  <c r="BI32" i="13"/>
  <c r="BH32" i="13"/>
  <c r="BG32" i="13"/>
  <c r="AN32" i="13"/>
  <c r="N32" i="13"/>
  <c r="L32" i="13"/>
  <c r="FC32" i="13" s="1"/>
  <c r="H32" i="13"/>
  <c r="AT32" i="13" s="1"/>
  <c r="G32" i="13"/>
  <c r="E32" i="13"/>
  <c r="CM31" i="13"/>
  <c r="BI31" i="13"/>
  <c r="BH31" i="13"/>
  <c r="BG31" i="13"/>
  <c r="AN31" i="13"/>
  <c r="O31" i="13"/>
  <c r="N31" i="13"/>
  <c r="L31" i="13"/>
  <c r="H31" i="13"/>
  <c r="G31" i="13"/>
  <c r="X31" i="13" s="1"/>
  <c r="E31" i="13"/>
  <c r="EI30" i="13"/>
  <c r="CM30" i="13"/>
  <c r="BI30" i="13"/>
  <c r="BH30" i="13"/>
  <c r="BG30" i="13"/>
  <c r="AN30" i="13"/>
  <c r="BY74" i="13"/>
  <c r="N30" i="13"/>
  <c r="O30" i="13" s="1"/>
  <c r="L30" i="13"/>
  <c r="H30" i="13"/>
  <c r="EY30" i="13" s="1"/>
  <c r="G30" i="13"/>
  <c r="X30" i="13" s="1"/>
  <c r="E30" i="13"/>
  <c r="FE29" i="13"/>
  <c r="FC29" i="13"/>
  <c r="CM29" i="13"/>
  <c r="BI29" i="13"/>
  <c r="BH29" i="13"/>
  <c r="BG29" i="13"/>
  <c r="AN29" i="13"/>
  <c r="X29" i="13"/>
  <c r="BU29" i="13" s="1"/>
  <c r="BY73" i="13"/>
  <c r="O29" i="13"/>
  <c r="N29" i="13"/>
  <c r="L29" i="13"/>
  <c r="H29" i="13"/>
  <c r="M29" i="13" s="1"/>
  <c r="G29" i="13"/>
  <c r="E29" i="13"/>
  <c r="CM28" i="13"/>
  <c r="BI28" i="13"/>
  <c r="BH28" i="13"/>
  <c r="BG28" i="13"/>
  <c r="AN28" i="13"/>
  <c r="N28" i="13"/>
  <c r="L28" i="13"/>
  <c r="FE28" i="13" s="1"/>
  <c r="H28" i="13"/>
  <c r="G28" i="13"/>
  <c r="E28" i="13"/>
  <c r="EI27" i="13"/>
  <c r="CM27" i="13"/>
  <c r="BI27" i="13"/>
  <c r="BH27" i="13"/>
  <c r="BG27" i="13"/>
  <c r="AN27" i="13"/>
  <c r="BY71" i="13"/>
  <c r="N27" i="13"/>
  <c r="L27" i="13"/>
  <c r="H27" i="13"/>
  <c r="G27" i="13"/>
  <c r="EY27" i="13" s="1"/>
  <c r="E27" i="13"/>
  <c r="FE26" i="13"/>
  <c r="FC26" i="13"/>
  <c r="EI26" i="13"/>
  <c r="CM26" i="13"/>
  <c r="BI26" i="13"/>
  <c r="BH26" i="13"/>
  <c r="BG26" i="13"/>
  <c r="AN26" i="13"/>
  <c r="O26" i="13"/>
  <c r="N26" i="13"/>
  <c r="L26" i="13"/>
  <c r="H26" i="13"/>
  <c r="G26" i="13"/>
  <c r="E26" i="13"/>
  <c r="EI25" i="13"/>
  <c r="CM25" i="13"/>
  <c r="BU25" i="13"/>
  <c r="BI25" i="13"/>
  <c r="BH25" i="13"/>
  <c r="BG25" i="13"/>
  <c r="AN25" i="13"/>
  <c r="BY69" i="13"/>
  <c r="N25" i="13"/>
  <c r="L25" i="13"/>
  <c r="H25" i="13"/>
  <c r="AT25" i="13" s="1"/>
  <c r="G25" i="13"/>
  <c r="X25" i="13" s="1"/>
  <c r="E25" i="13"/>
  <c r="FE24" i="13"/>
  <c r="CM24" i="13"/>
  <c r="BI24" i="13"/>
  <c r="BH24" i="13"/>
  <c r="BG24" i="13"/>
  <c r="AN24" i="13"/>
  <c r="N24" i="13"/>
  <c r="L24" i="13"/>
  <c r="H24" i="13"/>
  <c r="G24" i="13"/>
  <c r="E24" i="13"/>
  <c r="EI23" i="13"/>
  <c r="CM23" i="13"/>
  <c r="BI23" i="13"/>
  <c r="BH23" i="13"/>
  <c r="BG23" i="13"/>
  <c r="AN23" i="13"/>
  <c r="BY67" i="13"/>
  <c r="N23" i="13"/>
  <c r="L23" i="13"/>
  <c r="H23" i="13"/>
  <c r="EY23" i="13" s="1"/>
  <c r="G23" i="13"/>
  <c r="X23" i="13" s="1"/>
  <c r="E23" i="13"/>
  <c r="FE22" i="13"/>
  <c r="DD22" i="13"/>
  <c r="DD23" i="13" s="1"/>
  <c r="CM22" i="13"/>
  <c r="BI22" i="13"/>
  <c r="BH22" i="13"/>
  <c r="BG22" i="13"/>
  <c r="AN22" i="13"/>
  <c r="O22" i="13"/>
  <c r="N22" i="13"/>
  <c r="L22" i="13"/>
  <c r="H22" i="13"/>
  <c r="AT22" i="13" s="1"/>
  <c r="G22" i="13"/>
  <c r="E22" i="13"/>
  <c r="EY21" i="13"/>
  <c r="EI21" i="13"/>
  <c r="DD21" i="13"/>
  <c r="CM21" i="13"/>
  <c r="BI21" i="13"/>
  <c r="BH21" i="13"/>
  <c r="BG21" i="13"/>
  <c r="AN21" i="13"/>
  <c r="O21" i="13"/>
  <c r="N21" i="13"/>
  <c r="L21" i="13"/>
  <c r="H21" i="13"/>
  <c r="G21" i="13"/>
  <c r="X21" i="13" s="1"/>
  <c r="E21" i="13"/>
  <c r="FC20" i="13"/>
  <c r="BI20" i="13"/>
  <c r="BH20" i="13"/>
  <c r="BG20" i="13"/>
  <c r="AT20" i="13"/>
  <c r="AN20" i="13"/>
  <c r="Y20" i="13"/>
  <c r="BW20" i="13" s="1"/>
  <c r="X20" i="13"/>
  <c r="AO20" i="13" s="1"/>
  <c r="O20" i="13"/>
  <c r="N20" i="13"/>
  <c r="M20" i="13"/>
  <c r="L20" i="13"/>
  <c r="FE20" i="13" s="1"/>
  <c r="G20" i="13"/>
  <c r="E20" i="13"/>
  <c r="EI19" i="13"/>
  <c r="BI19" i="13"/>
  <c r="BH19" i="13"/>
  <c r="BG19" i="13"/>
  <c r="AN19" i="13"/>
  <c r="Y19" i="13"/>
  <c r="BW19" i="13" s="1"/>
  <c r="BY63" i="13"/>
  <c r="O19" i="13"/>
  <c r="N19" i="13"/>
  <c r="M19" i="13"/>
  <c r="L19" i="13"/>
  <c r="AT19" i="13" s="1"/>
  <c r="G19" i="13"/>
  <c r="EY19" i="13" s="1"/>
  <c r="EZ19" i="13" s="1"/>
  <c r="E19" i="13"/>
  <c r="FE18" i="13"/>
  <c r="BI18" i="13"/>
  <c r="BH18" i="13"/>
  <c r="BG18" i="13"/>
  <c r="AT18" i="13"/>
  <c r="AN18" i="13"/>
  <c r="Y18" i="13"/>
  <c r="BW18" i="13" s="1"/>
  <c r="BY62" i="13"/>
  <c r="N18" i="13"/>
  <c r="M18" i="13"/>
  <c r="L18" i="13"/>
  <c r="G18" i="13"/>
  <c r="E18" i="13"/>
  <c r="EI17" i="13"/>
  <c r="BI17" i="13"/>
  <c r="BH17" i="13"/>
  <c r="BG17" i="13"/>
  <c r="AP17" i="13"/>
  <c r="AN17" i="13"/>
  <c r="Y17" i="13"/>
  <c r="BW17" i="13" s="1"/>
  <c r="X17" i="13"/>
  <c r="AO17" i="13" s="1"/>
  <c r="BY61" i="13"/>
  <c r="N17" i="13"/>
  <c r="O17" i="13" s="1"/>
  <c r="M17" i="13"/>
  <c r="L17" i="13"/>
  <c r="AT17" i="13" s="1"/>
  <c r="G17" i="13"/>
  <c r="EY17" i="13" s="1"/>
  <c r="EZ17" i="13" s="1"/>
  <c r="E17" i="13"/>
  <c r="FE16" i="13"/>
  <c r="BI16" i="13"/>
  <c r="BH16" i="13"/>
  <c r="BG16" i="13"/>
  <c r="AT16" i="13"/>
  <c r="AN16" i="13"/>
  <c r="Y16" i="13"/>
  <c r="BW16" i="13" s="1"/>
  <c r="BY60" i="13"/>
  <c r="N16" i="13"/>
  <c r="M16" i="13"/>
  <c r="L16" i="13"/>
  <c r="G16" i="13"/>
  <c r="E16" i="13"/>
  <c r="EI15" i="13"/>
  <c r="BI15" i="13"/>
  <c r="BH15" i="13"/>
  <c r="BG15" i="13"/>
  <c r="AP15" i="13"/>
  <c r="AN15" i="13"/>
  <c r="Y15" i="13"/>
  <c r="N15" i="13"/>
  <c r="O15" i="13" s="1"/>
  <c r="M15" i="13"/>
  <c r="L15" i="13"/>
  <c r="G15" i="13"/>
  <c r="X15" i="13" s="1"/>
  <c r="AO15" i="13" s="1"/>
  <c r="E15" i="13"/>
  <c r="FE14" i="13"/>
  <c r="BI14" i="13"/>
  <c r="BH14" i="13"/>
  <c r="BG14" i="13"/>
  <c r="AT14" i="13"/>
  <c r="Y14" i="13"/>
  <c r="BW14" i="13" s="1"/>
  <c r="FC14" i="13"/>
  <c r="O14" i="13"/>
  <c r="N14" i="13"/>
  <c r="L14" i="13"/>
  <c r="G14" i="13"/>
  <c r="BI13" i="13"/>
  <c r="BH13" i="13"/>
  <c r="BG13" i="13"/>
  <c r="Y13" i="13"/>
  <c r="O13" i="13"/>
  <c r="N13" i="13"/>
  <c r="L13" i="13"/>
  <c r="G13" i="13"/>
  <c r="X13" i="13" s="1"/>
  <c r="EN12" i="13"/>
  <c r="EL12" i="13"/>
  <c r="DH12" i="13"/>
  <c r="BX12" i="13"/>
  <c r="EW12" i="13" s="1"/>
  <c r="BW12" i="13"/>
  <c r="BV12" i="13"/>
  <c r="BU12" i="13"/>
  <c r="BT12" i="13"/>
  <c r="BS12" i="13"/>
  <c r="AJ12" i="13"/>
  <c r="AE12" i="13"/>
  <c r="EO12" i="13" s="1"/>
  <c r="AA12" i="13"/>
  <c r="V12" i="13"/>
  <c r="T12" i="13"/>
  <c r="L12" i="13"/>
  <c r="FE12" i="13" s="1"/>
  <c r="EO11" i="13"/>
  <c r="EN11" i="13"/>
  <c r="BW11" i="13"/>
  <c r="BV11" i="13"/>
  <c r="BU11" i="13"/>
  <c r="BT11" i="13"/>
  <c r="BS11" i="13"/>
  <c r="BX11" i="13" s="1"/>
  <c r="AE11" i="13"/>
  <c r="AA11" i="13"/>
  <c r="V11" i="13"/>
  <c r="AJ11" i="13" s="1"/>
  <c r="T11" i="13"/>
  <c r="L11" i="13"/>
  <c r="FE11" i="13" s="1"/>
  <c r="FE10" i="13"/>
  <c r="EO10" i="13"/>
  <c r="EN10" i="13"/>
  <c r="DH10" i="13"/>
  <c r="BW10" i="13"/>
  <c r="BV10" i="13"/>
  <c r="BU10" i="13"/>
  <c r="BT10" i="13"/>
  <c r="BX10" i="13" s="1"/>
  <c r="BS10" i="13"/>
  <c r="AE10" i="13"/>
  <c r="AA10" i="13"/>
  <c r="V10" i="13"/>
  <c r="AJ10" i="13" s="1"/>
  <c r="T10" i="13"/>
  <c r="L10" i="13"/>
  <c r="ET10" i="13" s="1"/>
  <c r="EO9" i="13"/>
  <c r="EN9" i="13"/>
  <c r="EL9" i="13"/>
  <c r="DH9" i="13"/>
  <c r="BY9" i="13"/>
  <c r="BX9" i="13"/>
  <c r="EW9" i="13" s="1"/>
  <c r="BW9" i="13"/>
  <c r="BV9" i="13"/>
  <c r="BU9" i="13"/>
  <c r="BT9" i="13"/>
  <c r="BS9" i="13"/>
  <c r="AJ9" i="13"/>
  <c r="AE9" i="13"/>
  <c r="AA9" i="13"/>
  <c r="V9" i="13"/>
  <c r="T9" i="13"/>
  <c r="L9" i="13"/>
  <c r="FE9" i="13" s="1"/>
  <c r="EN8" i="13"/>
  <c r="EL8" i="13"/>
  <c r="DH8" i="13"/>
  <c r="BW8" i="13"/>
  <c r="BV8" i="13"/>
  <c r="BU8" i="13"/>
  <c r="BT8" i="13"/>
  <c r="BS8" i="13"/>
  <c r="BX8" i="13" s="1"/>
  <c r="AE8" i="13"/>
  <c r="EO8" i="13" s="1"/>
  <c r="AA8" i="13"/>
  <c r="AJ8" i="13" s="1"/>
  <c r="V8" i="13"/>
  <c r="T8" i="13"/>
  <c r="L8" i="13"/>
  <c r="ET8" i="13" s="1"/>
  <c r="FE7" i="13"/>
  <c r="EN7" i="13"/>
  <c r="EL7" i="13"/>
  <c r="DH7" i="13"/>
  <c r="BW7" i="13"/>
  <c r="BV7" i="13"/>
  <c r="BU7" i="13"/>
  <c r="BT7" i="13"/>
  <c r="BS7" i="13"/>
  <c r="BX7" i="13" s="1"/>
  <c r="AE7" i="13"/>
  <c r="EO7" i="13" s="1"/>
  <c r="AA7" i="13"/>
  <c r="V7" i="13"/>
  <c r="AJ7" i="13" s="1"/>
  <c r="T7" i="13"/>
  <c r="L7" i="13"/>
  <c r="ET7" i="13" s="1"/>
  <c r="N60" i="12"/>
  <c r="M60" i="12"/>
  <c r="L60" i="12"/>
  <c r="A60" i="12"/>
  <c r="N59" i="12"/>
  <c r="M59" i="12"/>
  <c r="L59" i="12"/>
  <c r="A59" i="12"/>
  <c r="O58" i="12"/>
  <c r="N58" i="12"/>
  <c r="M58" i="12"/>
  <c r="L58" i="12"/>
  <c r="A58" i="12"/>
  <c r="O57" i="12"/>
  <c r="L57" i="12"/>
  <c r="A57" i="12"/>
  <c r="N56" i="12"/>
  <c r="M56" i="12"/>
  <c r="L56" i="12"/>
  <c r="A56" i="12"/>
  <c r="N55" i="12"/>
  <c r="M55" i="12"/>
  <c r="L55" i="12"/>
  <c r="A55" i="12"/>
  <c r="N54" i="12"/>
  <c r="L54" i="12"/>
  <c r="A54" i="12"/>
  <c r="N53" i="12"/>
  <c r="M53" i="12"/>
  <c r="L53" i="12"/>
  <c r="A53" i="12"/>
  <c r="Q38" i="12"/>
  <c r="Q37" i="12"/>
  <c r="Q36" i="12"/>
  <c r="Q35" i="12"/>
  <c r="Q34" i="12"/>
  <c r="Q33" i="12"/>
  <c r="Q32" i="12"/>
  <c r="Q31" i="12"/>
  <c r="Q30" i="12"/>
  <c r="Q29" i="12"/>
  <c r="N28" i="12"/>
  <c r="Q25" i="12"/>
  <c r="O25" i="12"/>
  <c r="N25" i="12"/>
  <c r="M25" i="12"/>
  <c r="L25" i="12"/>
  <c r="K25" i="12"/>
  <c r="J25" i="12"/>
  <c r="I25" i="12"/>
  <c r="H25" i="12"/>
  <c r="G25" i="12"/>
  <c r="F25" i="12"/>
  <c r="E25" i="12"/>
  <c r="D25" i="12"/>
  <c r="C25" i="12"/>
  <c r="B25" i="12"/>
  <c r="O24" i="12"/>
  <c r="Q24" i="12" s="1"/>
  <c r="N24" i="12"/>
  <c r="M24" i="12"/>
  <c r="Q23" i="12"/>
  <c r="Q22" i="12"/>
  <c r="Q21" i="12"/>
  <c r="Q20" i="12"/>
  <c r="Q19" i="12"/>
  <c r="Q18" i="12"/>
  <c r="Q17" i="12"/>
  <c r="Q16" i="12"/>
  <c r="N15" i="12"/>
  <c r="N13" i="12"/>
  <c r="L13" i="12"/>
  <c r="K13" i="12"/>
  <c r="J13" i="12"/>
  <c r="I13" i="12"/>
  <c r="H13" i="12"/>
  <c r="G13" i="12"/>
  <c r="F13" i="12"/>
  <c r="E13" i="12"/>
  <c r="D13" i="12"/>
  <c r="C13" i="12"/>
  <c r="B13" i="12"/>
  <c r="S12" i="12"/>
  <c r="N12" i="12"/>
  <c r="Q12" i="12" s="1"/>
  <c r="Q11" i="12"/>
  <c r="AP10" i="12"/>
  <c r="AO10" i="12"/>
  <c r="AN10" i="12"/>
  <c r="AM10" i="12"/>
  <c r="AL10" i="12"/>
  <c r="AK10" i="12"/>
  <c r="AJ10" i="12"/>
  <c r="AI10" i="12"/>
  <c r="AH10" i="12"/>
  <c r="AG10" i="12"/>
  <c r="AE10" i="12"/>
  <c r="U10" i="12"/>
  <c r="O10" i="12"/>
  <c r="N10" i="12"/>
  <c r="M10" i="12"/>
  <c r="AP9" i="12"/>
  <c r="AO9" i="12"/>
  <c r="AN9" i="12"/>
  <c r="AM9" i="12"/>
  <c r="AL9" i="12"/>
  <c r="AK9" i="12"/>
  <c r="AJ9" i="12"/>
  <c r="AI9" i="12"/>
  <c r="AH9" i="12"/>
  <c r="AG9" i="12"/>
  <c r="AE9" i="12"/>
  <c r="U9" i="12"/>
  <c r="O9" i="12"/>
  <c r="N9" i="12"/>
  <c r="M9" i="12"/>
  <c r="AP8" i="12"/>
  <c r="AO8" i="12"/>
  <c r="AN8" i="12"/>
  <c r="AM8" i="12"/>
  <c r="AL8" i="12"/>
  <c r="AK8" i="12"/>
  <c r="AJ8" i="12"/>
  <c r="AI8" i="12"/>
  <c r="AH8" i="12"/>
  <c r="AG8" i="12"/>
  <c r="AE8" i="12"/>
  <c r="U8" i="12"/>
  <c r="O8" i="12"/>
  <c r="Q8" i="12" s="1"/>
  <c r="N8" i="12"/>
  <c r="M8" i="12"/>
  <c r="M12" i="12" s="1"/>
  <c r="AP7" i="12"/>
  <c r="AO7" i="12"/>
  <c r="AN7" i="12"/>
  <c r="AM7" i="12"/>
  <c r="AL7" i="12"/>
  <c r="AK7" i="12"/>
  <c r="AJ7" i="12"/>
  <c r="AI7" i="12"/>
  <c r="AH7" i="12"/>
  <c r="AG7" i="12"/>
  <c r="AE7" i="12"/>
  <c r="U7" i="12"/>
  <c r="O7" i="12"/>
  <c r="Q7" i="12" s="1"/>
  <c r="N7" i="12"/>
  <c r="N57" i="12" s="1"/>
  <c r="M7" i="12"/>
  <c r="M57" i="12" s="1"/>
  <c r="AP6" i="12"/>
  <c r="AO6" i="12"/>
  <c r="AN6" i="12"/>
  <c r="AM6" i="12"/>
  <c r="AL6" i="12"/>
  <c r="AK6" i="12"/>
  <c r="AJ6" i="12"/>
  <c r="AI6" i="12"/>
  <c r="AH6" i="12"/>
  <c r="AG6" i="12"/>
  <c r="AE6" i="12"/>
  <c r="U6" i="12"/>
  <c r="O6" i="12"/>
  <c r="N6" i="12"/>
  <c r="M6" i="12"/>
  <c r="M13" i="12" s="1"/>
  <c r="AP5" i="12"/>
  <c r="AO5" i="12"/>
  <c r="AN5" i="12"/>
  <c r="AM5" i="12"/>
  <c r="AL5" i="12"/>
  <c r="AK5" i="12"/>
  <c r="AJ5" i="12"/>
  <c r="AI5" i="12"/>
  <c r="AH5" i="12"/>
  <c r="AG5" i="12"/>
  <c r="AE5" i="12"/>
  <c r="U5" i="12"/>
  <c r="O5" i="12"/>
  <c r="N5" i="12"/>
  <c r="M5" i="12"/>
  <c r="AP4" i="12"/>
  <c r="AO4" i="12"/>
  <c r="AN4" i="12"/>
  <c r="AM4" i="12"/>
  <c r="AL4" i="12"/>
  <c r="AK4" i="12"/>
  <c r="AJ4" i="12"/>
  <c r="AI4" i="12"/>
  <c r="AH4" i="12"/>
  <c r="AG4" i="12"/>
  <c r="AE4" i="12"/>
  <c r="U4" i="12"/>
  <c r="O4" i="12"/>
  <c r="N4" i="12"/>
  <c r="M4" i="12"/>
  <c r="M54" i="12" s="1"/>
  <c r="AP3" i="12"/>
  <c r="AO3" i="12"/>
  <c r="AN3" i="12"/>
  <c r="AM3" i="12"/>
  <c r="AL3" i="12"/>
  <c r="AK3" i="12"/>
  <c r="AJ3" i="12"/>
  <c r="AI3" i="12"/>
  <c r="AH3" i="12"/>
  <c r="AG3" i="12"/>
  <c r="AE3" i="12"/>
  <c r="U3" i="12"/>
  <c r="O3" i="12"/>
  <c r="Q3" i="12" s="1"/>
  <c r="N3" i="12"/>
  <c r="M3" i="12"/>
  <c r="AP2" i="12"/>
  <c r="AO2" i="12"/>
  <c r="AN2" i="12"/>
  <c r="AM2" i="12"/>
  <c r="AL2" i="12"/>
  <c r="AK2" i="12"/>
  <c r="AJ2" i="12"/>
  <c r="AI2" i="12"/>
  <c r="AH2" i="12"/>
  <c r="AG2" i="12"/>
  <c r="C230" i="11"/>
  <c r="C229" i="11"/>
  <c r="C227" i="11"/>
  <c r="AA226" i="11"/>
  <c r="C226" i="11"/>
  <c r="AA225" i="11"/>
  <c r="C225" i="11"/>
  <c r="AA222" i="11"/>
  <c r="C221" i="11"/>
  <c r="AA216" i="11"/>
  <c r="C215" i="11"/>
  <c r="AA209" i="11"/>
  <c r="C208" i="11"/>
  <c r="C204" i="11"/>
  <c r="C203" i="11"/>
  <c r="C202" i="11"/>
  <c r="C228" i="11" s="1"/>
  <c r="C201" i="11"/>
  <c r="C200" i="11"/>
  <c r="C199" i="11"/>
  <c r="C194" i="11"/>
  <c r="C220" i="11" s="1"/>
  <c r="C191" i="11"/>
  <c r="C217" i="11" s="1"/>
  <c r="C190" i="11"/>
  <c r="C216" i="11" s="1"/>
  <c r="C187" i="11"/>
  <c r="C213" i="11" s="1"/>
  <c r="C186" i="11"/>
  <c r="C212" i="11" s="1"/>
  <c r="C185" i="11"/>
  <c r="C211" i="11" s="1"/>
  <c r="AA170" i="11"/>
  <c r="AA168" i="11"/>
  <c r="C166" i="11"/>
  <c r="C165" i="11"/>
  <c r="C198" i="11" s="1"/>
  <c r="C224" i="11" s="1"/>
  <c r="C164" i="11"/>
  <c r="C197" i="11" s="1"/>
  <c r="C223" i="11" s="1"/>
  <c r="C163" i="11"/>
  <c r="C196" i="11" s="1"/>
  <c r="C222" i="11" s="1"/>
  <c r="C162" i="11"/>
  <c r="C195" i="11" s="1"/>
  <c r="C161" i="11"/>
  <c r="C160" i="11"/>
  <c r="C193" i="11" s="1"/>
  <c r="C219" i="11" s="1"/>
  <c r="C159" i="11"/>
  <c r="C192" i="11" s="1"/>
  <c r="C218" i="11" s="1"/>
  <c r="C158" i="11"/>
  <c r="C157" i="11"/>
  <c r="C156" i="11"/>
  <c r="C189" i="11" s="1"/>
  <c r="C155" i="11"/>
  <c r="C188" i="11" s="1"/>
  <c r="C214" i="11" s="1"/>
  <c r="C154" i="11"/>
  <c r="C153" i="11"/>
  <c r="C152" i="11"/>
  <c r="C151" i="11"/>
  <c r="C184" i="11" s="1"/>
  <c r="C210" i="11" s="1"/>
  <c r="C150" i="11"/>
  <c r="C183" i="11" s="1"/>
  <c r="C209" i="11" s="1"/>
  <c r="C149" i="11"/>
  <c r="C182" i="11" s="1"/>
  <c r="AA119" i="11"/>
  <c r="AC119" i="11" s="1"/>
  <c r="Z119" i="11"/>
  <c r="Y119" i="11"/>
  <c r="W119" i="11"/>
  <c r="U119" i="11"/>
  <c r="P119" i="11"/>
  <c r="O119" i="11"/>
  <c r="G119" i="11"/>
  <c r="F119" i="11"/>
  <c r="C119" i="11"/>
  <c r="AA118" i="11"/>
  <c r="AC118" i="11" s="1"/>
  <c r="Z118" i="11"/>
  <c r="Y118" i="11"/>
  <c r="W118" i="11"/>
  <c r="V118" i="11"/>
  <c r="U118" i="11"/>
  <c r="R118" i="11"/>
  <c r="P118" i="11"/>
  <c r="O118" i="11"/>
  <c r="I118" i="11"/>
  <c r="G118" i="11"/>
  <c r="F118" i="11"/>
  <c r="AA117" i="11"/>
  <c r="Z117" i="11"/>
  <c r="Y117" i="11"/>
  <c r="W117" i="11"/>
  <c r="AC117" i="11" s="1"/>
  <c r="V117" i="11"/>
  <c r="P117" i="11"/>
  <c r="G117" i="11"/>
  <c r="F117" i="11"/>
  <c r="AA116" i="11"/>
  <c r="Z116" i="11"/>
  <c r="Y116" i="11"/>
  <c r="V116" i="11"/>
  <c r="G116" i="11"/>
  <c r="F116" i="11"/>
  <c r="AA115" i="11"/>
  <c r="Y115" i="11"/>
  <c r="W115" i="11"/>
  <c r="AC115" i="11" s="1"/>
  <c r="U115" i="11"/>
  <c r="O115" i="11"/>
  <c r="I115" i="11"/>
  <c r="G115" i="11"/>
  <c r="F115" i="11"/>
  <c r="AA114" i="11"/>
  <c r="Y114" i="11"/>
  <c r="W114" i="11"/>
  <c r="AC114" i="11" s="1"/>
  <c r="G114" i="11"/>
  <c r="F114" i="11"/>
  <c r="AA113" i="11"/>
  <c r="Z113" i="11"/>
  <c r="Y113" i="11"/>
  <c r="W113" i="11"/>
  <c r="AC113" i="11" s="1"/>
  <c r="P113" i="11"/>
  <c r="G113" i="11"/>
  <c r="F113" i="11"/>
  <c r="AA112" i="11"/>
  <c r="Z112" i="11"/>
  <c r="Y112" i="11"/>
  <c r="W112" i="11"/>
  <c r="AC112" i="11" s="1"/>
  <c r="V112" i="11"/>
  <c r="U112" i="11"/>
  <c r="G112" i="11"/>
  <c r="F112" i="11"/>
  <c r="AA111" i="11"/>
  <c r="Z111" i="11"/>
  <c r="Y111" i="11"/>
  <c r="P111" i="11"/>
  <c r="O111" i="11"/>
  <c r="G111" i="11"/>
  <c r="F111" i="11"/>
  <c r="AA110" i="11"/>
  <c r="Y110" i="11"/>
  <c r="G110" i="11"/>
  <c r="F110" i="11"/>
  <c r="AA109" i="11"/>
  <c r="Y109" i="11"/>
  <c r="P109" i="11"/>
  <c r="O109" i="11"/>
  <c r="I109" i="11"/>
  <c r="G109" i="11"/>
  <c r="F109" i="11"/>
  <c r="AA108" i="11"/>
  <c r="Z108" i="11"/>
  <c r="Y108" i="11"/>
  <c r="G108" i="11"/>
  <c r="F108" i="11"/>
  <c r="AA107" i="11"/>
  <c r="Y107" i="11"/>
  <c r="G107" i="11"/>
  <c r="F107" i="11"/>
  <c r="AA106" i="11"/>
  <c r="Y106" i="11"/>
  <c r="P106" i="11"/>
  <c r="O106" i="11"/>
  <c r="G106" i="11"/>
  <c r="F106" i="11"/>
  <c r="AA105" i="11"/>
  <c r="Y105" i="11"/>
  <c r="G105" i="11"/>
  <c r="F105" i="11"/>
  <c r="AA104" i="11"/>
  <c r="Y104" i="11"/>
  <c r="I104" i="11"/>
  <c r="G104" i="11"/>
  <c r="F104" i="11"/>
  <c r="AA103" i="11"/>
  <c r="Z103" i="11"/>
  <c r="Y103" i="11"/>
  <c r="I103" i="11"/>
  <c r="G103" i="11"/>
  <c r="F103" i="11"/>
  <c r="AA102" i="11"/>
  <c r="Z102" i="11"/>
  <c r="Y102" i="11"/>
  <c r="V102" i="11"/>
  <c r="G102" i="11"/>
  <c r="F102" i="11"/>
  <c r="AA101" i="11"/>
  <c r="Z101" i="11"/>
  <c r="Y101" i="11"/>
  <c r="G101" i="11"/>
  <c r="F101" i="11"/>
  <c r="AA100" i="11"/>
  <c r="Z100" i="11"/>
  <c r="Y100" i="11"/>
  <c r="R100" i="11"/>
  <c r="P100" i="11"/>
  <c r="O100" i="11"/>
  <c r="I100" i="11"/>
  <c r="G100" i="11"/>
  <c r="F100" i="11"/>
  <c r="AA99" i="11"/>
  <c r="Z99" i="11"/>
  <c r="Y99" i="11"/>
  <c r="G99" i="11"/>
  <c r="F99" i="11"/>
  <c r="AA98" i="11"/>
  <c r="Y98" i="11"/>
  <c r="I98" i="11"/>
  <c r="G98" i="11"/>
  <c r="F98" i="11"/>
  <c r="AA97" i="11"/>
  <c r="Z97" i="11"/>
  <c r="Y97" i="11"/>
  <c r="O97" i="11"/>
  <c r="I97" i="11"/>
  <c r="G97" i="11"/>
  <c r="F97" i="11"/>
  <c r="AA96" i="11"/>
  <c r="Y96" i="11"/>
  <c r="V96" i="11"/>
  <c r="U96" i="11"/>
  <c r="I96" i="11"/>
  <c r="G96" i="11"/>
  <c r="F96" i="11"/>
  <c r="I95" i="11"/>
  <c r="G95" i="11"/>
  <c r="F95" i="11"/>
  <c r="P94" i="11"/>
  <c r="O94" i="11"/>
  <c r="G94" i="11"/>
  <c r="F94" i="11"/>
  <c r="AC91" i="11"/>
  <c r="R91" i="11"/>
  <c r="P91" i="11"/>
  <c r="V119" i="11" s="1"/>
  <c r="O91" i="11"/>
  <c r="I91" i="11"/>
  <c r="I119" i="11" s="1"/>
  <c r="P89" i="11"/>
  <c r="O89" i="11"/>
  <c r="I89" i="11"/>
  <c r="Z88" i="11"/>
  <c r="Z89" i="11" s="1"/>
  <c r="Z91" i="11" s="1"/>
  <c r="P88" i="11"/>
  <c r="P116" i="11" s="1"/>
  <c r="O88" i="11"/>
  <c r="I88" i="11"/>
  <c r="Z87" i="11"/>
  <c r="Z115" i="11" s="1"/>
  <c r="P87" i="11"/>
  <c r="V115" i="11" s="1"/>
  <c r="O87" i="11"/>
  <c r="I87" i="11"/>
  <c r="Z86" i="11"/>
  <c r="Z114" i="11" s="1"/>
  <c r="P86" i="11"/>
  <c r="O86" i="11"/>
  <c r="I86" i="11"/>
  <c r="R85" i="11"/>
  <c r="AC85" i="11" s="1"/>
  <c r="AA227" i="11" s="1"/>
  <c r="P85" i="11"/>
  <c r="V113" i="11" s="1"/>
  <c r="O85" i="11"/>
  <c r="U113" i="11" s="1"/>
  <c r="I85" i="11"/>
  <c r="R84" i="11"/>
  <c r="AC84" i="11" s="1"/>
  <c r="P84" i="11"/>
  <c r="O84" i="11"/>
  <c r="I84" i="11"/>
  <c r="P83" i="11"/>
  <c r="O83" i="11"/>
  <c r="R83" i="11" s="1"/>
  <c r="AC83" i="11" s="1"/>
  <c r="I83" i="11"/>
  <c r="I111" i="11" s="1"/>
  <c r="Z82" i="11"/>
  <c r="Z110" i="11" s="1"/>
  <c r="P82" i="11"/>
  <c r="P110" i="11" s="1"/>
  <c r="O82" i="11"/>
  <c r="R82" i="11" s="1"/>
  <c r="AC82" i="11" s="1"/>
  <c r="AA224" i="11" s="1"/>
  <c r="I82" i="11"/>
  <c r="I110" i="11" s="1"/>
  <c r="Z81" i="11"/>
  <c r="Z109" i="11" s="1"/>
  <c r="R81" i="11"/>
  <c r="AC81" i="11" s="1"/>
  <c r="AA223" i="11" s="1"/>
  <c r="P81" i="11"/>
  <c r="O81" i="11"/>
  <c r="I81" i="11"/>
  <c r="Z80" i="11"/>
  <c r="P80" i="11"/>
  <c r="O80" i="11"/>
  <c r="R80" i="11" s="1"/>
  <c r="AC80" i="11" s="1"/>
  <c r="I80" i="11"/>
  <c r="Z79" i="11"/>
  <c r="Z107" i="11" s="1"/>
  <c r="P79" i="11"/>
  <c r="P107" i="11" s="1"/>
  <c r="O79" i="11"/>
  <c r="R79" i="11" s="1"/>
  <c r="AC79" i="11" s="1"/>
  <c r="AA221" i="11" s="1"/>
  <c r="I79" i="11"/>
  <c r="I107" i="11" s="1"/>
  <c r="Z78" i="11"/>
  <c r="Z106" i="11" s="1"/>
  <c r="P78" i="11"/>
  <c r="O78" i="11"/>
  <c r="R78" i="11" s="1"/>
  <c r="AC78" i="11" s="1"/>
  <c r="AA220" i="11" s="1"/>
  <c r="I78" i="11"/>
  <c r="Z77" i="11"/>
  <c r="Z105" i="11" s="1"/>
  <c r="P77" i="11"/>
  <c r="O77" i="11"/>
  <c r="R77" i="11" s="1"/>
  <c r="AC77" i="11" s="1"/>
  <c r="AA219" i="11" s="1"/>
  <c r="I77" i="11"/>
  <c r="Z76" i="11"/>
  <c r="Z104" i="11" s="1"/>
  <c r="P76" i="11"/>
  <c r="O76" i="11"/>
  <c r="R76" i="11" s="1"/>
  <c r="AC76" i="11" s="1"/>
  <c r="AA218" i="11" s="1"/>
  <c r="I76" i="11"/>
  <c r="Z75" i="11"/>
  <c r="P75" i="11"/>
  <c r="P103" i="11" s="1"/>
  <c r="O75" i="11"/>
  <c r="I75" i="11"/>
  <c r="Z74" i="11"/>
  <c r="P74" i="11"/>
  <c r="O74" i="11"/>
  <c r="R74" i="11" s="1"/>
  <c r="AC74" i="11" s="1"/>
  <c r="I74" i="11"/>
  <c r="Z73" i="11"/>
  <c r="P73" i="11"/>
  <c r="P101" i="11" s="1"/>
  <c r="O73" i="11"/>
  <c r="I73" i="11"/>
  <c r="AC72" i="11"/>
  <c r="AA214" i="11" s="1"/>
  <c r="Z72" i="11"/>
  <c r="R72" i="11"/>
  <c r="P72" i="11"/>
  <c r="O72" i="11"/>
  <c r="I72" i="11"/>
  <c r="Z71" i="11"/>
  <c r="P71" i="11"/>
  <c r="O71" i="11"/>
  <c r="R71" i="11" s="1"/>
  <c r="AC71" i="11" s="1"/>
  <c r="AA213" i="11" s="1"/>
  <c r="I71" i="11"/>
  <c r="I99" i="11" s="1"/>
  <c r="Z70" i="11"/>
  <c r="Z98" i="11" s="1"/>
  <c r="P70" i="11"/>
  <c r="O70" i="11"/>
  <c r="I70" i="11"/>
  <c r="AC69" i="11"/>
  <c r="AA211" i="11" s="1"/>
  <c r="Z69" i="11"/>
  <c r="P69" i="11"/>
  <c r="O69" i="11"/>
  <c r="R69" i="11" s="1"/>
  <c r="I69" i="11"/>
  <c r="Z68" i="11"/>
  <c r="Z96" i="11" s="1"/>
  <c r="R68" i="11"/>
  <c r="AC68" i="11" s="1"/>
  <c r="AA210" i="11" s="1"/>
  <c r="P68" i="11"/>
  <c r="O68" i="11"/>
  <c r="I68" i="11"/>
  <c r="AC67" i="11"/>
  <c r="I67" i="11"/>
  <c r="AC66" i="11"/>
  <c r="AA208" i="11" s="1"/>
  <c r="I66" i="11"/>
  <c r="AJ64" i="11"/>
  <c r="AL64" i="11" s="1"/>
  <c r="AC64" i="11"/>
  <c r="P64" i="11"/>
  <c r="O64" i="11"/>
  <c r="I64" i="11"/>
  <c r="AJ62" i="11"/>
  <c r="AL62" i="11" s="1"/>
  <c r="AC62" i="11"/>
  <c r="R62" i="11"/>
  <c r="P62" i="11"/>
  <c r="O62" i="11"/>
  <c r="I62" i="11"/>
  <c r="AJ61" i="11"/>
  <c r="AL61" i="11" s="1"/>
  <c r="Q61" i="11"/>
  <c r="U61" i="11" s="1"/>
  <c r="P61" i="11"/>
  <c r="V61" i="11" s="1"/>
  <c r="O61" i="11"/>
  <c r="M61" i="11"/>
  <c r="I61" i="11"/>
  <c r="I116" i="11" s="1"/>
  <c r="AL60" i="11"/>
  <c r="AJ60" i="11"/>
  <c r="AC60" i="11"/>
  <c r="P60" i="11"/>
  <c r="P115" i="11" s="1"/>
  <c r="O60" i="11"/>
  <c r="R60" i="11" s="1"/>
  <c r="I60" i="11"/>
  <c r="AJ59" i="11"/>
  <c r="AL59" i="11" s="1"/>
  <c r="AC59" i="11"/>
  <c r="AA169" i="11" s="1"/>
  <c r="P59" i="11"/>
  <c r="O59" i="11"/>
  <c r="I59" i="11"/>
  <c r="AJ58" i="11"/>
  <c r="AL58" i="11" s="1"/>
  <c r="AC58" i="11"/>
  <c r="P58" i="11"/>
  <c r="O58" i="11"/>
  <c r="I58" i="11"/>
  <c r="I113" i="11" s="1"/>
  <c r="AL57" i="11"/>
  <c r="AJ57" i="11"/>
  <c r="AC57" i="11"/>
  <c r="AA167" i="11" s="1"/>
  <c r="P57" i="11"/>
  <c r="P112" i="11" s="1"/>
  <c r="O57" i="11"/>
  <c r="I57" i="11"/>
  <c r="I112" i="11" s="1"/>
  <c r="AJ56" i="11"/>
  <c r="AL56" i="11" s="1"/>
  <c r="V56" i="11"/>
  <c r="V111" i="11" s="1"/>
  <c r="P56" i="11"/>
  <c r="O56" i="11"/>
  <c r="I56" i="11"/>
  <c r="AJ55" i="11"/>
  <c r="AL55" i="11" s="1"/>
  <c r="V55" i="11"/>
  <c r="U55" i="11"/>
  <c r="P55" i="11"/>
  <c r="O55" i="11"/>
  <c r="I55" i="11"/>
  <c r="AJ54" i="11"/>
  <c r="AL54" i="11" s="1"/>
  <c r="U54" i="11"/>
  <c r="S54" i="11"/>
  <c r="R54" i="11"/>
  <c r="R109" i="11" s="1"/>
  <c r="P54" i="11"/>
  <c r="O54" i="11"/>
  <c r="I54" i="11"/>
  <c r="AJ53" i="11"/>
  <c r="AL53" i="11" s="1"/>
  <c r="P53" i="11"/>
  <c r="O53" i="11"/>
  <c r="I53" i="11"/>
  <c r="I108" i="11" s="1"/>
  <c r="AJ52" i="11"/>
  <c r="S52" i="11"/>
  <c r="R52" i="11"/>
  <c r="P52" i="11"/>
  <c r="O52" i="11"/>
  <c r="I52" i="11"/>
  <c r="AJ51" i="11"/>
  <c r="R51" i="11"/>
  <c r="R106" i="11" s="1"/>
  <c r="P51" i="11"/>
  <c r="O51" i="11"/>
  <c r="I51" i="11"/>
  <c r="I106" i="11" s="1"/>
  <c r="AM50" i="11"/>
  <c r="AJ50" i="11"/>
  <c r="P50" i="11"/>
  <c r="O50" i="11"/>
  <c r="I50" i="11"/>
  <c r="I105" i="11" s="1"/>
  <c r="AJ49" i="11"/>
  <c r="AM49" i="11" s="1"/>
  <c r="V49" i="11"/>
  <c r="P49" i="11"/>
  <c r="O49" i="11"/>
  <c r="I49" i="11"/>
  <c r="AM48" i="11"/>
  <c r="AJ48" i="11"/>
  <c r="V48" i="11"/>
  <c r="U48" i="11"/>
  <c r="R48" i="11"/>
  <c r="S48" i="11" s="1"/>
  <c r="P48" i="11"/>
  <c r="O48" i="11"/>
  <c r="I48" i="11"/>
  <c r="AJ47" i="11"/>
  <c r="AM47" i="11" s="1"/>
  <c r="AM51" i="11" s="1"/>
  <c r="V47" i="11"/>
  <c r="W47" i="11" s="1"/>
  <c r="W102" i="11" s="1"/>
  <c r="AC102" i="11" s="1"/>
  <c r="U47" i="11"/>
  <c r="P47" i="11"/>
  <c r="P102" i="11" s="1"/>
  <c r="O47" i="11"/>
  <c r="I47" i="11"/>
  <c r="I102" i="11" s="1"/>
  <c r="AL46" i="11"/>
  <c r="AJ46" i="11"/>
  <c r="P46" i="11"/>
  <c r="V46" i="11" s="1"/>
  <c r="V101" i="11" s="1"/>
  <c r="O46" i="11"/>
  <c r="I46" i="11"/>
  <c r="I101" i="11" s="1"/>
  <c r="AL45" i="11"/>
  <c r="AJ45" i="11"/>
  <c r="U45" i="11"/>
  <c r="S45" i="11"/>
  <c r="R45" i="11"/>
  <c r="P45" i="11"/>
  <c r="O45" i="11"/>
  <c r="I45" i="11"/>
  <c r="AJ44" i="11"/>
  <c r="P44" i="11"/>
  <c r="V44" i="11" s="1"/>
  <c r="V99" i="11" s="1"/>
  <c r="O44" i="11"/>
  <c r="I44" i="11"/>
  <c r="AL44" i="11" s="1"/>
  <c r="AJ43" i="11"/>
  <c r="P43" i="11"/>
  <c r="V43" i="11" s="1"/>
  <c r="V98" i="11" s="1"/>
  <c r="O43" i="11"/>
  <c r="I43" i="11"/>
  <c r="AL43" i="11" s="1"/>
  <c r="AL42" i="11"/>
  <c r="AJ42" i="11"/>
  <c r="U42" i="11"/>
  <c r="P42" i="11"/>
  <c r="O42" i="11"/>
  <c r="I42" i="11"/>
  <c r="AL41" i="11"/>
  <c r="AJ41" i="11"/>
  <c r="V41" i="11"/>
  <c r="U41" i="11"/>
  <c r="W41" i="11" s="1"/>
  <c r="R41" i="11"/>
  <c r="S41" i="11" s="1"/>
  <c r="P41" i="11"/>
  <c r="O41" i="11"/>
  <c r="I41" i="11"/>
  <c r="AL40" i="11"/>
  <c r="AJ40" i="11"/>
  <c r="U40" i="11"/>
  <c r="W40" i="11" s="1"/>
  <c r="R40" i="11"/>
  <c r="R95" i="11" s="1"/>
  <c r="P40" i="11"/>
  <c r="O40" i="11"/>
  <c r="O95" i="11" s="1"/>
  <c r="I40" i="11"/>
  <c r="AJ39" i="11"/>
  <c r="R39" i="11"/>
  <c r="P39" i="11"/>
  <c r="O39" i="11"/>
  <c r="I39" i="11"/>
  <c r="AJ35" i="11"/>
  <c r="AI35" i="11"/>
  <c r="R35" i="11"/>
  <c r="M35" i="11"/>
  <c r="I35" i="11"/>
  <c r="AC34" i="11"/>
  <c r="Z34" i="11"/>
  <c r="S34" i="11"/>
  <c r="K34" i="11"/>
  <c r="I34" i="11"/>
  <c r="AC33" i="11"/>
  <c r="Z33" i="11"/>
  <c r="S33" i="11"/>
  <c r="K33" i="11"/>
  <c r="I33" i="11"/>
  <c r="R32" i="11"/>
  <c r="AJ32" i="11" s="1"/>
  <c r="M32" i="11"/>
  <c r="I32" i="11"/>
  <c r="AC31" i="11"/>
  <c r="R31" i="11"/>
  <c r="K31" i="11"/>
  <c r="I31" i="11"/>
  <c r="AJ30" i="11"/>
  <c r="AC30" i="11"/>
  <c r="Z30" i="11"/>
  <c r="R30" i="11"/>
  <c r="K30" i="11"/>
  <c r="I30" i="11"/>
  <c r="AC29" i="11"/>
  <c r="Z29" i="11"/>
  <c r="AD29" i="11" s="1"/>
  <c r="R29" i="11"/>
  <c r="K29" i="11"/>
  <c r="I29" i="11"/>
  <c r="AU28" i="11"/>
  <c r="AT28" i="11"/>
  <c r="AV28" i="11" s="1"/>
  <c r="AJ28" i="11"/>
  <c r="Z28" i="11"/>
  <c r="R28" i="11"/>
  <c r="AC28" i="11" s="1"/>
  <c r="K28" i="11"/>
  <c r="I28" i="11"/>
  <c r="AU27" i="11"/>
  <c r="AT27" i="11"/>
  <c r="AV27" i="11" s="1"/>
  <c r="Z27" i="11"/>
  <c r="R27" i="11"/>
  <c r="K27" i="11"/>
  <c r="I27" i="11"/>
  <c r="AT26" i="11"/>
  <c r="AV26" i="11" s="1"/>
  <c r="AJ26" i="11"/>
  <c r="AC26" i="11"/>
  <c r="Z26" i="11"/>
  <c r="R26" i="11"/>
  <c r="M26" i="11"/>
  <c r="I26" i="11"/>
  <c r="AU26" i="11" s="1"/>
  <c r="AX25" i="11"/>
  <c r="AT25" i="11"/>
  <c r="AV25" i="11" s="1"/>
  <c r="R25" i="11"/>
  <c r="M25" i="11"/>
  <c r="K25" i="11"/>
  <c r="I25" i="11"/>
  <c r="AU25" i="11" s="1"/>
  <c r="AU24" i="11"/>
  <c r="AL24" i="11"/>
  <c r="AC24" i="11"/>
  <c r="R24" i="11"/>
  <c r="I24" i="11"/>
  <c r="AU23" i="11"/>
  <c r="AT23" i="11"/>
  <c r="AV23" i="11" s="1"/>
  <c r="AJ23" i="11"/>
  <c r="AC23" i="11"/>
  <c r="R23" i="11"/>
  <c r="M23" i="11"/>
  <c r="M24" i="11" s="1"/>
  <c r="I23" i="11"/>
  <c r="AC22" i="11"/>
  <c r="R22" i="11"/>
  <c r="AJ22" i="11" s="1"/>
  <c r="M22" i="11"/>
  <c r="I22" i="11"/>
  <c r="AT21" i="11"/>
  <c r="AV21" i="11" s="1"/>
  <c r="AM21" i="11"/>
  <c r="AC21" i="11"/>
  <c r="Z21" i="11"/>
  <c r="R21" i="11"/>
  <c r="M21" i="11"/>
  <c r="K21" i="11"/>
  <c r="I21" i="11"/>
  <c r="Z20" i="11"/>
  <c r="R20" i="11"/>
  <c r="M20" i="11"/>
  <c r="K20" i="11"/>
  <c r="I20" i="11"/>
  <c r="BE19" i="11"/>
  <c r="BA19" i="11"/>
  <c r="AU19" i="11"/>
  <c r="AT19" i="11"/>
  <c r="AV19" i="11" s="1"/>
  <c r="Z19" i="11"/>
  <c r="R19" i="11"/>
  <c r="AC19" i="11" s="1"/>
  <c r="M19" i="11"/>
  <c r="I19" i="11"/>
  <c r="AH19" i="11" s="1"/>
  <c r="BE18" i="11"/>
  <c r="BA18" i="11"/>
  <c r="AS18" i="11"/>
  <c r="AM18" i="11"/>
  <c r="AM24" i="11" s="1"/>
  <c r="AL18" i="11"/>
  <c r="Z18" i="11"/>
  <c r="R18" i="11"/>
  <c r="AC18" i="11" s="1"/>
  <c r="M18" i="11"/>
  <c r="K18" i="11"/>
  <c r="I18" i="11"/>
  <c r="R17" i="11"/>
  <c r="AJ17" i="11" s="1"/>
  <c r="K17" i="11"/>
  <c r="I17" i="11"/>
  <c r="R16" i="11"/>
  <c r="K16" i="11"/>
  <c r="I16" i="11"/>
  <c r="Z15" i="11"/>
  <c r="R15" i="11"/>
  <c r="K15" i="11"/>
  <c r="I15" i="11"/>
  <c r="AP14" i="11"/>
  <c r="AO14" i="11"/>
  <c r="AL14" i="11"/>
  <c r="R14" i="11"/>
  <c r="K14" i="11"/>
  <c r="I14" i="11"/>
  <c r="AP13" i="11"/>
  <c r="AO13" i="11"/>
  <c r="AL13" i="11"/>
  <c r="R13" i="11"/>
  <c r="K13" i="11"/>
  <c r="I13" i="11"/>
  <c r="AU12" i="11"/>
  <c r="AT12" i="11"/>
  <c r="AV12" i="11" s="1"/>
  <c r="AC12" i="11"/>
  <c r="Z12" i="11"/>
  <c r="R12" i="11"/>
  <c r="AJ12" i="11" s="1"/>
  <c r="K12" i="11"/>
  <c r="I12" i="11"/>
  <c r="AS12" i="11" s="1"/>
  <c r="AV11" i="11"/>
  <c r="AU11" i="11"/>
  <c r="AT11" i="11"/>
  <c r="AT38" i="11" s="1"/>
  <c r="AU38" i="11" s="1"/>
  <c r="AS11" i="11"/>
  <c r="R11" i="11"/>
  <c r="K11" i="11"/>
  <c r="I11" i="11"/>
  <c r="AJ10" i="11"/>
  <c r="AC10" i="11"/>
  <c r="K10" i="11"/>
  <c r="AI1" i="11"/>
  <c r="O40" i="10"/>
  <c r="N40" i="10"/>
  <c r="C40" i="10" s="1"/>
  <c r="D40" i="10"/>
  <c r="O39" i="10"/>
  <c r="D39" i="10" s="1"/>
  <c r="N39" i="10"/>
  <c r="R39" i="10" s="1"/>
  <c r="K39" i="10"/>
  <c r="H39" i="10"/>
  <c r="B39" i="10"/>
  <c r="O38" i="10"/>
  <c r="D38" i="10" s="1"/>
  <c r="N38" i="10"/>
  <c r="K38" i="10"/>
  <c r="H38" i="10"/>
  <c r="O37" i="10"/>
  <c r="D37" i="10" s="1"/>
  <c r="N37" i="10"/>
  <c r="K37" i="10"/>
  <c r="O36" i="10"/>
  <c r="N36" i="10"/>
  <c r="K36" i="10"/>
  <c r="C36" i="10"/>
  <c r="O35" i="10"/>
  <c r="D35" i="10" s="1"/>
  <c r="N35" i="10"/>
  <c r="K35" i="10"/>
  <c r="O34" i="10"/>
  <c r="D34" i="10" s="1"/>
  <c r="N34" i="10"/>
  <c r="C34" i="10" s="1"/>
  <c r="K34" i="10"/>
  <c r="L34" i="10" s="1"/>
  <c r="AD40" i="1" s="1"/>
  <c r="H34" i="10"/>
  <c r="O33" i="10"/>
  <c r="D33" i="10" s="1"/>
  <c r="N33" i="10"/>
  <c r="K33" i="10"/>
  <c r="O32" i="10"/>
  <c r="N32" i="10"/>
  <c r="C32" i="10" s="1"/>
  <c r="K32" i="10"/>
  <c r="L32" i="10" s="1"/>
  <c r="AD38" i="1" s="1"/>
  <c r="H32" i="10"/>
  <c r="O31" i="10"/>
  <c r="D31" i="10" s="1"/>
  <c r="N31" i="10"/>
  <c r="C31" i="10" s="1"/>
  <c r="L31" i="10"/>
  <c r="K31" i="10"/>
  <c r="O30" i="10"/>
  <c r="D30" i="10" s="1"/>
  <c r="N30" i="10"/>
  <c r="K30" i="10"/>
  <c r="H30" i="10"/>
  <c r="L30" i="10" s="1"/>
  <c r="O29" i="10"/>
  <c r="N29" i="10"/>
  <c r="C29" i="10" s="1"/>
  <c r="K29" i="10"/>
  <c r="D29" i="10"/>
  <c r="F29" i="10" s="1"/>
  <c r="O28" i="10"/>
  <c r="D28" i="10" s="1"/>
  <c r="N28" i="10"/>
  <c r="C28" i="10" s="1"/>
  <c r="K28" i="10"/>
  <c r="O27" i="10"/>
  <c r="D27" i="10" s="1"/>
  <c r="N27" i="10"/>
  <c r="C27" i="10" s="1"/>
  <c r="F27" i="10" s="1"/>
  <c r="K27" i="10"/>
  <c r="O26" i="10"/>
  <c r="D26" i="10" s="1"/>
  <c r="N26" i="10"/>
  <c r="C26" i="10" s="1"/>
  <c r="K26" i="10"/>
  <c r="O25" i="10"/>
  <c r="D25" i="10" s="1"/>
  <c r="N25" i="10"/>
  <c r="C25" i="10" s="1"/>
  <c r="K25" i="10"/>
  <c r="O24" i="10"/>
  <c r="N24" i="10"/>
  <c r="C24" i="10" s="1"/>
  <c r="K24" i="10"/>
  <c r="H24" i="10"/>
  <c r="O23" i="10"/>
  <c r="N23" i="10"/>
  <c r="K23" i="10"/>
  <c r="C23" i="10"/>
  <c r="O22" i="10"/>
  <c r="D22" i="10" s="1"/>
  <c r="F22" i="10" s="1"/>
  <c r="N22" i="10"/>
  <c r="C22" i="10" s="1"/>
  <c r="K22" i="10"/>
  <c r="O21" i="10"/>
  <c r="D21" i="10" s="1"/>
  <c r="N21" i="10"/>
  <c r="K21" i="10"/>
  <c r="O20" i="10"/>
  <c r="N20" i="10"/>
  <c r="C20" i="10" s="1"/>
  <c r="K20" i="10"/>
  <c r="O19" i="10"/>
  <c r="D19" i="10" s="1"/>
  <c r="N19" i="10"/>
  <c r="K19" i="10"/>
  <c r="C19" i="10"/>
  <c r="F19" i="10" s="1"/>
  <c r="K18" i="10"/>
  <c r="D18" i="10"/>
  <c r="C18" i="10"/>
  <c r="K17" i="10"/>
  <c r="D17" i="10"/>
  <c r="F17" i="10" s="1"/>
  <c r="C17" i="10"/>
  <c r="L16" i="10"/>
  <c r="AD22" i="1" s="1"/>
  <c r="K16" i="10"/>
  <c r="H16" i="10"/>
  <c r="D16" i="10"/>
  <c r="F16" i="10" s="1"/>
  <c r="C16" i="10"/>
  <c r="K15" i="10"/>
  <c r="D15" i="10"/>
  <c r="C15" i="10"/>
  <c r="K14" i="10"/>
  <c r="H14" i="10"/>
  <c r="D14" i="10"/>
  <c r="F14" i="10" s="1"/>
  <c r="G14" i="10" s="1"/>
  <c r="AC20" i="15" s="1"/>
  <c r="C14" i="10"/>
  <c r="K13" i="10"/>
  <c r="L13" i="10" s="1"/>
  <c r="H13" i="10"/>
  <c r="D13" i="10"/>
  <c r="C13" i="10"/>
  <c r="K12" i="10"/>
  <c r="H12" i="10"/>
  <c r="D12" i="10"/>
  <c r="F12" i="10" s="1"/>
  <c r="G12" i="10" s="1"/>
  <c r="AC18" i="1" s="1"/>
  <c r="C12" i="10"/>
  <c r="K11" i="10"/>
  <c r="L11" i="10" s="1"/>
  <c r="H11" i="10"/>
  <c r="D11" i="10"/>
  <c r="C11" i="10"/>
  <c r="K10" i="10"/>
  <c r="L10" i="10" s="1"/>
  <c r="H10" i="10"/>
  <c r="F10" i="10"/>
  <c r="G10" i="10" s="1"/>
  <c r="AC16" i="15" s="1"/>
  <c r="BS16" i="15" s="1"/>
  <c r="D10" i="10"/>
  <c r="C10" i="10"/>
  <c r="K9" i="10"/>
  <c r="L9" i="10" s="1"/>
  <c r="H9" i="10"/>
  <c r="D9" i="10"/>
  <c r="C9" i="10"/>
  <c r="L8" i="10"/>
  <c r="K8" i="10"/>
  <c r="H8" i="10"/>
  <c r="D8" i="10"/>
  <c r="C8" i="10"/>
  <c r="K7" i="10"/>
  <c r="L7" i="10" s="1"/>
  <c r="H7" i="10"/>
  <c r="F7" i="10"/>
  <c r="G7" i="10" s="1"/>
  <c r="AC13" i="1" s="1"/>
  <c r="D7" i="10"/>
  <c r="C7" i="10"/>
  <c r="C230" i="9"/>
  <c r="C226" i="9"/>
  <c r="C225" i="9"/>
  <c r="C224" i="9"/>
  <c r="AA221" i="9"/>
  <c r="AA219" i="9"/>
  <c r="AA213" i="9"/>
  <c r="AA212" i="9"/>
  <c r="C211" i="9"/>
  <c r="AA209" i="9"/>
  <c r="C204" i="9"/>
  <c r="C203" i="9"/>
  <c r="C229" i="9" s="1"/>
  <c r="C202" i="9"/>
  <c r="C228" i="9" s="1"/>
  <c r="C201" i="9"/>
  <c r="C227" i="9" s="1"/>
  <c r="C200" i="9"/>
  <c r="C199" i="9"/>
  <c r="C198" i="9"/>
  <c r="C194" i="9"/>
  <c r="C220" i="9" s="1"/>
  <c r="C191" i="9"/>
  <c r="C217" i="9" s="1"/>
  <c r="C187" i="9"/>
  <c r="C213" i="9" s="1"/>
  <c r="C186" i="9"/>
  <c r="C212" i="9" s="1"/>
  <c r="C183" i="9"/>
  <c r="C209" i="9" s="1"/>
  <c r="C182" i="9"/>
  <c r="C208" i="9" s="1"/>
  <c r="AA167" i="9"/>
  <c r="C166" i="9"/>
  <c r="C165" i="9"/>
  <c r="C164" i="9"/>
  <c r="C197" i="9" s="1"/>
  <c r="C223" i="9" s="1"/>
  <c r="C163" i="9"/>
  <c r="C196" i="9" s="1"/>
  <c r="C222" i="9" s="1"/>
  <c r="C162" i="9"/>
  <c r="C195" i="9" s="1"/>
  <c r="C221" i="9" s="1"/>
  <c r="C161" i="9"/>
  <c r="C160" i="9"/>
  <c r="C193" i="9" s="1"/>
  <c r="C219" i="9" s="1"/>
  <c r="C159" i="9"/>
  <c r="C192" i="9" s="1"/>
  <c r="C218" i="9" s="1"/>
  <c r="C158" i="9"/>
  <c r="C157" i="9"/>
  <c r="C190" i="9" s="1"/>
  <c r="C216" i="9" s="1"/>
  <c r="C156" i="9"/>
  <c r="C189" i="9" s="1"/>
  <c r="C215" i="9" s="1"/>
  <c r="C155" i="9"/>
  <c r="C188" i="9" s="1"/>
  <c r="C214" i="9" s="1"/>
  <c r="C154" i="9"/>
  <c r="C153" i="9"/>
  <c r="C152" i="9"/>
  <c r="C185" i="9" s="1"/>
  <c r="C151" i="9"/>
  <c r="C184" i="9" s="1"/>
  <c r="C210" i="9" s="1"/>
  <c r="C150" i="9"/>
  <c r="C149" i="9"/>
  <c r="W119" i="9"/>
  <c r="U119" i="9"/>
  <c r="O119" i="9"/>
  <c r="G119" i="9"/>
  <c r="F119" i="9"/>
  <c r="C119" i="9"/>
  <c r="AA118" i="9"/>
  <c r="AC118" i="9" s="1"/>
  <c r="Z118" i="9"/>
  <c r="Y118" i="9"/>
  <c r="W118" i="9"/>
  <c r="V118" i="9"/>
  <c r="U118" i="9"/>
  <c r="R118" i="9"/>
  <c r="P118" i="9"/>
  <c r="O118" i="9"/>
  <c r="I118" i="9"/>
  <c r="G118" i="9"/>
  <c r="F118" i="9"/>
  <c r="Y117" i="9"/>
  <c r="W117" i="9"/>
  <c r="V117" i="9"/>
  <c r="P117" i="9"/>
  <c r="G117" i="9"/>
  <c r="F117" i="9"/>
  <c r="Y116" i="9"/>
  <c r="P116" i="9"/>
  <c r="O116" i="9"/>
  <c r="G116" i="9"/>
  <c r="AA115" i="9"/>
  <c r="W115" i="9"/>
  <c r="P115" i="9"/>
  <c r="I115" i="9"/>
  <c r="G115" i="9"/>
  <c r="F115" i="9"/>
  <c r="AA114" i="9"/>
  <c r="Z114" i="9"/>
  <c r="Y114" i="9"/>
  <c r="W114" i="9"/>
  <c r="AC114" i="9" s="1"/>
  <c r="B35" i="10" s="1"/>
  <c r="V114" i="9"/>
  <c r="P114" i="9"/>
  <c r="G114" i="9"/>
  <c r="F114" i="9"/>
  <c r="Z113" i="9"/>
  <c r="Y113" i="9"/>
  <c r="W113" i="9"/>
  <c r="AC113" i="9" s="1"/>
  <c r="B34" i="10" s="1"/>
  <c r="V113" i="9"/>
  <c r="O113" i="9"/>
  <c r="I113" i="9"/>
  <c r="G113" i="9"/>
  <c r="F113" i="9"/>
  <c r="Z112" i="9"/>
  <c r="Y112" i="9"/>
  <c r="W112" i="9"/>
  <c r="AC112" i="9" s="1"/>
  <c r="B33" i="10" s="1"/>
  <c r="U112" i="9"/>
  <c r="I112" i="9"/>
  <c r="G112" i="9"/>
  <c r="F112" i="9"/>
  <c r="AA111" i="9"/>
  <c r="Z111" i="9"/>
  <c r="Y111" i="9"/>
  <c r="AA110" i="9"/>
  <c r="Y110" i="9"/>
  <c r="AA109" i="9"/>
  <c r="Y109" i="9"/>
  <c r="AA108" i="9"/>
  <c r="Y108" i="9"/>
  <c r="AA107" i="9"/>
  <c r="Z107" i="9"/>
  <c r="Y107" i="9"/>
  <c r="AA106" i="9"/>
  <c r="Z106" i="9"/>
  <c r="Y106" i="9"/>
  <c r="AA105" i="9"/>
  <c r="Y105" i="9"/>
  <c r="G105" i="9"/>
  <c r="AA104" i="9"/>
  <c r="Z104" i="9"/>
  <c r="Y104" i="9"/>
  <c r="F104" i="9"/>
  <c r="AA103" i="9"/>
  <c r="Y103" i="9"/>
  <c r="AA102" i="9"/>
  <c r="Y102" i="9"/>
  <c r="AA101" i="9"/>
  <c r="Y101" i="9"/>
  <c r="G101" i="9"/>
  <c r="F101" i="9"/>
  <c r="AA100" i="9"/>
  <c r="Z100" i="9"/>
  <c r="Y100" i="9"/>
  <c r="I100" i="9"/>
  <c r="G100" i="9"/>
  <c r="F100" i="9"/>
  <c r="AA99" i="9"/>
  <c r="Z99" i="9"/>
  <c r="Y99" i="9"/>
  <c r="P99" i="9"/>
  <c r="G99" i="9"/>
  <c r="F99" i="9"/>
  <c r="AA98" i="9"/>
  <c r="Z98" i="9"/>
  <c r="Y98" i="9"/>
  <c r="G98" i="9"/>
  <c r="F98" i="9"/>
  <c r="AA97" i="9"/>
  <c r="Y97" i="9"/>
  <c r="G97" i="9"/>
  <c r="F97" i="9"/>
  <c r="AA96" i="9"/>
  <c r="Z96" i="9"/>
  <c r="Y96" i="9"/>
  <c r="P96" i="9"/>
  <c r="G96" i="9"/>
  <c r="F96" i="9"/>
  <c r="G95" i="9"/>
  <c r="F95" i="9"/>
  <c r="P94" i="9"/>
  <c r="G94" i="9"/>
  <c r="F94" i="9"/>
  <c r="Y91" i="9"/>
  <c r="Y119" i="9" s="1"/>
  <c r="P91" i="9"/>
  <c r="V119" i="9" s="1"/>
  <c r="O91" i="9"/>
  <c r="I91" i="9"/>
  <c r="P89" i="9"/>
  <c r="O89" i="9"/>
  <c r="I89" i="9"/>
  <c r="P88" i="9"/>
  <c r="O88" i="9"/>
  <c r="R88" i="9" s="1"/>
  <c r="I88" i="9"/>
  <c r="Y87" i="9"/>
  <c r="Z87" i="9" s="1"/>
  <c r="P87" i="9"/>
  <c r="V115" i="9" s="1"/>
  <c r="O87" i="9"/>
  <c r="I87" i="9"/>
  <c r="Z86" i="9"/>
  <c r="R86" i="9"/>
  <c r="AC86" i="9" s="1"/>
  <c r="AA228" i="9" s="1"/>
  <c r="P86" i="9"/>
  <c r="O86" i="9"/>
  <c r="U114" i="9" s="1"/>
  <c r="I86" i="9"/>
  <c r="AA85" i="9"/>
  <c r="AA113" i="9" s="1"/>
  <c r="R85" i="9"/>
  <c r="AC85" i="9" s="1"/>
  <c r="AA227" i="9" s="1"/>
  <c r="P85" i="9"/>
  <c r="O85" i="9"/>
  <c r="U113" i="9" s="1"/>
  <c r="I85" i="9"/>
  <c r="AA84" i="9"/>
  <c r="AA112" i="9" s="1"/>
  <c r="P84" i="9"/>
  <c r="O84" i="9"/>
  <c r="I84" i="9"/>
  <c r="AA83" i="9"/>
  <c r="R83" i="9"/>
  <c r="AC83" i="9" s="1"/>
  <c r="AA225" i="9" s="1"/>
  <c r="P83" i="9"/>
  <c r="O83" i="9"/>
  <c r="I83" i="9"/>
  <c r="Z82" i="9"/>
  <c r="Z110" i="9" s="1"/>
  <c r="P82" i="9"/>
  <c r="O82" i="9"/>
  <c r="R82" i="9" s="1"/>
  <c r="AC82" i="9" s="1"/>
  <c r="AA224" i="9" s="1"/>
  <c r="I82" i="9"/>
  <c r="Z81" i="9"/>
  <c r="Z109" i="9" s="1"/>
  <c r="R81" i="9"/>
  <c r="AC81" i="9" s="1"/>
  <c r="AA223" i="9" s="1"/>
  <c r="P81" i="9"/>
  <c r="O81" i="9"/>
  <c r="I81" i="9"/>
  <c r="AC80" i="9"/>
  <c r="AA222" i="9" s="1"/>
  <c r="Z80" i="9"/>
  <c r="Z108" i="9" s="1"/>
  <c r="P80" i="9"/>
  <c r="O80" i="9"/>
  <c r="R80" i="9" s="1"/>
  <c r="I80" i="9"/>
  <c r="Z79" i="9"/>
  <c r="P79" i="9"/>
  <c r="R79" i="9" s="1"/>
  <c r="AC79" i="9" s="1"/>
  <c r="O79" i="9"/>
  <c r="I79" i="9"/>
  <c r="AC78" i="9"/>
  <c r="AA220" i="9" s="1"/>
  <c r="Z78" i="9"/>
  <c r="P78" i="9"/>
  <c r="R78" i="9" s="1"/>
  <c r="O78" i="9"/>
  <c r="I78" i="9"/>
  <c r="Z77" i="9"/>
  <c r="Z105" i="9" s="1"/>
  <c r="P77" i="9"/>
  <c r="O77" i="9"/>
  <c r="R77" i="9" s="1"/>
  <c r="AC77" i="9" s="1"/>
  <c r="I77" i="9"/>
  <c r="AC76" i="9"/>
  <c r="AA218" i="9" s="1"/>
  <c r="Z76" i="9"/>
  <c r="R76" i="9"/>
  <c r="P76" i="9"/>
  <c r="O76" i="9"/>
  <c r="I76" i="9"/>
  <c r="AC75" i="9"/>
  <c r="AA217" i="9" s="1"/>
  <c r="Z75" i="9"/>
  <c r="Z103" i="9" s="1"/>
  <c r="R75" i="9"/>
  <c r="P75" i="9"/>
  <c r="O75" i="9"/>
  <c r="I75" i="9"/>
  <c r="Z74" i="9"/>
  <c r="Z102" i="9" s="1"/>
  <c r="P74" i="9"/>
  <c r="O74" i="9"/>
  <c r="R74" i="9" s="1"/>
  <c r="AC74" i="9" s="1"/>
  <c r="AA216" i="9" s="1"/>
  <c r="I74" i="9"/>
  <c r="Z73" i="9"/>
  <c r="Z101" i="9" s="1"/>
  <c r="P73" i="9"/>
  <c r="O73" i="9"/>
  <c r="R73" i="9" s="1"/>
  <c r="AC73" i="9" s="1"/>
  <c r="AA215" i="9" s="1"/>
  <c r="I73" i="9"/>
  <c r="Z72" i="9"/>
  <c r="P72" i="9"/>
  <c r="P100" i="9" s="1"/>
  <c r="O72" i="9"/>
  <c r="I72" i="9"/>
  <c r="Z71" i="9"/>
  <c r="P71" i="9"/>
  <c r="O71" i="9"/>
  <c r="R71" i="9" s="1"/>
  <c r="AC71" i="9" s="1"/>
  <c r="I71" i="9"/>
  <c r="Z70" i="9"/>
  <c r="R70" i="9"/>
  <c r="AC70" i="9" s="1"/>
  <c r="P70" i="9"/>
  <c r="O70" i="9"/>
  <c r="I70" i="9"/>
  <c r="Z69" i="9"/>
  <c r="Z97" i="9" s="1"/>
  <c r="P69" i="9"/>
  <c r="P97" i="9" s="1"/>
  <c r="O69" i="9"/>
  <c r="R69" i="9" s="1"/>
  <c r="AC69" i="9" s="1"/>
  <c r="AA211" i="9" s="1"/>
  <c r="I69" i="9"/>
  <c r="Z68" i="9"/>
  <c r="P68" i="9"/>
  <c r="O68" i="9"/>
  <c r="R68" i="9" s="1"/>
  <c r="AC68" i="9" s="1"/>
  <c r="AA210" i="9" s="1"/>
  <c r="I68" i="9"/>
  <c r="AC67" i="9"/>
  <c r="I67" i="9"/>
  <c r="I95" i="9" s="1"/>
  <c r="AC66" i="9"/>
  <c r="AA208" i="9" s="1"/>
  <c r="I66" i="9"/>
  <c r="AJ64" i="9"/>
  <c r="AL64" i="9" s="1"/>
  <c r="AC64" i="9"/>
  <c r="P64" i="9"/>
  <c r="O64" i="9"/>
  <c r="I64" i="9"/>
  <c r="I119" i="9" s="1"/>
  <c r="AJ62" i="9"/>
  <c r="AL62" i="9" s="1"/>
  <c r="AC62" i="9"/>
  <c r="R62" i="9"/>
  <c r="P62" i="9"/>
  <c r="O62" i="9"/>
  <c r="I62" i="9"/>
  <c r="I117" i="9" s="1"/>
  <c r="AL61" i="9"/>
  <c r="AJ61" i="9"/>
  <c r="Q61" i="9"/>
  <c r="P61" i="9"/>
  <c r="V61" i="9" s="1"/>
  <c r="V116" i="9" s="1"/>
  <c r="H61" i="9"/>
  <c r="F61" i="9"/>
  <c r="O61" i="9" s="1"/>
  <c r="AL60" i="9"/>
  <c r="AJ60" i="9"/>
  <c r="AC60" i="9"/>
  <c r="AA170" i="9" s="1"/>
  <c r="P60" i="9"/>
  <c r="O60" i="9"/>
  <c r="I60" i="9"/>
  <c r="AL59" i="9"/>
  <c r="AJ59" i="9"/>
  <c r="AC59" i="9"/>
  <c r="AA169" i="9" s="1"/>
  <c r="P59" i="9"/>
  <c r="O59" i="9"/>
  <c r="I59" i="9"/>
  <c r="I114" i="9" s="1"/>
  <c r="AJ58" i="9"/>
  <c r="AL58" i="9" s="1"/>
  <c r="AC58" i="9"/>
  <c r="AA168" i="9" s="1"/>
  <c r="P58" i="9"/>
  <c r="P113" i="9" s="1"/>
  <c r="O58" i="9"/>
  <c r="I58" i="9"/>
  <c r="AJ57" i="9"/>
  <c r="AL57" i="9" s="1"/>
  <c r="AC57" i="9"/>
  <c r="P57" i="9"/>
  <c r="O57" i="9"/>
  <c r="O112" i="9" s="1"/>
  <c r="I57" i="9"/>
  <c r="AJ56" i="9"/>
  <c r="AL55" i="9"/>
  <c r="AJ55" i="9"/>
  <c r="AJ54" i="9"/>
  <c r="AL54" i="9" s="1"/>
  <c r="G54" i="9"/>
  <c r="P54" i="9" s="1"/>
  <c r="F54" i="9"/>
  <c r="I54" i="9" s="1"/>
  <c r="I109" i="9" s="1"/>
  <c r="AL53" i="9"/>
  <c r="AJ53" i="9"/>
  <c r="AJ52" i="9"/>
  <c r="AJ51" i="9"/>
  <c r="AJ50" i="9"/>
  <c r="AM50" i="9" s="1"/>
  <c r="P50" i="9"/>
  <c r="G50" i="9"/>
  <c r="F50" i="9"/>
  <c r="O50" i="9" s="1"/>
  <c r="AM49" i="9"/>
  <c r="AJ49" i="9"/>
  <c r="G49" i="9"/>
  <c r="F49" i="9"/>
  <c r="AJ48" i="9"/>
  <c r="AM48" i="9" s="1"/>
  <c r="AJ47" i="9"/>
  <c r="AJ46" i="9"/>
  <c r="P46" i="9"/>
  <c r="O46" i="9"/>
  <c r="I46" i="9"/>
  <c r="AL45" i="9"/>
  <c r="AJ45" i="9"/>
  <c r="U45" i="9" s="1"/>
  <c r="V45" i="9"/>
  <c r="R45" i="9"/>
  <c r="P45" i="9"/>
  <c r="O45" i="9"/>
  <c r="I45" i="9"/>
  <c r="AJ44" i="9"/>
  <c r="P44" i="9"/>
  <c r="O44" i="9"/>
  <c r="I44" i="9"/>
  <c r="AL43" i="9"/>
  <c r="AJ43" i="9"/>
  <c r="P43" i="9"/>
  <c r="O43" i="9"/>
  <c r="I43" i="9"/>
  <c r="I98" i="9" s="1"/>
  <c r="AL42" i="9"/>
  <c r="AJ42" i="9"/>
  <c r="V42" i="9" s="1"/>
  <c r="V97" i="9" s="1"/>
  <c r="P42" i="9"/>
  <c r="O42" i="9"/>
  <c r="R42" i="9" s="1"/>
  <c r="I42" i="9"/>
  <c r="I97" i="9" s="1"/>
  <c r="AJ41" i="9"/>
  <c r="P41" i="9"/>
  <c r="O41" i="9"/>
  <c r="I41" i="9"/>
  <c r="AL40" i="9"/>
  <c r="AJ40" i="9"/>
  <c r="V40" i="9" s="1"/>
  <c r="V95" i="9" s="1"/>
  <c r="P40" i="9"/>
  <c r="P95" i="9" s="1"/>
  <c r="O40" i="9"/>
  <c r="I40" i="9"/>
  <c r="AJ39" i="9"/>
  <c r="P39" i="9"/>
  <c r="O39" i="9"/>
  <c r="I39" i="9"/>
  <c r="AI35" i="9"/>
  <c r="M35" i="9"/>
  <c r="Q35" i="9" s="1"/>
  <c r="K35" i="9"/>
  <c r="I35" i="9"/>
  <c r="I34" i="9"/>
  <c r="I33" i="9"/>
  <c r="Z32" i="9"/>
  <c r="Q32" i="9"/>
  <c r="O32" i="9"/>
  <c r="R32" i="9" s="1"/>
  <c r="M32" i="9"/>
  <c r="M61" i="9" s="1"/>
  <c r="K32" i="9"/>
  <c r="K32" i="11" s="1"/>
  <c r="I32" i="9"/>
  <c r="AJ31" i="9"/>
  <c r="AC31" i="9"/>
  <c r="H36" i="10" s="1"/>
  <c r="Z31" i="9"/>
  <c r="Z31" i="11" s="1"/>
  <c r="Q31" i="9"/>
  <c r="R31" i="9" s="1"/>
  <c r="O31" i="9"/>
  <c r="I31" i="9"/>
  <c r="AA30" i="9"/>
  <c r="Z30" i="9"/>
  <c r="Q30" i="9"/>
  <c r="O30" i="9"/>
  <c r="R30" i="9" s="1"/>
  <c r="I30" i="9"/>
  <c r="AD29" i="9"/>
  <c r="AC29" i="9"/>
  <c r="AA29" i="9"/>
  <c r="Q29" i="9"/>
  <c r="O29" i="9"/>
  <c r="R29" i="9" s="1"/>
  <c r="I29" i="9"/>
  <c r="AU28" i="9"/>
  <c r="AV28" i="9" s="1"/>
  <c r="AT28" i="9"/>
  <c r="AA28" i="9"/>
  <c r="Q28" i="9"/>
  <c r="O28" i="9"/>
  <c r="R28" i="9" s="1"/>
  <c r="I28" i="9"/>
  <c r="AJ27" i="9"/>
  <c r="AC27" i="9"/>
  <c r="AA27" i="9"/>
  <c r="R27" i="9"/>
  <c r="S27" i="9" s="1"/>
  <c r="S27" i="11" s="1"/>
  <c r="Q27" i="9"/>
  <c r="O27" i="9"/>
  <c r="I27" i="9"/>
  <c r="AC26" i="9"/>
  <c r="H31" i="10" s="1"/>
  <c r="Y26" i="9"/>
  <c r="Z26" i="9" s="1"/>
  <c r="R26" i="9"/>
  <c r="M26" i="9"/>
  <c r="K26" i="9"/>
  <c r="K26" i="11" s="1"/>
  <c r="I26" i="9"/>
  <c r="AX25" i="9"/>
  <c r="AT25" i="9"/>
  <c r="AV25" i="9" s="1"/>
  <c r="AJ25" i="9"/>
  <c r="AC25" i="9"/>
  <c r="Z25" i="9"/>
  <c r="Z25" i="11" s="1"/>
  <c r="R25" i="9"/>
  <c r="S25" i="9" s="1"/>
  <c r="S25" i="11" s="1"/>
  <c r="M25" i="9"/>
  <c r="K25" i="9"/>
  <c r="I25" i="9"/>
  <c r="AU25" i="9" s="1"/>
  <c r="AU24" i="9"/>
  <c r="AV24" i="9" s="1"/>
  <c r="I24" i="9"/>
  <c r="AT24" i="9" s="1"/>
  <c r="I23" i="9"/>
  <c r="AT23" i="9" s="1"/>
  <c r="AU22" i="9"/>
  <c r="AM22" i="9"/>
  <c r="AA22" i="9"/>
  <c r="Z22" i="9"/>
  <c r="M22" i="9"/>
  <c r="K22" i="9"/>
  <c r="I22" i="9"/>
  <c r="AM21" i="9"/>
  <c r="AL21" i="9"/>
  <c r="AH21" i="9"/>
  <c r="Z21" i="9"/>
  <c r="R21" i="9"/>
  <c r="M21" i="9"/>
  <c r="K21" i="9"/>
  <c r="I21" i="9"/>
  <c r="AT20" i="9"/>
  <c r="AA20" i="9"/>
  <c r="R20" i="9"/>
  <c r="M20" i="9"/>
  <c r="K20" i="9"/>
  <c r="I20" i="9"/>
  <c r="BE19" i="9"/>
  <c r="BA19" i="9"/>
  <c r="AM19" i="9"/>
  <c r="AC19" i="9"/>
  <c r="R19" i="9"/>
  <c r="M19" i="9"/>
  <c r="K19" i="9"/>
  <c r="K19" i="11" s="1"/>
  <c r="I19" i="9"/>
  <c r="BE18" i="9"/>
  <c r="BA18" i="9"/>
  <c r="AU18" i="9"/>
  <c r="AV18" i="9" s="1"/>
  <c r="AT18" i="9"/>
  <c r="AH18" i="9"/>
  <c r="Z18" i="9"/>
  <c r="R18" i="9"/>
  <c r="M18" i="9"/>
  <c r="K18" i="9"/>
  <c r="I18" i="9"/>
  <c r="Z17" i="9"/>
  <c r="Z17" i="11" s="1"/>
  <c r="Z16" i="9"/>
  <c r="Z16" i="11" s="1"/>
  <c r="Z15" i="9"/>
  <c r="G15" i="9"/>
  <c r="F15" i="9"/>
  <c r="AP14" i="9"/>
  <c r="AO14" i="9"/>
  <c r="AL14" i="9"/>
  <c r="Z14" i="9"/>
  <c r="Z14" i="11" s="1"/>
  <c r="S14" i="9"/>
  <c r="S14" i="11" s="1"/>
  <c r="O14" i="9"/>
  <c r="R14" i="9" s="1"/>
  <c r="I14" i="9"/>
  <c r="G14" i="9"/>
  <c r="P14" i="9" s="1"/>
  <c r="F14" i="9"/>
  <c r="AP13" i="9"/>
  <c r="AO13" i="9"/>
  <c r="AL13" i="9"/>
  <c r="Z13" i="9"/>
  <c r="Z13" i="11" s="1"/>
  <c r="R13" i="9"/>
  <c r="S13" i="9" s="1"/>
  <c r="S13" i="11" s="1"/>
  <c r="P13" i="9"/>
  <c r="O13" i="9"/>
  <c r="I13" i="9"/>
  <c r="G13" i="9"/>
  <c r="F13" i="9"/>
  <c r="Z12" i="9"/>
  <c r="P12" i="9"/>
  <c r="O12" i="9"/>
  <c r="R12" i="9" s="1"/>
  <c r="I12" i="9"/>
  <c r="AV11" i="9"/>
  <c r="AU11" i="9"/>
  <c r="AS11" i="9"/>
  <c r="AJ11" i="9"/>
  <c r="Z11" i="9"/>
  <c r="Z11" i="11" s="1"/>
  <c r="S11" i="9"/>
  <c r="S11" i="11" s="1"/>
  <c r="P11" i="9"/>
  <c r="O11" i="9"/>
  <c r="R11" i="9" s="1"/>
  <c r="AC11" i="9" s="1"/>
  <c r="I11" i="9"/>
  <c r="AT11" i="9" s="1"/>
  <c r="Z10" i="9"/>
  <c r="Z10" i="11" s="1"/>
  <c r="AI1" i="9"/>
  <c r="W40" i="8"/>
  <c r="K40" i="8" s="1"/>
  <c r="E40" i="8" s="1"/>
  <c r="Q40" i="8" s="1"/>
  <c r="V40" i="8"/>
  <c r="J40" i="8" s="1"/>
  <c r="D40" i="8" s="1"/>
  <c r="P40" i="8" s="1"/>
  <c r="U40" i="8"/>
  <c r="I40" i="8" s="1"/>
  <c r="C40" i="8" s="1"/>
  <c r="O40" i="8" s="1"/>
  <c r="T40" i="8"/>
  <c r="W39" i="8"/>
  <c r="K39" i="8" s="1"/>
  <c r="V39" i="8"/>
  <c r="J39" i="8" s="1"/>
  <c r="U39" i="8"/>
  <c r="T39" i="8"/>
  <c r="H39" i="8" s="1"/>
  <c r="E39" i="8"/>
  <c r="D39" i="8"/>
  <c r="P39" i="8" s="1"/>
  <c r="C39" i="8"/>
  <c r="B39" i="8"/>
  <c r="W38" i="8"/>
  <c r="V38" i="8"/>
  <c r="J38" i="8" s="1"/>
  <c r="U38" i="8"/>
  <c r="T38" i="8"/>
  <c r="H38" i="8" s="1"/>
  <c r="K38" i="8"/>
  <c r="I38" i="8"/>
  <c r="E38" i="8"/>
  <c r="D38" i="8"/>
  <c r="C38" i="8"/>
  <c r="B38" i="8"/>
  <c r="W37" i="8"/>
  <c r="K37" i="8" s="1"/>
  <c r="V37" i="8"/>
  <c r="J37" i="8" s="1"/>
  <c r="P37" i="8" s="1"/>
  <c r="U37" i="8"/>
  <c r="T37" i="8"/>
  <c r="H37" i="8" s="1"/>
  <c r="E37" i="8"/>
  <c r="D37" i="8"/>
  <c r="C37" i="8"/>
  <c r="B37" i="8"/>
  <c r="W36" i="8"/>
  <c r="K36" i="8" s="1"/>
  <c r="V36" i="8"/>
  <c r="J36" i="8" s="1"/>
  <c r="U36" i="8"/>
  <c r="T36" i="8"/>
  <c r="I36" i="8"/>
  <c r="E36" i="8"/>
  <c r="D36" i="8"/>
  <c r="C36" i="8"/>
  <c r="B36" i="8"/>
  <c r="W35" i="8"/>
  <c r="K35" i="8" s="1"/>
  <c r="V35" i="8"/>
  <c r="J35" i="8" s="1"/>
  <c r="U35" i="8"/>
  <c r="T35" i="8"/>
  <c r="I35" i="8"/>
  <c r="E35" i="8"/>
  <c r="D35" i="8"/>
  <c r="C35" i="8"/>
  <c r="B35" i="8"/>
  <c r="W34" i="8"/>
  <c r="K34" i="8" s="1"/>
  <c r="V34" i="8"/>
  <c r="J34" i="8" s="1"/>
  <c r="U34" i="8"/>
  <c r="I34" i="8" s="1"/>
  <c r="T34" i="8"/>
  <c r="H34" i="8" s="1"/>
  <c r="E34" i="8"/>
  <c r="Q34" i="8" s="1"/>
  <c r="D34" i="8"/>
  <c r="C34" i="8"/>
  <c r="B34" i="8"/>
  <c r="W33" i="8"/>
  <c r="V33" i="8"/>
  <c r="J33" i="8" s="1"/>
  <c r="P33" i="8" s="1"/>
  <c r="U33" i="8"/>
  <c r="I33" i="8" s="1"/>
  <c r="T33" i="8"/>
  <c r="H33" i="8" s="1"/>
  <c r="K33" i="8"/>
  <c r="E33" i="8"/>
  <c r="D33" i="8"/>
  <c r="C33" i="8"/>
  <c r="B33" i="8"/>
  <c r="W32" i="8"/>
  <c r="K32" i="8" s="1"/>
  <c r="V32" i="8"/>
  <c r="J32" i="8" s="1"/>
  <c r="U32" i="8"/>
  <c r="I32" i="8" s="1"/>
  <c r="T32" i="8"/>
  <c r="E32" i="8"/>
  <c r="D32" i="8"/>
  <c r="C32" i="8"/>
  <c r="O32" i="8" s="1"/>
  <c r="B32" i="8"/>
  <c r="F32" i="8" s="1"/>
  <c r="W31" i="8"/>
  <c r="K31" i="8" s="1"/>
  <c r="V31" i="8"/>
  <c r="U31" i="8"/>
  <c r="T31" i="8"/>
  <c r="H31" i="8" s="1"/>
  <c r="I31" i="8"/>
  <c r="E31" i="8"/>
  <c r="D31" i="8"/>
  <c r="C31" i="8"/>
  <c r="O31" i="8" s="1"/>
  <c r="B31" i="8"/>
  <c r="W30" i="8"/>
  <c r="K30" i="8" s="1"/>
  <c r="Q30" i="8" s="1"/>
  <c r="V30" i="8"/>
  <c r="U30" i="8"/>
  <c r="I30" i="8" s="1"/>
  <c r="T30" i="8"/>
  <c r="J30" i="8"/>
  <c r="E30" i="8"/>
  <c r="D30" i="8"/>
  <c r="C30" i="8"/>
  <c r="B30" i="8"/>
  <c r="W29" i="8"/>
  <c r="K29" i="8" s="1"/>
  <c r="V29" i="8"/>
  <c r="U29" i="8"/>
  <c r="T29" i="8"/>
  <c r="H29" i="8" s="1"/>
  <c r="J29" i="8"/>
  <c r="E29" i="8"/>
  <c r="D29" i="8"/>
  <c r="C29" i="8"/>
  <c r="B29" i="8"/>
  <c r="W28" i="8"/>
  <c r="K28" i="8" s="1"/>
  <c r="Q28" i="8" s="1"/>
  <c r="V28" i="8"/>
  <c r="U28" i="8"/>
  <c r="T28" i="8"/>
  <c r="H28" i="8" s="1"/>
  <c r="J28" i="8"/>
  <c r="I28" i="8"/>
  <c r="E28" i="8"/>
  <c r="D28" i="8"/>
  <c r="C28" i="8"/>
  <c r="B28" i="8"/>
  <c r="W27" i="8"/>
  <c r="K27" i="8" s="1"/>
  <c r="V27" i="8"/>
  <c r="J27" i="8" s="1"/>
  <c r="U27" i="8"/>
  <c r="I27" i="8" s="1"/>
  <c r="T27" i="8"/>
  <c r="H27" i="8" s="1"/>
  <c r="E27" i="8"/>
  <c r="D27" i="8"/>
  <c r="C27" i="8"/>
  <c r="B27" i="8"/>
  <c r="W26" i="8"/>
  <c r="K26" i="8" s="1"/>
  <c r="V26" i="8"/>
  <c r="J26" i="8" s="1"/>
  <c r="U26" i="8"/>
  <c r="I26" i="8" s="1"/>
  <c r="T26" i="8"/>
  <c r="H26" i="8" s="1"/>
  <c r="E26" i="8"/>
  <c r="Q26" i="8" s="1"/>
  <c r="D26" i="8"/>
  <c r="P26" i="8" s="1"/>
  <c r="C26" i="8"/>
  <c r="B26" i="8"/>
  <c r="F26" i="8" s="1"/>
  <c r="W25" i="8"/>
  <c r="K25" i="8" s="1"/>
  <c r="V25" i="8"/>
  <c r="U25" i="8"/>
  <c r="T25" i="8"/>
  <c r="J25" i="8"/>
  <c r="I25" i="8"/>
  <c r="O25" i="8" s="1"/>
  <c r="H25" i="8"/>
  <c r="E25" i="8"/>
  <c r="D25" i="8"/>
  <c r="C25" i="8"/>
  <c r="B25" i="8"/>
  <c r="W24" i="8"/>
  <c r="V24" i="8"/>
  <c r="J24" i="8" s="1"/>
  <c r="U24" i="8"/>
  <c r="I24" i="8" s="1"/>
  <c r="O24" i="8" s="1"/>
  <c r="T24" i="8"/>
  <c r="K24" i="8"/>
  <c r="H24" i="8"/>
  <c r="E24" i="8"/>
  <c r="D24" i="8"/>
  <c r="C24" i="8"/>
  <c r="B24" i="8"/>
  <c r="W23" i="8"/>
  <c r="K23" i="8" s="1"/>
  <c r="V23" i="8"/>
  <c r="J23" i="8" s="1"/>
  <c r="U23" i="8"/>
  <c r="I23" i="8" s="1"/>
  <c r="O23" i="8" s="1"/>
  <c r="T23" i="8"/>
  <c r="H23" i="8" s="1"/>
  <c r="E23" i="8"/>
  <c r="D23" i="8"/>
  <c r="P23" i="8" s="1"/>
  <c r="C23" i="8"/>
  <c r="B23" i="8"/>
  <c r="N23" i="8" s="1"/>
  <c r="I29" i="13" s="1"/>
  <c r="W22" i="8"/>
  <c r="K22" i="8" s="1"/>
  <c r="V22" i="8"/>
  <c r="J22" i="8" s="1"/>
  <c r="U22" i="8"/>
  <c r="I22" i="8" s="1"/>
  <c r="T22" i="8"/>
  <c r="E22" i="8"/>
  <c r="D22" i="8"/>
  <c r="C22" i="8"/>
  <c r="O22" i="8" s="1"/>
  <c r="B22" i="8"/>
  <c r="W21" i="8"/>
  <c r="K21" i="8" s="1"/>
  <c r="V21" i="8"/>
  <c r="J21" i="8" s="1"/>
  <c r="U21" i="8"/>
  <c r="T21" i="8"/>
  <c r="H21" i="8" s="1"/>
  <c r="E21" i="8"/>
  <c r="D21" i="8"/>
  <c r="P21" i="8" s="1"/>
  <c r="C21" i="8"/>
  <c r="B21" i="8"/>
  <c r="W20" i="8"/>
  <c r="K20" i="8" s="1"/>
  <c r="V20" i="8"/>
  <c r="U20" i="8"/>
  <c r="I20" i="8" s="1"/>
  <c r="T20" i="8"/>
  <c r="J20" i="8"/>
  <c r="H20" i="8"/>
  <c r="E20" i="8"/>
  <c r="Q20" i="8" s="1"/>
  <c r="D20" i="8"/>
  <c r="C20" i="8"/>
  <c r="B20" i="8"/>
  <c r="W19" i="8"/>
  <c r="K19" i="8" s="1"/>
  <c r="V19" i="8"/>
  <c r="J19" i="8" s="1"/>
  <c r="U19" i="8"/>
  <c r="T19" i="8"/>
  <c r="H19" i="8" s="1"/>
  <c r="I19" i="8"/>
  <c r="E19" i="8"/>
  <c r="D19" i="8"/>
  <c r="C19" i="8"/>
  <c r="B19" i="8"/>
  <c r="K18" i="8"/>
  <c r="J18" i="8"/>
  <c r="I18" i="8"/>
  <c r="H18" i="8"/>
  <c r="L18" i="8" s="1"/>
  <c r="E18" i="8"/>
  <c r="Q18" i="8" s="1"/>
  <c r="D18" i="8"/>
  <c r="P18" i="8" s="1"/>
  <c r="C18" i="8"/>
  <c r="O18" i="8" s="1"/>
  <c r="B18" i="8"/>
  <c r="K17" i="8"/>
  <c r="J17" i="8"/>
  <c r="I17" i="8"/>
  <c r="H17" i="8"/>
  <c r="E17" i="8"/>
  <c r="D17" i="8"/>
  <c r="C17" i="8"/>
  <c r="O17" i="8" s="1"/>
  <c r="B17" i="8"/>
  <c r="N17" i="8" s="1"/>
  <c r="K16" i="8"/>
  <c r="J16" i="8"/>
  <c r="I16" i="8"/>
  <c r="H16" i="8"/>
  <c r="E16" i="8"/>
  <c r="D16" i="8"/>
  <c r="C16" i="8"/>
  <c r="B16" i="8"/>
  <c r="K15" i="8"/>
  <c r="J15" i="8"/>
  <c r="I15" i="8"/>
  <c r="H15" i="8"/>
  <c r="L15" i="8" s="1"/>
  <c r="E15" i="8"/>
  <c r="Q15" i="8" s="1"/>
  <c r="D15" i="8"/>
  <c r="P15" i="8" s="1"/>
  <c r="C15" i="8"/>
  <c r="O15" i="8" s="1"/>
  <c r="B15" i="8"/>
  <c r="K14" i="8"/>
  <c r="J14" i="8"/>
  <c r="I14" i="8"/>
  <c r="H14" i="8"/>
  <c r="L14" i="8" s="1"/>
  <c r="E14" i="8"/>
  <c r="Q14" i="8" s="1"/>
  <c r="D14" i="8"/>
  <c r="C14" i="8"/>
  <c r="O14" i="8" s="1"/>
  <c r="B14" i="8"/>
  <c r="Q13" i="8"/>
  <c r="O13" i="8"/>
  <c r="K13" i="8"/>
  <c r="J13" i="8"/>
  <c r="I13" i="8"/>
  <c r="H13" i="8"/>
  <c r="E13" i="8"/>
  <c r="D13" i="8"/>
  <c r="P13" i="8" s="1"/>
  <c r="C13" i="8"/>
  <c r="B13" i="8"/>
  <c r="Q12" i="8"/>
  <c r="K12" i="8"/>
  <c r="J12" i="8"/>
  <c r="I12" i="8"/>
  <c r="H12" i="8"/>
  <c r="E12" i="8"/>
  <c r="D12" i="8"/>
  <c r="P12" i="8" s="1"/>
  <c r="C12" i="8"/>
  <c r="B12" i="8"/>
  <c r="K11" i="8"/>
  <c r="J11" i="8"/>
  <c r="I11" i="8"/>
  <c r="H11" i="8"/>
  <c r="E11" i="8"/>
  <c r="Q11" i="8" s="1"/>
  <c r="D11" i="8"/>
  <c r="P11" i="8" s="1"/>
  <c r="C11" i="8"/>
  <c r="O11" i="8" s="1"/>
  <c r="B11" i="8"/>
  <c r="N11" i="8" s="1"/>
  <c r="K10" i="8"/>
  <c r="J10" i="8"/>
  <c r="I10" i="8"/>
  <c r="H10" i="8"/>
  <c r="N10" i="8" s="1"/>
  <c r="E10" i="8"/>
  <c r="D10" i="8"/>
  <c r="C10" i="8"/>
  <c r="B10" i="8"/>
  <c r="K9" i="8"/>
  <c r="J9" i="8"/>
  <c r="I9" i="8"/>
  <c r="H9" i="8"/>
  <c r="E9" i="8"/>
  <c r="Q9" i="8" s="1"/>
  <c r="D9" i="8"/>
  <c r="C9" i="8"/>
  <c r="O9" i="8" s="1"/>
  <c r="B9" i="8"/>
  <c r="K8" i="8"/>
  <c r="J8" i="8"/>
  <c r="I8" i="8"/>
  <c r="H8" i="8"/>
  <c r="N8" i="8" s="1"/>
  <c r="I14" i="13" s="1"/>
  <c r="AS14" i="13" s="1"/>
  <c r="E8" i="8"/>
  <c r="D8" i="8"/>
  <c r="P8" i="8" s="1"/>
  <c r="C8" i="8"/>
  <c r="O8" i="8" s="1"/>
  <c r="B8" i="8"/>
  <c r="K7" i="8"/>
  <c r="J7" i="8"/>
  <c r="I7" i="8"/>
  <c r="H7" i="8"/>
  <c r="L7" i="8" s="1"/>
  <c r="E7" i="8"/>
  <c r="D7" i="8"/>
  <c r="P7" i="8" s="1"/>
  <c r="C7" i="8"/>
  <c r="O7" i="8" s="1"/>
  <c r="B7" i="8"/>
  <c r="AA31" i="7"/>
  <c r="AI30" i="7"/>
  <c r="AC30" i="7"/>
  <c r="W30" i="7"/>
  <c r="U30" i="7"/>
  <c r="S30" i="7"/>
  <c r="R30" i="7"/>
  <c r="T30" i="7" s="1"/>
  <c r="Y30" i="7" s="1"/>
  <c r="G30" i="7"/>
  <c r="X33" i="3" s="1"/>
  <c r="AC29" i="7"/>
  <c r="U29" i="7"/>
  <c r="S29" i="7"/>
  <c r="G29" i="7" s="1"/>
  <c r="X32" i="3" s="1"/>
  <c r="R29" i="7"/>
  <c r="P29" i="7" s="1"/>
  <c r="AC28" i="7"/>
  <c r="U28" i="7"/>
  <c r="S28" i="7"/>
  <c r="R28" i="7"/>
  <c r="AC27" i="7"/>
  <c r="U27" i="7"/>
  <c r="S27" i="7"/>
  <c r="G27" i="7" s="1"/>
  <c r="X30" i="3" s="1"/>
  <c r="R27" i="7"/>
  <c r="P27" i="7" s="1"/>
  <c r="F27" i="7"/>
  <c r="W30" i="3" s="1"/>
  <c r="AF30" i="3" s="1"/>
  <c r="AC26" i="7"/>
  <c r="U26" i="7"/>
  <c r="S26" i="7"/>
  <c r="R26" i="7"/>
  <c r="U25" i="7"/>
  <c r="S25" i="7"/>
  <c r="R25" i="7"/>
  <c r="F25" i="7" s="1"/>
  <c r="P25" i="7"/>
  <c r="N25" i="7"/>
  <c r="D25" i="7" s="1"/>
  <c r="AC24" i="7"/>
  <c r="U24" i="7"/>
  <c r="S24" i="7"/>
  <c r="G24" i="7" s="1"/>
  <c r="X27" i="3" s="1"/>
  <c r="R24" i="7"/>
  <c r="AC23" i="7"/>
  <c r="U23" i="7"/>
  <c r="S23" i="7"/>
  <c r="R23" i="7"/>
  <c r="P23" i="7" s="1"/>
  <c r="U22" i="7"/>
  <c r="S22" i="7"/>
  <c r="R22" i="7"/>
  <c r="U21" i="7"/>
  <c r="S21" i="7"/>
  <c r="R21" i="7"/>
  <c r="F21" i="7" s="1"/>
  <c r="W24" i="3" s="1"/>
  <c r="P21" i="7"/>
  <c r="N21" i="7"/>
  <c r="G21" i="7"/>
  <c r="X24" i="3" s="1"/>
  <c r="D21" i="7"/>
  <c r="I21" i="7" s="1"/>
  <c r="K21" i="7" s="1"/>
  <c r="U20" i="7"/>
  <c r="S20" i="7"/>
  <c r="R20" i="7"/>
  <c r="N20" i="7" s="1"/>
  <c r="D20" i="7" s="1"/>
  <c r="G20" i="7"/>
  <c r="X23" i="3" s="1"/>
  <c r="F20" i="7"/>
  <c r="W23" i="3" s="1"/>
  <c r="AF23" i="3" s="1"/>
  <c r="U19" i="7"/>
  <c r="S19" i="7"/>
  <c r="R19" i="7"/>
  <c r="F19" i="7" s="1"/>
  <c r="W22" i="3" s="1"/>
  <c r="U18" i="7"/>
  <c r="S18" i="7"/>
  <c r="G18" i="7" s="1"/>
  <c r="X21" i="3" s="1"/>
  <c r="R18" i="7"/>
  <c r="AC17" i="7"/>
  <c r="U17" i="7"/>
  <c r="S17" i="7"/>
  <c r="R17" i="7"/>
  <c r="AC16" i="7"/>
  <c r="U16" i="7"/>
  <c r="S16" i="7"/>
  <c r="G16" i="7" s="1"/>
  <c r="R16" i="7"/>
  <c r="AC15" i="7"/>
  <c r="U15" i="7"/>
  <c r="S15" i="7"/>
  <c r="G15" i="7" s="1"/>
  <c r="X18" i="3" s="1"/>
  <c r="R15" i="7"/>
  <c r="AC14" i="7"/>
  <c r="U14" i="7"/>
  <c r="S14" i="7"/>
  <c r="G14" i="7" s="1"/>
  <c r="R14" i="7"/>
  <c r="P14" i="7"/>
  <c r="N14" i="7"/>
  <c r="D14" i="7" s="1"/>
  <c r="F14" i="7"/>
  <c r="W17" i="3" s="1"/>
  <c r="AC13" i="7"/>
  <c r="U13" i="7"/>
  <c r="S13" i="7"/>
  <c r="R13" i="7"/>
  <c r="D12" i="7"/>
  <c r="D11" i="7"/>
  <c r="D10" i="7"/>
  <c r="D9" i="7"/>
  <c r="AC8" i="7"/>
  <c r="D8" i="7"/>
  <c r="AC7" i="7"/>
  <c r="D7" i="7"/>
  <c r="D6" i="7"/>
  <c r="AC5" i="7"/>
  <c r="D5" i="7"/>
  <c r="G10" i="6"/>
  <c r="C10" i="6"/>
  <c r="E9" i="6"/>
  <c r="E7" i="6"/>
  <c r="CG156" i="5"/>
  <c r="CG154" i="5"/>
  <c r="CI154" i="5" s="1"/>
  <c r="CF154" i="5"/>
  <c r="CE154" i="5"/>
  <c r="CD154" i="5"/>
  <c r="CC154" i="5"/>
  <c r="CN150" i="5"/>
  <c r="CN149" i="5"/>
  <c r="CN148" i="5"/>
  <c r="T87" i="5"/>
  <c r="T86" i="5"/>
  <c r="T83" i="5"/>
  <c r="T82" i="5"/>
  <c r="T80" i="5"/>
  <c r="T78" i="5"/>
  <c r="T77" i="5"/>
  <c r="T76" i="5"/>
  <c r="F76" i="5"/>
  <c r="P9" i="6" s="1"/>
  <c r="C76" i="5"/>
  <c r="P6" i="6" s="1"/>
  <c r="B76" i="5"/>
  <c r="P5" i="6" s="1"/>
  <c r="T75" i="5"/>
  <c r="T74" i="5"/>
  <c r="T73" i="5"/>
  <c r="T72" i="5"/>
  <c r="AT71" i="5"/>
  <c r="AS71" i="5"/>
  <c r="T71" i="5"/>
  <c r="AT70" i="5"/>
  <c r="AS70" i="5"/>
  <c r="AU70" i="5" s="1"/>
  <c r="AV70" i="5" s="1"/>
  <c r="AT69" i="5"/>
  <c r="T69" i="5"/>
  <c r="AT68" i="5"/>
  <c r="AO68" i="5"/>
  <c r="AN68" i="5"/>
  <c r="AP68" i="5" s="1"/>
  <c r="AQ68" i="5" s="1"/>
  <c r="T68" i="5"/>
  <c r="AT67" i="5"/>
  <c r="AO67" i="5"/>
  <c r="T67" i="5"/>
  <c r="CG66" i="5"/>
  <c r="CC66" i="5"/>
  <c r="AO66" i="5"/>
  <c r="T66" i="5"/>
  <c r="T65" i="5"/>
  <c r="T64" i="5"/>
  <c r="T63" i="5"/>
  <c r="DE62" i="5"/>
  <c r="T62" i="5"/>
  <c r="DE61" i="5"/>
  <c r="T61" i="5"/>
  <c r="DE60" i="5"/>
  <c r="T60" i="5"/>
  <c r="DG59" i="5"/>
  <c r="AO59" i="5"/>
  <c r="F59" i="5"/>
  <c r="E59" i="5"/>
  <c r="D59" i="5"/>
  <c r="C59" i="5"/>
  <c r="B59" i="5"/>
  <c r="J59" i="5" s="1"/>
  <c r="AT58" i="5"/>
  <c r="AO58" i="5"/>
  <c r="B58" i="5"/>
  <c r="DL53" i="5"/>
  <c r="DM53" i="5" s="1"/>
  <c r="DK53" i="5"/>
  <c r="CR53" i="5"/>
  <c r="CF53" i="5"/>
  <c r="CE53" i="5"/>
  <c r="CB53" i="5"/>
  <c r="BT53" i="5"/>
  <c r="BR53" i="5"/>
  <c r="BP53" i="5"/>
  <c r="BV53" i="5" s="1"/>
  <c r="Q53" i="5"/>
  <c r="F53" i="5"/>
  <c r="E53" i="5"/>
  <c r="D53" i="5"/>
  <c r="C53" i="5"/>
  <c r="B53" i="5"/>
  <c r="CG52" i="5"/>
  <c r="AK52" i="5"/>
  <c r="AC52" i="5"/>
  <c r="G52" i="5"/>
  <c r="CH51" i="5"/>
  <c r="AC51" i="5" s="1"/>
  <c r="CG51" i="5"/>
  <c r="CI51" i="5" s="1"/>
  <c r="AW51" i="5"/>
  <c r="AV51" i="5"/>
  <c r="AU51" i="5"/>
  <c r="AT51" i="5"/>
  <c r="AS51" i="5"/>
  <c r="AR51" i="5"/>
  <c r="AQ51" i="5"/>
  <c r="AP51" i="5"/>
  <c r="AO51" i="5"/>
  <c r="AN51" i="5"/>
  <c r="G51" i="5"/>
  <c r="DL50" i="5"/>
  <c r="DK50" i="5"/>
  <c r="CF50" i="5"/>
  <c r="CE50" i="5"/>
  <c r="CD50" i="5"/>
  <c r="CB50" i="5"/>
  <c r="CR50" i="5" s="1"/>
  <c r="BV50" i="5"/>
  <c r="BT50" i="5"/>
  <c r="BS50" i="5"/>
  <c r="BR50" i="5"/>
  <c r="BQ50" i="5"/>
  <c r="BP50" i="5"/>
  <c r="AK50" i="5"/>
  <c r="T50" i="5"/>
  <c r="R50" i="5"/>
  <c r="Q50" i="5"/>
  <c r="G50" i="5"/>
  <c r="DK49" i="5"/>
  <c r="CF49" i="5"/>
  <c r="CD49" i="5"/>
  <c r="CB49" i="5"/>
  <c r="CR49" i="5" s="1"/>
  <c r="BV49" i="5"/>
  <c r="BT49" i="5"/>
  <c r="BS49" i="5"/>
  <c r="BR49" i="5"/>
  <c r="BQ49" i="5"/>
  <c r="BP49" i="5"/>
  <c r="R49" i="5"/>
  <c r="T49" i="5" s="1"/>
  <c r="Q49" i="5"/>
  <c r="G49" i="5"/>
  <c r="DK48" i="5"/>
  <c r="CR48" i="5"/>
  <c r="CF48" i="5"/>
  <c r="CD48" i="5"/>
  <c r="CB48" i="5"/>
  <c r="BT48" i="5"/>
  <c r="BS48" i="5"/>
  <c r="BR48" i="5"/>
  <c r="BQ48" i="5"/>
  <c r="BP48" i="5"/>
  <c r="BV48" i="5" s="1"/>
  <c r="AK48" i="5"/>
  <c r="T48" i="5"/>
  <c r="R48" i="5"/>
  <c r="Q48" i="5"/>
  <c r="G48" i="5"/>
  <c r="DK47" i="5"/>
  <c r="CR47" i="5"/>
  <c r="CF47" i="5"/>
  <c r="CD47" i="5"/>
  <c r="CC47" i="5"/>
  <c r="CB47" i="5"/>
  <c r="BV47" i="5"/>
  <c r="BT47" i="5"/>
  <c r="BS47" i="5"/>
  <c r="BR47" i="5"/>
  <c r="BQ47" i="5"/>
  <c r="BP47" i="5"/>
  <c r="R47" i="5"/>
  <c r="Q47" i="5"/>
  <c r="G47" i="5"/>
  <c r="DK46" i="5"/>
  <c r="CR46" i="5"/>
  <c r="CF46" i="5"/>
  <c r="CD46" i="5"/>
  <c r="CC46" i="5"/>
  <c r="CB46" i="5"/>
  <c r="BT46" i="5"/>
  <c r="BS46" i="5"/>
  <c r="BR46" i="5"/>
  <c r="BQ46" i="5"/>
  <c r="BP46" i="5"/>
  <c r="BV46" i="5" s="1"/>
  <c r="AK46" i="5"/>
  <c r="R46" i="5"/>
  <c r="Q46" i="5"/>
  <c r="G46" i="5"/>
  <c r="DK45" i="5"/>
  <c r="CR45" i="5"/>
  <c r="CF45" i="5"/>
  <c r="CE45" i="5"/>
  <c r="CD45" i="5"/>
  <c r="CC45" i="5"/>
  <c r="CB45" i="5"/>
  <c r="BV45" i="5"/>
  <c r="BT45" i="5"/>
  <c r="BS45" i="5"/>
  <c r="BR45" i="5"/>
  <c r="BQ45" i="5"/>
  <c r="BP45" i="5"/>
  <c r="AK45" i="5"/>
  <c r="T45" i="5"/>
  <c r="R45" i="5"/>
  <c r="Q45" i="5"/>
  <c r="J45" i="5"/>
  <c r="N38" i="1" s="1"/>
  <c r="G45" i="5"/>
  <c r="DK44" i="5"/>
  <c r="CR44" i="5"/>
  <c r="CF44" i="5"/>
  <c r="CE44" i="5"/>
  <c r="CD44" i="5"/>
  <c r="CC44" i="5"/>
  <c r="BT44" i="5"/>
  <c r="BS44" i="5"/>
  <c r="BR44" i="5"/>
  <c r="BQ44" i="5"/>
  <c r="BP44" i="5"/>
  <c r="BV44" i="5" s="1"/>
  <c r="AK44" i="5"/>
  <c r="R44" i="5"/>
  <c r="Q44" i="5"/>
  <c r="J44" i="5"/>
  <c r="G44" i="5"/>
  <c r="DK43" i="5"/>
  <c r="CR43" i="5"/>
  <c r="CF43" i="5"/>
  <c r="CD43" i="5"/>
  <c r="CC43" i="5"/>
  <c r="BV43" i="5"/>
  <c r="BT43" i="5"/>
  <c r="BS43" i="5"/>
  <c r="BR43" i="5"/>
  <c r="BQ43" i="5"/>
  <c r="BP43" i="5"/>
  <c r="T43" i="5"/>
  <c r="R43" i="5"/>
  <c r="Q43" i="5"/>
  <c r="G43" i="5"/>
  <c r="DK42" i="5"/>
  <c r="CR42" i="5"/>
  <c r="CF42" i="5"/>
  <c r="CD42" i="5"/>
  <c r="CC42" i="5"/>
  <c r="BT42" i="5"/>
  <c r="BS42" i="5"/>
  <c r="BR42" i="5"/>
  <c r="BQ42" i="5"/>
  <c r="BP42" i="5"/>
  <c r="BV42" i="5" s="1"/>
  <c r="R42" i="5"/>
  <c r="Q42" i="5"/>
  <c r="G42" i="5"/>
  <c r="DK41" i="5"/>
  <c r="CR41" i="5"/>
  <c r="CF41" i="5"/>
  <c r="CD41" i="5"/>
  <c r="CC41" i="5"/>
  <c r="BV41" i="5"/>
  <c r="BT41" i="5"/>
  <c r="BS41" i="5"/>
  <c r="BR41" i="5"/>
  <c r="BQ41" i="5"/>
  <c r="BP41" i="5"/>
  <c r="T41" i="5"/>
  <c r="R41" i="5"/>
  <c r="Q41" i="5"/>
  <c r="G41" i="5"/>
  <c r="DK40" i="5"/>
  <c r="CR40" i="5"/>
  <c r="CF40" i="5"/>
  <c r="CD40" i="5"/>
  <c r="CC40" i="5"/>
  <c r="BT40" i="5"/>
  <c r="BS40" i="5"/>
  <c r="BR40" i="5"/>
  <c r="BQ40" i="5"/>
  <c r="BP40" i="5"/>
  <c r="BV40" i="5" s="1"/>
  <c r="R40" i="5"/>
  <c r="T40" i="5" s="1"/>
  <c r="Q40" i="5"/>
  <c r="G40" i="5"/>
  <c r="DK39" i="5"/>
  <c r="CR39" i="5"/>
  <c r="CF39" i="5"/>
  <c r="CE39" i="5"/>
  <c r="CD39" i="5"/>
  <c r="CC39" i="5"/>
  <c r="BT39" i="5"/>
  <c r="BS39" i="5"/>
  <c r="BR39" i="5"/>
  <c r="BQ39" i="5"/>
  <c r="BP39" i="5"/>
  <c r="BV39" i="5" s="1"/>
  <c r="AK39" i="5"/>
  <c r="R39" i="5"/>
  <c r="Q39" i="5"/>
  <c r="J39" i="5"/>
  <c r="G39" i="5"/>
  <c r="DK38" i="5"/>
  <c r="CR38" i="5"/>
  <c r="CF38" i="5"/>
  <c r="CD38" i="5"/>
  <c r="CC38" i="5"/>
  <c r="BV38" i="5"/>
  <c r="BT38" i="5"/>
  <c r="BS38" i="5"/>
  <c r="BR38" i="5"/>
  <c r="BQ38" i="5"/>
  <c r="BP38" i="5"/>
  <c r="T38" i="5"/>
  <c r="R38" i="5"/>
  <c r="Q38" i="5"/>
  <c r="G38" i="5"/>
  <c r="DK37" i="5"/>
  <c r="CR37" i="5"/>
  <c r="CF37" i="5"/>
  <c r="CC37" i="5"/>
  <c r="BT37" i="5"/>
  <c r="BS37" i="5"/>
  <c r="BR37" i="5"/>
  <c r="BQ37" i="5"/>
  <c r="BP37" i="5"/>
  <c r="BV37" i="5" s="1"/>
  <c r="AK37" i="5"/>
  <c r="T37" i="5"/>
  <c r="R37" i="5"/>
  <c r="Q37" i="5"/>
  <c r="G37" i="5"/>
  <c r="DK36" i="5"/>
  <c r="CR36" i="5"/>
  <c r="CF36" i="5"/>
  <c r="CC36" i="5"/>
  <c r="BT36" i="5"/>
  <c r="BS36" i="5"/>
  <c r="BQ36" i="5"/>
  <c r="BP36" i="5"/>
  <c r="BV36" i="5" s="1"/>
  <c r="Q36" i="5"/>
  <c r="E36" i="5"/>
  <c r="DK35" i="5"/>
  <c r="CR35" i="5"/>
  <c r="CF35" i="5"/>
  <c r="CC35" i="5"/>
  <c r="BT35" i="5"/>
  <c r="BS35" i="5"/>
  <c r="BQ35" i="5"/>
  <c r="BP35" i="5"/>
  <c r="BV35" i="5" s="1"/>
  <c r="Q35" i="5"/>
  <c r="DK34" i="5"/>
  <c r="CR34" i="5"/>
  <c r="CF34" i="5"/>
  <c r="CC34" i="5"/>
  <c r="BV34" i="5"/>
  <c r="BT34" i="5"/>
  <c r="BS34" i="5"/>
  <c r="BQ34" i="5"/>
  <c r="BP34" i="5"/>
  <c r="AW34" i="5"/>
  <c r="AY34" i="5" s="1"/>
  <c r="Y34" i="5" s="1"/>
  <c r="Q34" i="5"/>
  <c r="DK33" i="5"/>
  <c r="CR33" i="5"/>
  <c r="CF33" i="5"/>
  <c r="CC33" i="5"/>
  <c r="BY33" i="5"/>
  <c r="CE33" i="5" s="1"/>
  <c r="DL33" i="5" s="1"/>
  <c r="DM33" i="5" s="1"/>
  <c r="BT33" i="5"/>
  <c r="BS33" i="5"/>
  <c r="BR33" i="5"/>
  <c r="BX33" i="5" s="1"/>
  <c r="CD33" i="5" s="1"/>
  <c r="BQ33" i="5"/>
  <c r="BP33" i="5"/>
  <c r="BV33" i="5" s="1"/>
  <c r="AY33" i="5"/>
  <c r="Y33" i="5" s="1"/>
  <c r="AS33" i="5"/>
  <c r="AW33" i="5" s="1"/>
  <c r="R33" i="5"/>
  <c r="Q33" i="5"/>
  <c r="D33" i="5"/>
  <c r="G33" i="5" s="1"/>
  <c r="DK32" i="5"/>
  <c r="CR32" i="5"/>
  <c r="CF32" i="5"/>
  <c r="CC32" i="5"/>
  <c r="BV32" i="5"/>
  <c r="BT32" i="5"/>
  <c r="BS32" i="5"/>
  <c r="BQ32" i="5"/>
  <c r="BP32" i="5"/>
  <c r="BJ32" i="5"/>
  <c r="AS32" i="5"/>
  <c r="AS69" i="5" s="1"/>
  <c r="AU69" i="5" s="1"/>
  <c r="AV69" i="5" s="1"/>
  <c r="AK32" i="5"/>
  <c r="Q32" i="5"/>
  <c r="D32" i="5"/>
  <c r="R32" i="5" s="1"/>
  <c r="T32" i="5" s="1"/>
  <c r="DK31" i="5"/>
  <c r="CR31" i="5"/>
  <c r="CF31" i="5"/>
  <c r="CC31" i="5"/>
  <c r="BV31" i="5"/>
  <c r="BT31" i="5"/>
  <c r="BS31" i="5"/>
  <c r="BR31" i="5"/>
  <c r="BQ31" i="5"/>
  <c r="BP31" i="5"/>
  <c r="BJ31" i="5"/>
  <c r="AS31" i="5"/>
  <c r="R31" i="5"/>
  <c r="Q31" i="5"/>
  <c r="G31" i="5"/>
  <c r="DK30" i="5"/>
  <c r="CR30" i="5"/>
  <c r="CF30" i="5"/>
  <c r="CC30" i="5"/>
  <c r="BV30" i="5"/>
  <c r="BT30" i="5"/>
  <c r="BS30" i="5"/>
  <c r="BR30" i="5"/>
  <c r="BQ30" i="5"/>
  <c r="BP30" i="5"/>
  <c r="BK30" i="5"/>
  <c r="AY30" i="5"/>
  <c r="AW30" i="5"/>
  <c r="AS30" i="5"/>
  <c r="AS67" i="5" s="1"/>
  <c r="AP30" i="5"/>
  <c r="AQ30" i="5" s="1"/>
  <c r="AN30" i="5"/>
  <c r="Y30" i="5"/>
  <c r="BY30" i="5" s="1"/>
  <c r="CE30" i="5" s="1"/>
  <c r="DL30" i="5" s="1"/>
  <c r="DM30" i="5" s="1"/>
  <c r="R30" i="5"/>
  <c r="T30" i="5" s="1"/>
  <c r="Q30" i="5"/>
  <c r="G30" i="5"/>
  <c r="DK29" i="5"/>
  <c r="CR29" i="5"/>
  <c r="CC29" i="5"/>
  <c r="BT29" i="5"/>
  <c r="BS29" i="5"/>
  <c r="BQ29" i="5"/>
  <c r="BP29" i="5"/>
  <c r="BV29" i="5" s="1"/>
  <c r="BK29" i="5"/>
  <c r="Q29" i="5"/>
  <c r="DK28" i="5"/>
  <c r="CR28" i="5"/>
  <c r="CD28" i="5"/>
  <c r="CC28" i="5"/>
  <c r="BV28" i="5"/>
  <c r="BT28" i="5"/>
  <c r="BS28" i="5"/>
  <c r="BR28" i="5"/>
  <c r="BQ28" i="5"/>
  <c r="BP28" i="5"/>
  <c r="BJ28" i="5"/>
  <c r="R28" i="5"/>
  <c r="Q28" i="5"/>
  <c r="G28" i="5"/>
  <c r="DK27" i="5"/>
  <c r="CD27" i="5"/>
  <c r="BV27" i="5"/>
  <c r="BT27" i="5"/>
  <c r="BS27" i="5"/>
  <c r="BR27" i="5"/>
  <c r="BQ27" i="5"/>
  <c r="BP27" i="5"/>
  <c r="BJ27" i="5"/>
  <c r="R27" i="5"/>
  <c r="Q27" i="5"/>
  <c r="G27" i="5"/>
  <c r="DK26" i="5"/>
  <c r="CD26" i="5"/>
  <c r="BT26" i="5"/>
  <c r="BS26" i="5"/>
  <c r="BR26" i="5"/>
  <c r="BQ26" i="5"/>
  <c r="BP26" i="5"/>
  <c r="BV26" i="5" s="1"/>
  <c r="BJ26" i="5"/>
  <c r="R26" i="5"/>
  <c r="Q26" i="5"/>
  <c r="G26" i="5"/>
  <c r="DK25" i="5"/>
  <c r="CD25" i="5"/>
  <c r="CC25" i="5"/>
  <c r="BT25" i="5"/>
  <c r="BS25" i="5"/>
  <c r="BR25" i="5"/>
  <c r="BQ25" i="5"/>
  <c r="BP25" i="5"/>
  <c r="BV25" i="5" s="1"/>
  <c r="BJ25" i="5"/>
  <c r="T25" i="5"/>
  <c r="R25" i="5"/>
  <c r="Q25" i="5"/>
  <c r="G25" i="5"/>
  <c r="DK24" i="5"/>
  <c r="BV24" i="5"/>
  <c r="BT24" i="5"/>
  <c r="BS24" i="5"/>
  <c r="BR24" i="5"/>
  <c r="BQ24" i="5"/>
  <c r="BP24" i="5"/>
  <c r="BJ24" i="5"/>
  <c r="AP24" i="5"/>
  <c r="AQ24" i="5" s="1"/>
  <c r="AN24" i="5"/>
  <c r="AK24" i="5"/>
  <c r="R24" i="5"/>
  <c r="Q24" i="5"/>
  <c r="G24" i="5"/>
  <c r="DK23" i="5"/>
  <c r="BV23" i="5"/>
  <c r="BT23" i="5"/>
  <c r="BS23" i="5"/>
  <c r="BR23" i="5"/>
  <c r="BQ23" i="5"/>
  <c r="BP23" i="5"/>
  <c r="BJ23" i="5"/>
  <c r="R23" i="5"/>
  <c r="Q23" i="5"/>
  <c r="G23" i="5"/>
  <c r="DK22" i="5"/>
  <c r="BT22" i="5"/>
  <c r="BS22" i="5"/>
  <c r="BR22" i="5"/>
  <c r="BQ22" i="5"/>
  <c r="BP22" i="5"/>
  <c r="BV22" i="5" s="1"/>
  <c r="BJ22" i="5"/>
  <c r="R22" i="5"/>
  <c r="Q22" i="5"/>
  <c r="G22" i="5"/>
  <c r="DK21" i="5"/>
  <c r="CD21" i="5"/>
  <c r="BV21" i="5"/>
  <c r="BT21" i="5"/>
  <c r="BS21" i="5"/>
  <c r="BR21" i="5"/>
  <c r="BQ21" i="5"/>
  <c r="BP21" i="5"/>
  <c r="BJ21" i="5"/>
  <c r="R21" i="5"/>
  <c r="Q21" i="5"/>
  <c r="G21" i="5"/>
  <c r="DK20" i="5"/>
  <c r="BT20" i="5"/>
  <c r="BS20" i="5"/>
  <c r="BR20" i="5"/>
  <c r="BQ20" i="5"/>
  <c r="BP20" i="5"/>
  <c r="BV20" i="5" s="1"/>
  <c r="BJ20" i="5"/>
  <c r="R20" i="5"/>
  <c r="Q20" i="5"/>
  <c r="H20" i="5"/>
  <c r="I20" i="5" s="1"/>
  <c r="J20" i="5" s="1"/>
  <c r="G20" i="5"/>
  <c r="BJ19" i="5"/>
  <c r="G19" i="5"/>
  <c r="BJ18" i="5"/>
  <c r="H18" i="5"/>
  <c r="G18" i="5"/>
  <c r="I18" i="5" s="1"/>
  <c r="J18" i="5" s="1"/>
  <c r="BJ17" i="5"/>
  <c r="G17" i="5"/>
  <c r="BJ16" i="5"/>
  <c r="G16" i="5"/>
  <c r="BJ15" i="5"/>
  <c r="G15" i="5"/>
  <c r="BJ14" i="5"/>
  <c r="I14" i="5"/>
  <c r="J14" i="5" s="1"/>
  <c r="H14" i="5"/>
  <c r="G14" i="5"/>
  <c r="BJ13" i="5"/>
  <c r="G13" i="5"/>
  <c r="BJ12" i="5"/>
  <c r="I12" i="5"/>
  <c r="J12" i="5" s="1"/>
  <c r="H12" i="5"/>
  <c r="G12" i="5"/>
  <c r="BJ11" i="5"/>
  <c r="G11" i="5"/>
  <c r="BJ10" i="5"/>
  <c r="H10" i="5"/>
  <c r="G10" i="5"/>
  <c r="I10" i="5" s="1"/>
  <c r="J10" i="5" s="1"/>
  <c r="BJ9" i="5"/>
  <c r="H9" i="5"/>
  <c r="G9" i="5"/>
  <c r="BJ8" i="5"/>
  <c r="G8" i="5"/>
  <c r="H7" i="5"/>
  <c r="G7" i="5"/>
  <c r="I6" i="5"/>
  <c r="J6" i="5" s="1"/>
  <c r="H6" i="5"/>
  <c r="G6" i="5"/>
  <c r="H5" i="5"/>
  <c r="I5" i="5" s="1"/>
  <c r="J5" i="5" s="1"/>
  <c r="G5" i="5"/>
  <c r="CF3" i="5"/>
  <c r="BZ3" i="5"/>
  <c r="BT3" i="5"/>
  <c r="BS3" i="5"/>
  <c r="CE3" i="5" s="1"/>
  <c r="BR3" i="5"/>
  <c r="BQ3" i="5"/>
  <c r="CH2" i="5"/>
  <c r="CG2" i="5"/>
  <c r="DE1" i="5"/>
  <c r="CH1" i="5"/>
  <c r="CF1" i="5"/>
  <c r="CE1" i="5"/>
  <c r="CD1" i="5"/>
  <c r="CC1" i="5"/>
  <c r="AV49" i="4"/>
  <c r="AU49" i="4"/>
  <c r="AT49" i="4"/>
  <c r="AR49" i="4"/>
  <c r="AQ49" i="4"/>
  <c r="AP49" i="4"/>
  <c r="AK49" i="4"/>
  <c r="AG49" i="4"/>
  <c r="AF49" i="4"/>
  <c r="AE49" i="4"/>
  <c r="AC49" i="4"/>
  <c r="AA49" i="4"/>
  <c r="Z49" i="4"/>
  <c r="Y49" i="4"/>
  <c r="U49" i="4"/>
  <c r="P49" i="4"/>
  <c r="M49" i="4"/>
  <c r="K49" i="4"/>
  <c r="AV48" i="4"/>
  <c r="AU48" i="4"/>
  <c r="AT48" i="4"/>
  <c r="AR48" i="4"/>
  <c r="AQ48" i="4"/>
  <c r="AP48" i="4"/>
  <c r="AL48" i="4"/>
  <c r="AK48" i="4"/>
  <c r="AG48" i="4"/>
  <c r="AF48" i="4"/>
  <c r="AE48" i="4"/>
  <c r="AC48" i="4"/>
  <c r="AA48" i="4"/>
  <c r="Z48" i="4"/>
  <c r="Y48" i="4"/>
  <c r="U48" i="4"/>
  <c r="P48" i="4"/>
  <c r="M48" i="4"/>
  <c r="K48" i="4"/>
  <c r="BE46" i="4"/>
  <c r="AW46" i="4"/>
  <c r="AV46" i="4"/>
  <c r="AU46" i="4"/>
  <c r="AT46" i="4"/>
  <c r="AR46" i="4"/>
  <c r="AQ46" i="4"/>
  <c r="AP46" i="4"/>
  <c r="AK46" i="4"/>
  <c r="AJ46" i="4"/>
  <c r="AG46" i="4"/>
  <c r="AF46" i="4"/>
  <c r="AE46" i="4"/>
  <c r="AC46" i="4"/>
  <c r="AA46" i="4"/>
  <c r="Z46" i="4"/>
  <c r="Y46" i="4"/>
  <c r="U46" i="4"/>
  <c r="P46" i="4"/>
  <c r="M46" i="4"/>
  <c r="K46" i="4"/>
  <c r="J46" i="4"/>
  <c r="AW45" i="4"/>
  <c r="AV45" i="4"/>
  <c r="AU45" i="4"/>
  <c r="AT45" i="4"/>
  <c r="AR45" i="4"/>
  <c r="AQ45" i="4"/>
  <c r="AP45" i="4"/>
  <c r="AK45" i="4"/>
  <c r="AJ45" i="4"/>
  <c r="AG45" i="4"/>
  <c r="AF45" i="4"/>
  <c r="AE45" i="4"/>
  <c r="AC45" i="4"/>
  <c r="AA45" i="4"/>
  <c r="Z45" i="4"/>
  <c r="Y45" i="4"/>
  <c r="U45" i="4"/>
  <c r="P45" i="4"/>
  <c r="M45" i="4"/>
  <c r="K45" i="4"/>
  <c r="J45" i="4"/>
  <c r="AW44" i="4"/>
  <c r="AV44" i="4"/>
  <c r="AU44" i="4"/>
  <c r="AT44" i="4"/>
  <c r="AR44" i="4"/>
  <c r="AQ44" i="4"/>
  <c r="AP44" i="4"/>
  <c r="AK44" i="4"/>
  <c r="AG44" i="4"/>
  <c r="AF44" i="4"/>
  <c r="AE44" i="4"/>
  <c r="AC44" i="4"/>
  <c r="AA44" i="4"/>
  <c r="Z44" i="4"/>
  <c r="Y44" i="4"/>
  <c r="U44" i="4"/>
  <c r="P44" i="4"/>
  <c r="M44" i="4"/>
  <c r="K44" i="4"/>
  <c r="AW41" i="4"/>
  <c r="AM41" i="4"/>
  <c r="AN41" i="4" s="1"/>
  <c r="AL41" i="4"/>
  <c r="X41" i="4"/>
  <c r="S41" i="4"/>
  <c r="AC41" i="3" s="1"/>
  <c r="I41" i="4"/>
  <c r="AM40" i="4"/>
  <c r="AL40" i="4"/>
  <c r="X40" i="4"/>
  <c r="S40" i="4"/>
  <c r="I40" i="4" s="1"/>
  <c r="AI40" i="4" s="1"/>
  <c r="BT39" i="4"/>
  <c r="BS39" i="4"/>
  <c r="BR39" i="4"/>
  <c r="AM39" i="4"/>
  <c r="AL39" i="4"/>
  <c r="AN39" i="4" s="1"/>
  <c r="AI39" i="4"/>
  <c r="X39" i="4"/>
  <c r="S39" i="4"/>
  <c r="I39" i="4"/>
  <c r="BT38" i="4"/>
  <c r="BS38" i="4"/>
  <c r="BR38" i="4"/>
  <c r="BQ38" i="4"/>
  <c r="AM38" i="4"/>
  <c r="AN38" i="4" s="1"/>
  <c r="AL38" i="4"/>
  <c r="X38" i="4"/>
  <c r="S38" i="4"/>
  <c r="I38" i="4"/>
  <c r="BT37" i="4"/>
  <c r="BS37" i="4"/>
  <c r="BR37" i="4"/>
  <c r="BQ37" i="4"/>
  <c r="AM37" i="4"/>
  <c r="AL37" i="4"/>
  <c r="AN37" i="4" s="1"/>
  <c r="X37" i="4"/>
  <c r="S37" i="4"/>
  <c r="I37" i="4" s="1"/>
  <c r="AI37" i="4" s="1"/>
  <c r="BT36" i="4"/>
  <c r="BS36" i="4"/>
  <c r="BR36" i="4"/>
  <c r="AM36" i="4"/>
  <c r="AN36" i="4" s="1"/>
  <c r="AL36" i="4"/>
  <c r="X36" i="4"/>
  <c r="S36" i="4"/>
  <c r="AC36" i="3" s="1"/>
  <c r="I36" i="4"/>
  <c r="BT35" i="4"/>
  <c r="BS35" i="4"/>
  <c r="BR35" i="4"/>
  <c r="AM35" i="4"/>
  <c r="AN35" i="4" s="1"/>
  <c r="AL35" i="4"/>
  <c r="AI35" i="4"/>
  <c r="X35" i="4"/>
  <c r="S35" i="4"/>
  <c r="I35" i="4"/>
  <c r="BT34" i="4"/>
  <c r="BS34" i="4"/>
  <c r="BR34" i="4"/>
  <c r="BH34" i="4"/>
  <c r="BF34" i="4"/>
  <c r="AM34" i="4"/>
  <c r="AN34" i="4" s="1"/>
  <c r="BE34" i="4" s="1"/>
  <c r="AL34" i="4"/>
  <c r="X34" i="4"/>
  <c r="S34" i="4"/>
  <c r="BT33" i="4"/>
  <c r="BS33" i="4"/>
  <c r="BR33" i="4"/>
  <c r="BF33" i="4"/>
  <c r="AM33" i="4"/>
  <c r="AL33" i="4"/>
  <c r="AN33" i="4" s="1"/>
  <c r="BE33" i="4" s="1"/>
  <c r="X33" i="4"/>
  <c r="S33" i="4"/>
  <c r="BT32" i="4"/>
  <c r="BS32" i="4"/>
  <c r="BR32" i="4"/>
  <c r="BF32" i="4"/>
  <c r="AM32" i="4"/>
  <c r="AL32" i="4"/>
  <c r="X32" i="4"/>
  <c r="S32" i="4"/>
  <c r="DE31" i="4"/>
  <c r="BT31" i="4"/>
  <c r="BS31" i="4"/>
  <c r="BR31" i="4"/>
  <c r="BI31" i="4"/>
  <c r="BH31" i="4"/>
  <c r="BG31" i="4"/>
  <c r="BF31" i="4"/>
  <c r="AM31" i="4"/>
  <c r="AL31" i="4"/>
  <c r="AN31" i="4" s="1"/>
  <c r="BE31" i="4" s="1"/>
  <c r="AI31" i="4"/>
  <c r="X31" i="4"/>
  <c r="S31" i="4"/>
  <c r="I31" i="4"/>
  <c r="DE30" i="4"/>
  <c r="BT30" i="4"/>
  <c r="BS30" i="4"/>
  <c r="BR30" i="4"/>
  <c r="BI30" i="4"/>
  <c r="BH30" i="4"/>
  <c r="BF30" i="4"/>
  <c r="AM30" i="4"/>
  <c r="AL30" i="4"/>
  <c r="AN30" i="4" s="1"/>
  <c r="BE30" i="4" s="1"/>
  <c r="X30" i="4"/>
  <c r="S30" i="4"/>
  <c r="BG30" i="4" s="1"/>
  <c r="DE29" i="4"/>
  <c r="BT29" i="4"/>
  <c r="BS29" i="4"/>
  <c r="BR29" i="4"/>
  <c r="BI29" i="4"/>
  <c r="BH29" i="4"/>
  <c r="BG29" i="4"/>
  <c r="BF29" i="4"/>
  <c r="AM29" i="4"/>
  <c r="AL29" i="4"/>
  <c r="AN29" i="4" s="1"/>
  <c r="BE29" i="4" s="1"/>
  <c r="X29" i="4"/>
  <c r="S29" i="4"/>
  <c r="I29" i="4"/>
  <c r="DE28" i="4"/>
  <c r="BT28" i="4"/>
  <c r="BS28" i="4"/>
  <c r="BR28" i="4"/>
  <c r="BH28" i="4"/>
  <c r="BG28" i="4"/>
  <c r="BF28" i="4"/>
  <c r="AM28" i="4"/>
  <c r="AL28" i="4"/>
  <c r="AN28" i="4" s="1"/>
  <c r="BE28" i="4" s="1"/>
  <c r="X28" i="4"/>
  <c r="S28" i="4"/>
  <c r="I28" i="4" s="1"/>
  <c r="DE27" i="4"/>
  <c r="BT27" i="4"/>
  <c r="BS27" i="4"/>
  <c r="BR27" i="4"/>
  <c r="BH27" i="4"/>
  <c r="BG27" i="4"/>
  <c r="BF27" i="4"/>
  <c r="AN27" i="4"/>
  <c r="BE27" i="4" s="1"/>
  <c r="AM27" i="4"/>
  <c r="AL27" i="4"/>
  <c r="X27" i="4"/>
  <c r="S27" i="4"/>
  <c r="DE26" i="4"/>
  <c r="BT26" i="4"/>
  <c r="BS26" i="4"/>
  <c r="BR26" i="4"/>
  <c r="BI26" i="4"/>
  <c r="BH26" i="4"/>
  <c r="BF26" i="4"/>
  <c r="AM26" i="4"/>
  <c r="AL26" i="4"/>
  <c r="AN26" i="4" s="1"/>
  <c r="BE26" i="4" s="1"/>
  <c r="AI26" i="4"/>
  <c r="X26" i="4"/>
  <c r="S26" i="4"/>
  <c r="BG26" i="4" s="1"/>
  <c r="I26" i="4"/>
  <c r="DE25" i="4"/>
  <c r="BT25" i="4"/>
  <c r="BS25" i="4"/>
  <c r="BR25" i="4"/>
  <c r="BF25" i="4"/>
  <c r="AM25" i="4"/>
  <c r="AL25" i="4"/>
  <c r="AN25" i="4" s="1"/>
  <c r="BE25" i="4" s="1"/>
  <c r="X25" i="4"/>
  <c r="S25" i="4"/>
  <c r="DE24" i="4"/>
  <c r="BT24" i="4"/>
  <c r="BS24" i="4"/>
  <c r="BR24" i="4"/>
  <c r="BF24" i="4"/>
  <c r="AM24" i="4"/>
  <c r="AN24" i="4" s="1"/>
  <c r="BE24" i="4" s="1"/>
  <c r="AL24" i="4"/>
  <c r="X24" i="4"/>
  <c r="S24" i="4"/>
  <c r="I24" i="4"/>
  <c r="DE23" i="4"/>
  <c r="BT23" i="4"/>
  <c r="BS23" i="4"/>
  <c r="BR23" i="4"/>
  <c r="BF23" i="4"/>
  <c r="AN23" i="4"/>
  <c r="BE23" i="4" s="1"/>
  <c r="AM23" i="4"/>
  <c r="AL23" i="4"/>
  <c r="X23" i="4"/>
  <c r="S23" i="4"/>
  <c r="I23" i="4"/>
  <c r="DE22" i="4"/>
  <c r="BT22" i="4"/>
  <c r="BS22" i="4"/>
  <c r="BR22" i="4"/>
  <c r="BQ22" i="4"/>
  <c r="BI22" i="4"/>
  <c r="BH22" i="4"/>
  <c r="BG22" i="4"/>
  <c r="BF22" i="4"/>
  <c r="AM22" i="4"/>
  <c r="AL22" i="4"/>
  <c r="AN22" i="4" s="1"/>
  <c r="BE22" i="4" s="1"/>
  <c r="AI22" i="4"/>
  <c r="X22" i="4"/>
  <c r="S22" i="4"/>
  <c r="I22" i="4" s="1"/>
  <c r="DE21" i="4"/>
  <c r="BT21" i="4"/>
  <c r="BS21" i="4"/>
  <c r="BR21" i="4"/>
  <c r="BQ21" i="4"/>
  <c r="BI21" i="4"/>
  <c r="BH21" i="4"/>
  <c r="BG21" i="4"/>
  <c r="BF21" i="4"/>
  <c r="AM21" i="4"/>
  <c r="AL21" i="4"/>
  <c r="AN21" i="4" s="1"/>
  <c r="BE21" i="4" s="1"/>
  <c r="AI21" i="4"/>
  <c r="X21" i="4"/>
  <c r="S21" i="4"/>
  <c r="I21" i="4"/>
  <c r="DE20" i="4"/>
  <c r="BT20" i="4"/>
  <c r="BS20" i="4"/>
  <c r="BR20" i="4"/>
  <c r="BQ20" i="4"/>
  <c r="BI20" i="4"/>
  <c r="BH20" i="4"/>
  <c r="BG20" i="4"/>
  <c r="BF20" i="4"/>
  <c r="AM20" i="4"/>
  <c r="AN20" i="4" s="1"/>
  <c r="BE20" i="4" s="1"/>
  <c r="AL20" i="4"/>
  <c r="X20" i="4"/>
  <c r="S20" i="4"/>
  <c r="I20" i="4" s="1"/>
  <c r="AI20" i="4" s="1"/>
  <c r="DE19" i="4"/>
  <c r="BT19" i="4"/>
  <c r="BS19" i="4"/>
  <c r="BR19" i="4"/>
  <c r="BQ19" i="4"/>
  <c r="BI19" i="4"/>
  <c r="BH19" i="4"/>
  <c r="BG19" i="4"/>
  <c r="BF19" i="4"/>
  <c r="AN19" i="4"/>
  <c r="BE19" i="4" s="1"/>
  <c r="AM19" i="4"/>
  <c r="AL19" i="4"/>
  <c r="X19" i="4"/>
  <c r="S19" i="4"/>
  <c r="AC19" i="3" s="1"/>
  <c r="I19" i="4"/>
  <c r="AI19" i="4" s="1"/>
  <c r="DE18" i="4"/>
  <c r="BT18" i="4"/>
  <c r="BS18" i="4"/>
  <c r="BR18" i="4"/>
  <c r="BQ18" i="4"/>
  <c r="BI18" i="4"/>
  <c r="BH18" i="4"/>
  <c r="BG18" i="4"/>
  <c r="BF18" i="4"/>
  <c r="BE18" i="4"/>
  <c r="AM18" i="4"/>
  <c r="AL18" i="4"/>
  <c r="AN18" i="4" s="1"/>
  <c r="X18" i="4"/>
  <c r="S18" i="4"/>
  <c r="I18" i="4"/>
  <c r="AI18" i="4" s="1"/>
  <c r="DE17" i="4"/>
  <c r="BT17" i="4"/>
  <c r="BS17" i="4"/>
  <c r="BR17" i="4"/>
  <c r="BQ17" i="4"/>
  <c r="BI17" i="4"/>
  <c r="BH17" i="4"/>
  <c r="BG17" i="4"/>
  <c r="BF17" i="4"/>
  <c r="AM17" i="4"/>
  <c r="AL17" i="4"/>
  <c r="AN17" i="4" s="1"/>
  <c r="BE17" i="4" s="1"/>
  <c r="AI17" i="4"/>
  <c r="X17" i="4"/>
  <c r="S17" i="4"/>
  <c r="I17" i="4"/>
  <c r="DE16" i="4"/>
  <c r="BT16" i="4"/>
  <c r="BS16" i="4"/>
  <c r="BR16" i="4"/>
  <c r="BQ16" i="4"/>
  <c r="BI16" i="4"/>
  <c r="BG16" i="4"/>
  <c r="BF16" i="4"/>
  <c r="AM16" i="4"/>
  <c r="AL16" i="4"/>
  <c r="AI16" i="4"/>
  <c r="X16" i="4"/>
  <c r="X45" i="4" s="1"/>
  <c r="S16" i="4"/>
  <c r="I16" i="4"/>
  <c r="DE15" i="4"/>
  <c r="BT15" i="4"/>
  <c r="BS15" i="4"/>
  <c r="BR15" i="4"/>
  <c r="BF15" i="4"/>
  <c r="AM15" i="4"/>
  <c r="AL15" i="4"/>
  <c r="AN15" i="4" s="1"/>
  <c r="BE15" i="4" s="1"/>
  <c r="X15" i="4"/>
  <c r="S15" i="4"/>
  <c r="DE14" i="4"/>
  <c r="BT14" i="4"/>
  <c r="BS14" i="4"/>
  <c r="BR14" i="4"/>
  <c r="BF14" i="4"/>
  <c r="AM14" i="4"/>
  <c r="AL14" i="4"/>
  <c r="AN14" i="4" s="1"/>
  <c r="BE14" i="4" s="1"/>
  <c r="X14" i="4"/>
  <c r="S14" i="4"/>
  <c r="DE13" i="4"/>
  <c r="BT13" i="4"/>
  <c r="BS13" i="4"/>
  <c r="BR13" i="4"/>
  <c r="BI13" i="4"/>
  <c r="BH13" i="4"/>
  <c r="BG13" i="4"/>
  <c r="BF13" i="4"/>
  <c r="AM13" i="4"/>
  <c r="AL13" i="4"/>
  <c r="AN13" i="4" s="1"/>
  <c r="BE13" i="4" s="1"/>
  <c r="AI13" i="4"/>
  <c r="X13" i="4"/>
  <c r="S13" i="4"/>
  <c r="I13" i="4"/>
  <c r="BQ13" i="4" s="1"/>
  <c r="DE12" i="4"/>
  <c r="BT12" i="4"/>
  <c r="BS12" i="4"/>
  <c r="BR12" i="4"/>
  <c r="BF12" i="4"/>
  <c r="AM12" i="4"/>
  <c r="AL12" i="4"/>
  <c r="X12" i="4"/>
  <c r="S12" i="4"/>
  <c r="DE11" i="4"/>
  <c r="BT11" i="4"/>
  <c r="BS11" i="4"/>
  <c r="BR11" i="4"/>
  <c r="BF11" i="4"/>
  <c r="AM11" i="4"/>
  <c r="AL11" i="4"/>
  <c r="AN11" i="4" s="1"/>
  <c r="BE11" i="4" s="1"/>
  <c r="X11" i="4"/>
  <c r="X48" i="4" s="1"/>
  <c r="S11" i="4"/>
  <c r="DE10" i="4"/>
  <c r="BT10" i="4"/>
  <c r="BS10" i="4"/>
  <c r="BR10" i="4"/>
  <c r="BI10" i="4"/>
  <c r="BH10" i="4"/>
  <c r="BG10" i="4"/>
  <c r="BF10" i="4"/>
  <c r="AM10" i="4"/>
  <c r="AL10" i="4"/>
  <c r="AN10" i="4" s="1"/>
  <c r="X10" i="4"/>
  <c r="S10" i="4"/>
  <c r="I10" i="4"/>
  <c r="DE9" i="4"/>
  <c r="BT9" i="4"/>
  <c r="BS9" i="4"/>
  <c r="BR9" i="4"/>
  <c r="BF9" i="4"/>
  <c r="AM9" i="4"/>
  <c r="AL9" i="4"/>
  <c r="AN9" i="4" s="1"/>
  <c r="BE9" i="4" s="1"/>
  <c r="X9" i="4"/>
  <c r="S9" i="4"/>
  <c r="DE8" i="4"/>
  <c r="BT8" i="4"/>
  <c r="BS8" i="4"/>
  <c r="BR8" i="4"/>
  <c r="BQ8" i="4"/>
  <c r="BH8" i="4"/>
  <c r="BG8" i="4"/>
  <c r="AM8" i="4"/>
  <c r="AL8" i="4"/>
  <c r="X8" i="4"/>
  <c r="S8" i="4"/>
  <c r="I8" i="4"/>
  <c r="L41" i="3"/>
  <c r="K41" i="3"/>
  <c r="I41" i="3"/>
  <c r="H41" i="3"/>
  <c r="E46" i="1" s="1"/>
  <c r="F41" i="3"/>
  <c r="E41" i="3"/>
  <c r="AF40" i="3"/>
  <c r="X40" i="3"/>
  <c r="W40" i="3"/>
  <c r="Q40" i="3"/>
  <c r="O40" i="3"/>
  <c r="L40" i="3"/>
  <c r="K40" i="3"/>
  <c r="I40" i="3"/>
  <c r="H40" i="3"/>
  <c r="F40" i="3"/>
  <c r="E40" i="3"/>
  <c r="AC39" i="3"/>
  <c r="L39" i="3"/>
  <c r="K39" i="3"/>
  <c r="O39" i="3" s="1"/>
  <c r="I39" i="3"/>
  <c r="H39" i="3"/>
  <c r="F39" i="3"/>
  <c r="E39" i="3"/>
  <c r="AC38" i="3"/>
  <c r="L38" i="3"/>
  <c r="K38" i="3"/>
  <c r="L43" i="1" s="1"/>
  <c r="I38" i="3"/>
  <c r="H38" i="3"/>
  <c r="F38" i="3"/>
  <c r="E38" i="3"/>
  <c r="AC37" i="3"/>
  <c r="Q37" i="3"/>
  <c r="L37" i="3"/>
  <c r="K37" i="3"/>
  <c r="O37" i="3" s="1"/>
  <c r="I37" i="3"/>
  <c r="H37" i="3"/>
  <c r="F37" i="3"/>
  <c r="E37" i="3"/>
  <c r="L36" i="3"/>
  <c r="K36" i="3"/>
  <c r="I36" i="3"/>
  <c r="H36" i="3"/>
  <c r="F36" i="3"/>
  <c r="E36" i="3"/>
  <c r="AC35" i="3"/>
  <c r="L35" i="3"/>
  <c r="K35" i="3"/>
  <c r="O35" i="3" s="1"/>
  <c r="I35" i="3"/>
  <c r="H35" i="3"/>
  <c r="F35" i="3"/>
  <c r="E35" i="3"/>
  <c r="Q34" i="3"/>
  <c r="O34" i="3"/>
  <c r="L34" i="3"/>
  <c r="K34" i="3"/>
  <c r="I34" i="3"/>
  <c r="H34" i="3"/>
  <c r="F34" i="3"/>
  <c r="E34" i="3"/>
  <c r="L33" i="3"/>
  <c r="K33" i="3"/>
  <c r="O33" i="3" s="1"/>
  <c r="I33" i="3"/>
  <c r="H33" i="3"/>
  <c r="E38" i="1" s="1"/>
  <c r="F33" i="3"/>
  <c r="E33" i="3"/>
  <c r="AC32" i="3"/>
  <c r="O32" i="3"/>
  <c r="L32" i="3"/>
  <c r="K32" i="3"/>
  <c r="I32" i="3"/>
  <c r="H32" i="3"/>
  <c r="E37" i="1" s="1"/>
  <c r="F32" i="3"/>
  <c r="E32" i="3"/>
  <c r="AC31" i="3"/>
  <c r="O31" i="3"/>
  <c r="L31" i="3"/>
  <c r="K31" i="3"/>
  <c r="I31" i="3"/>
  <c r="H31" i="3"/>
  <c r="E36" i="1" s="1"/>
  <c r="F31" i="3"/>
  <c r="E31" i="3"/>
  <c r="AC30" i="3"/>
  <c r="Q30" i="3"/>
  <c r="L30" i="3"/>
  <c r="K30" i="3"/>
  <c r="O30" i="3" s="1"/>
  <c r="I30" i="3"/>
  <c r="H30" i="3"/>
  <c r="F30" i="3"/>
  <c r="E30" i="3"/>
  <c r="AC29" i="3"/>
  <c r="L29" i="3"/>
  <c r="K29" i="3"/>
  <c r="O29" i="3" s="1"/>
  <c r="I29" i="3"/>
  <c r="H29" i="3"/>
  <c r="E34" i="1" s="1"/>
  <c r="F29" i="3"/>
  <c r="E29" i="3"/>
  <c r="W28" i="3"/>
  <c r="L28" i="3"/>
  <c r="K28" i="3"/>
  <c r="I28" i="3"/>
  <c r="H28" i="3"/>
  <c r="F28" i="3"/>
  <c r="E28" i="3"/>
  <c r="AC27" i="3"/>
  <c r="L27" i="3"/>
  <c r="K27" i="3"/>
  <c r="I27" i="3"/>
  <c r="H27" i="3"/>
  <c r="F27" i="3"/>
  <c r="E27" i="3"/>
  <c r="AC26" i="3"/>
  <c r="Q26" i="3"/>
  <c r="O26" i="3"/>
  <c r="L26" i="3"/>
  <c r="K26" i="3"/>
  <c r="I26" i="3"/>
  <c r="H26" i="3"/>
  <c r="F26" i="3"/>
  <c r="E26" i="3"/>
  <c r="O25" i="3"/>
  <c r="L25" i="3"/>
  <c r="K25" i="3"/>
  <c r="I25" i="3"/>
  <c r="H25" i="3"/>
  <c r="F25" i="3"/>
  <c r="E25" i="3"/>
  <c r="Q24" i="3"/>
  <c r="O24" i="3"/>
  <c r="L24" i="3"/>
  <c r="K24" i="3"/>
  <c r="I24" i="3"/>
  <c r="H24" i="3"/>
  <c r="F24" i="3"/>
  <c r="E24" i="3"/>
  <c r="L23" i="3"/>
  <c r="K23" i="3"/>
  <c r="O23" i="3" s="1"/>
  <c r="I23" i="3"/>
  <c r="H23" i="3"/>
  <c r="E28" i="1" s="1"/>
  <c r="F23" i="3"/>
  <c r="E23" i="3"/>
  <c r="AC22" i="3"/>
  <c r="L22" i="3"/>
  <c r="K22" i="3"/>
  <c r="L27" i="1" s="1"/>
  <c r="I22" i="3"/>
  <c r="H22" i="3"/>
  <c r="F22" i="3"/>
  <c r="E22" i="3"/>
  <c r="AC21" i="3"/>
  <c r="L21" i="3"/>
  <c r="K21" i="3"/>
  <c r="O21" i="3" s="1"/>
  <c r="I21" i="3"/>
  <c r="H21" i="3"/>
  <c r="F21" i="3"/>
  <c r="E21" i="3"/>
  <c r="V20" i="3"/>
  <c r="L20" i="3"/>
  <c r="K20" i="3"/>
  <c r="O20" i="3" s="1"/>
  <c r="I20" i="3"/>
  <c r="H20" i="3"/>
  <c r="E25" i="1" s="1"/>
  <c r="F20" i="3"/>
  <c r="E20" i="3"/>
  <c r="X19" i="3"/>
  <c r="V19" i="3"/>
  <c r="Q19" i="3"/>
  <c r="L19" i="3"/>
  <c r="K19" i="3"/>
  <c r="L24" i="1" s="1"/>
  <c r="I19" i="3"/>
  <c r="H19" i="3"/>
  <c r="F19" i="3"/>
  <c r="E19" i="3"/>
  <c r="AC18" i="3"/>
  <c r="L18" i="3"/>
  <c r="K18" i="3"/>
  <c r="O18" i="3" s="1"/>
  <c r="I18" i="3"/>
  <c r="H18" i="3"/>
  <c r="F18" i="3"/>
  <c r="E18" i="3"/>
  <c r="AC17" i="3"/>
  <c r="X17" i="3"/>
  <c r="AF17" i="3" s="1"/>
  <c r="L17" i="3"/>
  <c r="K17" i="3"/>
  <c r="O17" i="3" s="1"/>
  <c r="I17" i="3"/>
  <c r="H17" i="3"/>
  <c r="E22" i="1" s="1"/>
  <c r="F17" i="3"/>
  <c r="E17" i="3"/>
  <c r="AC16" i="3"/>
  <c r="V16" i="3"/>
  <c r="L16" i="3"/>
  <c r="K16" i="3"/>
  <c r="O16" i="3" s="1"/>
  <c r="I16" i="3"/>
  <c r="H16" i="3"/>
  <c r="F16" i="3"/>
  <c r="E16" i="3"/>
  <c r="Y15" i="3"/>
  <c r="L15" i="3"/>
  <c r="K15" i="3"/>
  <c r="O15" i="3" s="1"/>
  <c r="I15" i="3"/>
  <c r="H15" i="3"/>
  <c r="F15" i="3"/>
  <c r="E15" i="3"/>
  <c r="Y14" i="3"/>
  <c r="L14" i="3"/>
  <c r="K14" i="3"/>
  <c r="O14" i="3" s="1"/>
  <c r="I14" i="3"/>
  <c r="H14" i="3"/>
  <c r="F14" i="3"/>
  <c r="E14" i="3"/>
  <c r="AC13" i="3"/>
  <c r="Y13" i="3"/>
  <c r="L13" i="3"/>
  <c r="K13" i="3"/>
  <c r="O13" i="3" s="1"/>
  <c r="I13" i="3"/>
  <c r="H13" i="3"/>
  <c r="E18" i="1" s="1"/>
  <c r="F13" i="3"/>
  <c r="E13" i="3"/>
  <c r="Y12" i="3"/>
  <c r="L12" i="3"/>
  <c r="K12" i="3"/>
  <c r="I12" i="3"/>
  <c r="H12" i="3"/>
  <c r="F12" i="3"/>
  <c r="E12" i="3"/>
  <c r="Y11" i="3"/>
  <c r="L11" i="3"/>
  <c r="K11" i="3"/>
  <c r="O11" i="3" s="1"/>
  <c r="I11" i="3"/>
  <c r="H11" i="3"/>
  <c r="E16" i="1" s="1"/>
  <c r="F11" i="3"/>
  <c r="E11" i="3"/>
  <c r="AC10" i="3"/>
  <c r="Y10" i="3"/>
  <c r="O10" i="3"/>
  <c r="L10" i="3"/>
  <c r="K10" i="3"/>
  <c r="I10" i="3"/>
  <c r="H10" i="3"/>
  <c r="E15" i="1" s="1"/>
  <c r="F10" i="3"/>
  <c r="E10" i="3"/>
  <c r="Y9" i="3"/>
  <c r="K9" i="3"/>
  <c r="AC8" i="3"/>
  <c r="Y8" i="3"/>
  <c r="O8" i="3"/>
  <c r="K8" i="3"/>
  <c r="L13" i="1" s="1"/>
  <c r="AJ52" i="2"/>
  <c r="AI52" i="2"/>
  <c r="AH52" i="2"/>
  <c r="AG52" i="2"/>
  <c r="V52" i="2"/>
  <c r="P52" i="2"/>
  <c r="N48" i="2"/>
  <c r="M48" i="2"/>
  <c r="L48" i="2"/>
  <c r="N47" i="2"/>
  <c r="M47" i="2"/>
  <c r="L47" i="2"/>
  <c r="AB45" i="2"/>
  <c r="W45" i="2"/>
  <c r="U45" i="2"/>
  <c r="O45" i="2"/>
  <c r="N45" i="2"/>
  <c r="M45" i="2"/>
  <c r="L45" i="2"/>
  <c r="I45" i="2"/>
  <c r="D45" i="2"/>
  <c r="AF44" i="2"/>
  <c r="AB44" i="2"/>
  <c r="W44" i="2"/>
  <c r="U44" i="2"/>
  <c r="O44" i="2"/>
  <c r="N44" i="2"/>
  <c r="M44" i="2"/>
  <c r="L44" i="2"/>
  <c r="I44" i="2"/>
  <c r="D44" i="2"/>
  <c r="N43" i="2"/>
  <c r="M43" i="2"/>
  <c r="L43" i="2"/>
  <c r="S39" i="2"/>
  <c r="R39" i="2"/>
  <c r="T39" i="2" s="1"/>
  <c r="J39" i="2"/>
  <c r="BE38" i="2"/>
  <c r="S38" i="2"/>
  <c r="J36" i="2"/>
  <c r="BE36" i="2" s="1"/>
  <c r="AH32" i="2"/>
  <c r="E32" i="2"/>
  <c r="X32" i="2" s="1"/>
  <c r="AH31" i="2"/>
  <c r="AH30" i="2"/>
  <c r="AD30" i="2"/>
  <c r="BE29" i="2"/>
  <c r="AH29" i="2"/>
  <c r="J29" i="2"/>
  <c r="AH28" i="2"/>
  <c r="AH27" i="2"/>
  <c r="AH26" i="2"/>
  <c r="AH25" i="2"/>
  <c r="J25" i="2"/>
  <c r="BE25" i="2" s="1"/>
  <c r="AH24" i="2"/>
  <c r="AH23" i="2"/>
  <c r="J23" i="2"/>
  <c r="BE23" i="2" s="1"/>
  <c r="AH22" i="2"/>
  <c r="AH21" i="2"/>
  <c r="J21" i="2"/>
  <c r="BE21" i="2" s="1"/>
  <c r="AH20" i="2"/>
  <c r="AH19" i="2"/>
  <c r="E19" i="2"/>
  <c r="X19" i="2" s="1"/>
  <c r="J18" i="2"/>
  <c r="BE18" i="2" s="1"/>
  <c r="J16" i="2"/>
  <c r="BE16" i="2" s="1"/>
  <c r="AD14" i="2"/>
  <c r="Y14" i="2"/>
  <c r="R14" i="2"/>
  <c r="F14" i="2"/>
  <c r="AD13" i="2"/>
  <c r="R13" i="2"/>
  <c r="J13" i="2"/>
  <c r="BE13" i="2" s="1"/>
  <c r="F13" i="2"/>
  <c r="AD12" i="2"/>
  <c r="R12" i="2"/>
  <c r="F12" i="2"/>
  <c r="E12" i="2"/>
  <c r="AD11" i="2"/>
  <c r="Y11" i="2"/>
  <c r="R11" i="2"/>
  <c r="F11" i="2"/>
  <c r="AD10" i="2"/>
  <c r="Y10" i="2"/>
  <c r="R10" i="2"/>
  <c r="F10" i="2"/>
  <c r="AD9" i="2"/>
  <c r="Y9" i="2"/>
  <c r="R9" i="2"/>
  <c r="F9" i="2"/>
  <c r="AD8" i="2"/>
  <c r="Y8" i="2"/>
  <c r="R8" i="2"/>
  <c r="F8" i="2"/>
  <c r="AD7" i="2"/>
  <c r="R7" i="2"/>
  <c r="J7" i="2"/>
  <c r="F7" i="2"/>
  <c r="O90" i="1"/>
  <c r="AI84" i="1"/>
  <c r="AH84" i="1"/>
  <c r="AG84" i="1"/>
  <c r="Q84" i="1"/>
  <c r="K84" i="1"/>
  <c r="F84" i="1"/>
  <c r="BS75" i="1"/>
  <c r="BS74" i="1"/>
  <c r="BS73" i="1"/>
  <c r="BS72" i="1"/>
  <c r="BS71" i="1"/>
  <c r="BS70" i="1"/>
  <c r="BS69" i="1"/>
  <c r="BS68" i="1"/>
  <c r="BS67" i="1"/>
  <c r="BS66" i="1"/>
  <c r="BS65" i="1"/>
  <c r="BS64" i="1"/>
  <c r="BS63" i="1"/>
  <c r="AN63" i="1"/>
  <c r="BS62" i="1"/>
  <c r="BS61" i="1"/>
  <c r="BS60" i="1"/>
  <c r="BS59" i="1"/>
  <c r="BS58" i="1"/>
  <c r="BS57" i="1"/>
  <c r="CJ54" i="1"/>
  <c r="CG54" i="1"/>
  <c r="CF54" i="1"/>
  <c r="AI54" i="1"/>
  <c r="AH54" i="1"/>
  <c r="AG54" i="1"/>
  <c r="CJ53" i="1"/>
  <c r="CG53" i="1"/>
  <c r="CF53" i="1"/>
  <c r="AI53" i="1"/>
  <c r="AH53" i="1"/>
  <c r="AG53" i="1"/>
  <c r="CJ51" i="1"/>
  <c r="CG51" i="1"/>
  <c r="CF51" i="1"/>
  <c r="AI51" i="1"/>
  <c r="AH51" i="1"/>
  <c r="AG51" i="1"/>
  <c r="K51" i="1"/>
  <c r="CJ50" i="1"/>
  <c r="CG50" i="1"/>
  <c r="CF50" i="1"/>
  <c r="AI50" i="1"/>
  <c r="AH50" i="1"/>
  <c r="AG50" i="1"/>
  <c r="K50" i="1"/>
  <c r="AD49" i="1"/>
  <c r="K49" i="1"/>
  <c r="H49" i="1"/>
  <c r="EW47" i="1"/>
  <c r="CM46" i="1"/>
  <c r="G46" i="1"/>
  <c r="DF45" i="1"/>
  <c r="DE45" i="1"/>
  <c r="DA45" i="1"/>
  <c r="CM45" i="1"/>
  <c r="L45" i="1"/>
  <c r="H45" i="1"/>
  <c r="G45" i="1"/>
  <c r="X45" i="1" s="1"/>
  <c r="E45" i="1"/>
  <c r="CM44" i="1"/>
  <c r="BI44" i="1"/>
  <c r="BH44" i="1"/>
  <c r="BG44" i="1"/>
  <c r="L44" i="1"/>
  <c r="J38" i="2" s="1"/>
  <c r="G44" i="1"/>
  <c r="E44" i="1"/>
  <c r="CM43" i="1"/>
  <c r="BI43" i="1"/>
  <c r="BH43" i="1"/>
  <c r="BG43" i="1"/>
  <c r="G43" i="1"/>
  <c r="V38" i="3" s="1"/>
  <c r="E43" i="1"/>
  <c r="FE42" i="1"/>
  <c r="CM42" i="1"/>
  <c r="BI42" i="1"/>
  <c r="BH42" i="1"/>
  <c r="BG42" i="1"/>
  <c r="L42" i="1"/>
  <c r="G42" i="1"/>
  <c r="E34" i="7" s="1"/>
  <c r="U34" i="7" s="1"/>
  <c r="E42" i="1"/>
  <c r="CM41" i="1"/>
  <c r="BI41" i="1"/>
  <c r="BH41" i="1"/>
  <c r="BG41" i="1"/>
  <c r="G41" i="1"/>
  <c r="E33" i="7" s="1"/>
  <c r="U33" i="7" s="1"/>
  <c r="E41" i="1"/>
  <c r="FE40" i="1"/>
  <c r="CM40" i="1"/>
  <c r="BI40" i="1"/>
  <c r="BH40" i="1"/>
  <c r="BG40" i="1"/>
  <c r="L40" i="1"/>
  <c r="G40" i="1"/>
  <c r="V35" i="3" s="1"/>
  <c r="E40" i="1"/>
  <c r="FE39" i="1"/>
  <c r="CM39" i="1"/>
  <c r="BI39" i="1"/>
  <c r="BH39" i="1"/>
  <c r="BG39" i="1"/>
  <c r="L39" i="1"/>
  <c r="G39" i="1"/>
  <c r="X39" i="1" s="1"/>
  <c r="E39" i="1"/>
  <c r="EP38" i="1"/>
  <c r="CM38" i="1"/>
  <c r="BI38" i="1"/>
  <c r="BH38" i="1"/>
  <c r="BG38" i="1"/>
  <c r="AN38" i="1"/>
  <c r="X38" i="1"/>
  <c r="R38" i="1"/>
  <c r="R32" i="2" s="1"/>
  <c r="L38" i="1"/>
  <c r="H38" i="1"/>
  <c r="Y33" i="3" s="1"/>
  <c r="G38" i="1"/>
  <c r="EP37" i="1"/>
  <c r="CM37" i="1"/>
  <c r="BV37" i="1"/>
  <c r="BI37" i="1"/>
  <c r="BH37" i="1"/>
  <c r="BG37" i="1"/>
  <c r="AN37" i="1"/>
  <c r="AD37" i="1"/>
  <c r="AD31" i="2" s="1"/>
  <c r="R37" i="1"/>
  <c r="R31" i="2" s="1"/>
  <c r="L37" i="1"/>
  <c r="H37" i="1"/>
  <c r="F31" i="2" s="1"/>
  <c r="G37" i="1"/>
  <c r="E31" i="2" s="1"/>
  <c r="EP36" i="1"/>
  <c r="CM36" i="1"/>
  <c r="BI36" i="1"/>
  <c r="BH36" i="1"/>
  <c r="BG36" i="1"/>
  <c r="AN36" i="1"/>
  <c r="AD36" i="1"/>
  <c r="BV36" i="1" s="1"/>
  <c r="R36" i="1"/>
  <c r="L36" i="1"/>
  <c r="Q31" i="3" s="1"/>
  <c r="H36" i="1"/>
  <c r="G36" i="1"/>
  <c r="V31" i="3" s="1"/>
  <c r="FE35" i="1"/>
  <c r="EP35" i="1"/>
  <c r="CM35" i="1"/>
  <c r="BI35" i="1"/>
  <c r="BH35" i="1"/>
  <c r="BG35" i="1"/>
  <c r="AN35" i="1"/>
  <c r="R35" i="1"/>
  <c r="L35" i="1"/>
  <c r="H35" i="1"/>
  <c r="F29" i="2" s="1"/>
  <c r="G35" i="1"/>
  <c r="EY35" i="1" s="1"/>
  <c r="EZ35" i="1" s="1"/>
  <c r="E35" i="1"/>
  <c r="EP34" i="1"/>
  <c r="CM34" i="1"/>
  <c r="BI34" i="1"/>
  <c r="BH34" i="1"/>
  <c r="BG34" i="1"/>
  <c r="AN34" i="1"/>
  <c r="R34" i="1"/>
  <c r="R28" i="2" s="1"/>
  <c r="L34" i="1"/>
  <c r="H34" i="1"/>
  <c r="G34" i="1"/>
  <c r="EP33" i="1"/>
  <c r="CM33" i="1"/>
  <c r="BI33" i="1"/>
  <c r="BH33" i="1"/>
  <c r="BG33" i="1"/>
  <c r="AN33" i="1"/>
  <c r="R33" i="1"/>
  <c r="H33" i="1"/>
  <c r="F27" i="2" s="1"/>
  <c r="G33" i="1"/>
  <c r="X33" i="1" s="1"/>
  <c r="AO33" i="1" s="1"/>
  <c r="E33" i="1"/>
  <c r="EP32" i="1"/>
  <c r="CM32" i="1"/>
  <c r="BI32" i="1"/>
  <c r="BH32" i="1"/>
  <c r="BG32" i="1"/>
  <c r="AN32" i="1"/>
  <c r="R32" i="1"/>
  <c r="R26" i="2" s="1"/>
  <c r="N32" i="1"/>
  <c r="H32" i="1"/>
  <c r="Y27" i="3" s="1"/>
  <c r="G32" i="1"/>
  <c r="E32" i="1"/>
  <c r="EP31" i="1"/>
  <c r="CM31" i="1"/>
  <c r="BI31" i="1"/>
  <c r="BH31" i="1"/>
  <c r="BG31" i="1"/>
  <c r="AN31" i="1"/>
  <c r="R31" i="1"/>
  <c r="R25" i="2" s="1"/>
  <c r="L31" i="1"/>
  <c r="H31" i="1"/>
  <c r="M31" i="1" s="1"/>
  <c r="G31" i="1"/>
  <c r="E25" i="2" s="1"/>
  <c r="E31" i="1"/>
  <c r="EP30" i="1"/>
  <c r="CM30" i="1"/>
  <c r="BI30" i="1"/>
  <c r="BH30" i="1"/>
  <c r="BG30" i="1"/>
  <c r="AN30" i="1"/>
  <c r="R30" i="1"/>
  <c r="R24" i="2" s="1"/>
  <c r="L30" i="1"/>
  <c r="H30" i="1"/>
  <c r="Y30" i="1" s="1"/>
  <c r="BW30" i="1" s="1"/>
  <c r="G30" i="1"/>
  <c r="V25" i="3" s="1"/>
  <c r="E30" i="1"/>
  <c r="FE29" i="1"/>
  <c r="EP29" i="1"/>
  <c r="CM29" i="1"/>
  <c r="BI29" i="1"/>
  <c r="BH29" i="1"/>
  <c r="BG29" i="1"/>
  <c r="AN29" i="1"/>
  <c r="R29" i="1"/>
  <c r="R23" i="2" s="1"/>
  <c r="L29" i="1"/>
  <c r="H29" i="1"/>
  <c r="G29" i="1"/>
  <c r="X29" i="1" s="1"/>
  <c r="BU29" i="1" s="1"/>
  <c r="E29" i="1"/>
  <c r="EP28" i="1"/>
  <c r="CM28" i="1"/>
  <c r="BI28" i="1"/>
  <c r="BH28" i="1"/>
  <c r="BG28" i="1"/>
  <c r="AN28" i="1"/>
  <c r="R28" i="1"/>
  <c r="R22" i="2" s="1"/>
  <c r="L28" i="1"/>
  <c r="H28" i="1"/>
  <c r="G28" i="1"/>
  <c r="X28" i="1" s="1"/>
  <c r="EP27" i="1"/>
  <c r="CM27" i="1"/>
  <c r="BI27" i="1"/>
  <c r="BH27" i="1"/>
  <c r="BG27" i="1"/>
  <c r="AN27" i="1"/>
  <c r="X27" i="1"/>
  <c r="BU27" i="1" s="1"/>
  <c r="R27" i="1"/>
  <c r="R21" i="2" s="1"/>
  <c r="H27" i="1"/>
  <c r="Y27" i="1" s="1"/>
  <c r="BW27" i="1" s="1"/>
  <c r="G27" i="1"/>
  <c r="E27" i="1"/>
  <c r="EP26" i="1"/>
  <c r="CM26" i="1"/>
  <c r="BI26" i="1"/>
  <c r="BH26" i="1"/>
  <c r="BG26" i="1"/>
  <c r="AN26" i="1"/>
  <c r="R26" i="1"/>
  <c r="L26" i="1"/>
  <c r="FE26" i="1" s="1"/>
  <c r="H26" i="1"/>
  <c r="G26" i="1"/>
  <c r="E26" i="1"/>
  <c r="EP25" i="1"/>
  <c r="CM25" i="1"/>
  <c r="BU25" i="1"/>
  <c r="BI25" i="1"/>
  <c r="BH25" i="1"/>
  <c r="BG25" i="1"/>
  <c r="AN25" i="1"/>
  <c r="X25" i="1"/>
  <c r="AO25" i="1" s="1"/>
  <c r="R25" i="1"/>
  <c r="R19" i="2" s="1"/>
  <c r="H25" i="1"/>
  <c r="G25" i="1"/>
  <c r="FE24" i="1"/>
  <c r="CM24" i="1"/>
  <c r="BI24" i="1"/>
  <c r="BH24" i="1"/>
  <c r="BG24" i="1"/>
  <c r="AN24" i="1"/>
  <c r="R24" i="1"/>
  <c r="H24" i="1"/>
  <c r="F18" i="2" s="1"/>
  <c r="G24" i="1"/>
  <c r="X24" i="1" s="1"/>
  <c r="E24" i="1"/>
  <c r="CM23" i="1"/>
  <c r="BI23" i="1"/>
  <c r="BH23" i="1"/>
  <c r="BG23" i="1"/>
  <c r="AN23" i="1"/>
  <c r="R23" i="1"/>
  <c r="R17" i="2" s="1"/>
  <c r="L23" i="1"/>
  <c r="H23" i="1"/>
  <c r="G23" i="1"/>
  <c r="V18" i="3" s="1"/>
  <c r="E23" i="1"/>
  <c r="CM22" i="1"/>
  <c r="BI22" i="1"/>
  <c r="BH22" i="1"/>
  <c r="BG22" i="1"/>
  <c r="AN22" i="1"/>
  <c r="R22" i="1"/>
  <c r="R16" i="2" s="1"/>
  <c r="L22" i="1"/>
  <c r="H22" i="1"/>
  <c r="G22" i="1"/>
  <c r="DD21" i="1"/>
  <c r="DD22" i="1" s="1"/>
  <c r="DD23" i="1" s="1"/>
  <c r="CM21" i="1"/>
  <c r="BI21" i="1"/>
  <c r="BH21" i="1"/>
  <c r="BG21" i="1"/>
  <c r="AN21" i="1"/>
  <c r="Y21" i="1"/>
  <c r="R21" i="1"/>
  <c r="R15" i="2" s="1"/>
  <c r="Y15" i="2" s="1"/>
  <c r="L21" i="1"/>
  <c r="H21" i="1"/>
  <c r="F15" i="2" s="1"/>
  <c r="G21" i="1"/>
  <c r="X21" i="1" s="1"/>
  <c r="E21" i="1"/>
  <c r="BW20" i="1"/>
  <c r="BV20" i="1"/>
  <c r="BI20" i="1"/>
  <c r="BH20" i="1"/>
  <c r="BG20" i="1"/>
  <c r="AN20" i="1"/>
  <c r="Y20" i="1"/>
  <c r="G20" i="1"/>
  <c r="E20" i="1"/>
  <c r="FE19" i="1"/>
  <c r="BV19" i="1"/>
  <c r="BI19" i="1"/>
  <c r="BH19" i="1"/>
  <c r="BG19" i="1"/>
  <c r="AN19" i="1"/>
  <c r="Y19" i="1"/>
  <c r="L19" i="1"/>
  <c r="AT19" i="1" s="1"/>
  <c r="G19" i="1"/>
  <c r="E19" i="1"/>
  <c r="BV18" i="1"/>
  <c r="BI18" i="1"/>
  <c r="BH18" i="1"/>
  <c r="BG18" i="1"/>
  <c r="AN18" i="1"/>
  <c r="Y18" i="1"/>
  <c r="BW18" i="1" s="1"/>
  <c r="M18" i="1"/>
  <c r="L18" i="1"/>
  <c r="G18" i="1"/>
  <c r="EY17" i="1"/>
  <c r="EZ17" i="1" s="1"/>
  <c r="BW17" i="1"/>
  <c r="BV17" i="1"/>
  <c r="BI17" i="1"/>
  <c r="BH17" i="1"/>
  <c r="BG17" i="1"/>
  <c r="AN17" i="1"/>
  <c r="Y17" i="1"/>
  <c r="X17" i="1"/>
  <c r="G17" i="1"/>
  <c r="V12" i="3" s="1"/>
  <c r="E17" i="1"/>
  <c r="BW16" i="1"/>
  <c r="BV16" i="1"/>
  <c r="BI16" i="1"/>
  <c r="BH16" i="1"/>
  <c r="BG16" i="1"/>
  <c r="AN16" i="1"/>
  <c r="Y16" i="1"/>
  <c r="G16" i="1"/>
  <c r="X16" i="1" s="1"/>
  <c r="AO16" i="1" s="1"/>
  <c r="FE15" i="1"/>
  <c r="EY15" i="1"/>
  <c r="EZ15" i="1" s="1"/>
  <c r="BW15" i="1"/>
  <c r="BV15" i="1"/>
  <c r="BI15" i="1"/>
  <c r="BH15" i="1"/>
  <c r="BG15" i="1"/>
  <c r="AN15" i="1"/>
  <c r="Y15" i="1"/>
  <c r="M15" i="1"/>
  <c r="L15" i="1"/>
  <c r="G15" i="1"/>
  <c r="BV14" i="1"/>
  <c r="BI14" i="1"/>
  <c r="BH14" i="1"/>
  <c r="BG14" i="1"/>
  <c r="Y14" i="1"/>
  <c r="I14" i="1"/>
  <c r="G14" i="1"/>
  <c r="FE13" i="1"/>
  <c r="EY13" i="1"/>
  <c r="EZ13" i="1" s="1"/>
  <c r="BW13" i="1"/>
  <c r="BV13" i="1"/>
  <c r="BI13" i="1"/>
  <c r="BH13" i="1"/>
  <c r="BG13" i="1"/>
  <c r="AT13" i="1"/>
  <c r="Y13" i="1"/>
  <c r="M13" i="1"/>
  <c r="G13" i="1"/>
  <c r="EN12" i="1"/>
  <c r="EL12" i="1"/>
  <c r="DH12" i="1"/>
  <c r="BW12" i="1"/>
  <c r="BV12" i="1"/>
  <c r="BU12" i="1"/>
  <c r="BX12" i="1" s="1"/>
  <c r="BT12" i="1"/>
  <c r="BS12" i="1"/>
  <c r="AE12" i="1"/>
  <c r="EO12" i="1" s="1"/>
  <c r="AA12" i="1"/>
  <c r="V12" i="1"/>
  <c r="AJ12" i="1" s="1"/>
  <c r="T12" i="1"/>
  <c r="L12" i="1"/>
  <c r="FE11" i="1"/>
  <c r="ET11" i="1"/>
  <c r="EO11" i="1"/>
  <c r="EN11" i="1"/>
  <c r="EL11" i="1"/>
  <c r="BW11" i="1"/>
  <c r="BV11" i="1"/>
  <c r="BU11" i="1"/>
  <c r="BT11" i="1"/>
  <c r="BS11" i="1"/>
  <c r="AE11" i="1"/>
  <c r="AA11" i="1"/>
  <c r="V11" i="1"/>
  <c r="DH11" i="1" s="1"/>
  <c r="T11" i="1"/>
  <c r="L11" i="1"/>
  <c r="EO10" i="1"/>
  <c r="EN10" i="1"/>
  <c r="EL10" i="1"/>
  <c r="BW10" i="1"/>
  <c r="BV10" i="1"/>
  <c r="BU10" i="1"/>
  <c r="BT10" i="1"/>
  <c r="BS10" i="1"/>
  <c r="AE10" i="1"/>
  <c r="AA10" i="1"/>
  <c r="AJ10" i="1" s="1"/>
  <c r="V10" i="1"/>
  <c r="DH10" i="1" s="1"/>
  <c r="T10" i="1"/>
  <c r="L10" i="1"/>
  <c r="FE9" i="1"/>
  <c r="ET9" i="1"/>
  <c r="EO9" i="1"/>
  <c r="EN9" i="1"/>
  <c r="EL9" i="1"/>
  <c r="BY9" i="1"/>
  <c r="BW9" i="1"/>
  <c r="BV9" i="1"/>
  <c r="BU9" i="1"/>
  <c r="BT9" i="1"/>
  <c r="BS9" i="1"/>
  <c r="BX9" i="1" s="1"/>
  <c r="AE9" i="1"/>
  <c r="AJ9" i="1" s="1"/>
  <c r="AA9" i="1"/>
  <c r="V9" i="1"/>
  <c r="DH9" i="1" s="1"/>
  <c r="T9" i="1"/>
  <c r="L9" i="1"/>
  <c r="FE8" i="1"/>
  <c r="EW8" i="1"/>
  <c r="ET8" i="1"/>
  <c r="EO8" i="1"/>
  <c r="EN8" i="1"/>
  <c r="BW8" i="1"/>
  <c r="BV8" i="1"/>
  <c r="BU8" i="1"/>
  <c r="BT8" i="1"/>
  <c r="BS8" i="1"/>
  <c r="BX8" i="1" s="1"/>
  <c r="AE8" i="1"/>
  <c r="AA8" i="1"/>
  <c r="V8" i="1"/>
  <c r="T8" i="1"/>
  <c r="L8" i="1"/>
  <c r="FE7" i="1"/>
  <c r="ET7" i="1"/>
  <c r="EN7" i="1"/>
  <c r="DH7" i="1"/>
  <c r="BW7" i="1"/>
  <c r="BV7" i="1"/>
  <c r="BU7" i="1"/>
  <c r="BT7" i="1"/>
  <c r="BS7" i="1"/>
  <c r="BX7" i="1" s="1"/>
  <c r="AJ7" i="1"/>
  <c r="AE7" i="1"/>
  <c r="EO7" i="1" s="1"/>
  <c r="AA7" i="1"/>
  <c r="V7" i="1"/>
  <c r="EL7" i="1" s="1"/>
  <c r="T7" i="1"/>
  <c r="L7" i="1"/>
  <c r="BC2" i="1"/>
  <c r="I17" i="15" l="1"/>
  <c r="I17" i="13"/>
  <c r="AS17" i="13" s="1"/>
  <c r="I17" i="1"/>
  <c r="I23" i="13"/>
  <c r="I23" i="1"/>
  <c r="AT35" i="13"/>
  <c r="EY19" i="15"/>
  <c r="EZ19" i="15" s="1"/>
  <c r="EZ23" i="15"/>
  <c r="R24" i="10"/>
  <c r="EY28" i="1"/>
  <c r="EZ28" i="1" s="1"/>
  <c r="X41" i="1"/>
  <c r="X42" i="1"/>
  <c r="X43" i="1"/>
  <c r="BU43" i="1" s="1"/>
  <c r="E11" i="2"/>
  <c r="X11" i="2" s="1"/>
  <c r="E33" i="2"/>
  <c r="P9" i="8"/>
  <c r="S19" i="15"/>
  <c r="T19" i="15" s="1"/>
  <c r="Q21" i="8"/>
  <c r="N29" i="8"/>
  <c r="Q36" i="8"/>
  <c r="R26" i="10"/>
  <c r="F40" i="10"/>
  <c r="M34" i="13"/>
  <c r="F24" i="2"/>
  <c r="E31" i="7"/>
  <c r="U31" i="7" s="1"/>
  <c r="L25" i="8"/>
  <c r="S46" i="15"/>
  <c r="R32" i="10"/>
  <c r="M30" i="1"/>
  <c r="X37" i="1"/>
  <c r="AO37" i="1" s="1"/>
  <c r="E35" i="2"/>
  <c r="V36" i="3"/>
  <c r="V37" i="3"/>
  <c r="AF24" i="3"/>
  <c r="F29" i="7"/>
  <c r="W32" i="3" s="1"/>
  <c r="AF32" i="3" s="1"/>
  <c r="Q7" i="8"/>
  <c r="S13" i="1" s="1"/>
  <c r="T13" i="1" s="1"/>
  <c r="Q23" i="8"/>
  <c r="S29" i="1" s="1"/>
  <c r="N24" i="8"/>
  <c r="I30" i="15" s="1"/>
  <c r="N27" i="8"/>
  <c r="O33" i="8"/>
  <c r="R19" i="10"/>
  <c r="R34" i="10"/>
  <c r="EY15" i="13"/>
  <c r="EZ15" i="13" s="1"/>
  <c r="EY25" i="13"/>
  <c r="EY34" i="13"/>
  <c r="AT29" i="15"/>
  <c r="R20" i="10"/>
  <c r="EY24" i="1"/>
  <c r="E36" i="2"/>
  <c r="X36" i="2" s="1"/>
  <c r="N13" i="8"/>
  <c r="I19" i="13" s="1"/>
  <c r="X33" i="8"/>
  <c r="EY36" i="15"/>
  <c r="EZ36" i="15" s="1"/>
  <c r="EY33" i="1"/>
  <c r="EZ33" i="1" s="1"/>
  <c r="V24" i="3"/>
  <c r="Y25" i="3"/>
  <c r="V30" i="3"/>
  <c r="V34" i="3"/>
  <c r="N27" i="7"/>
  <c r="D27" i="7" s="1"/>
  <c r="O19" i="8"/>
  <c r="N20" i="8"/>
  <c r="F25" i="8"/>
  <c r="R25" i="8" s="1"/>
  <c r="P27" i="8"/>
  <c r="D20" i="10"/>
  <c r="F20" i="10" s="1"/>
  <c r="D24" i="10"/>
  <c r="X19" i="13"/>
  <c r="AT27" i="13"/>
  <c r="Y37" i="15"/>
  <c r="BW37" i="15" s="1"/>
  <c r="Y38" i="15"/>
  <c r="BW38" i="15" s="1"/>
  <c r="EY21" i="1"/>
  <c r="EZ21" i="1" s="1"/>
  <c r="AT37" i="1"/>
  <c r="E18" i="2"/>
  <c r="X18" i="2" s="1"/>
  <c r="Y26" i="3"/>
  <c r="Y28" i="3"/>
  <c r="S13" i="15"/>
  <c r="T13" i="15" s="1"/>
  <c r="S21" i="15"/>
  <c r="T21" i="15" s="1"/>
  <c r="Y27" i="15"/>
  <c r="BW27" i="15" s="1"/>
  <c r="EY35" i="15"/>
  <c r="EZ35" i="15" s="1"/>
  <c r="X37" i="15"/>
  <c r="BU37" i="15" s="1"/>
  <c r="I35" i="1"/>
  <c r="I35" i="15"/>
  <c r="I35" i="13"/>
  <c r="AS35" i="13" s="1"/>
  <c r="AE18" i="15"/>
  <c r="BS18" i="15"/>
  <c r="I26" i="1"/>
  <c r="G20" i="2" s="1"/>
  <c r="I26" i="15"/>
  <c r="I26" i="13"/>
  <c r="AS26" i="13" s="1"/>
  <c r="X34" i="1"/>
  <c r="BU34" i="1" s="1"/>
  <c r="V29" i="3"/>
  <c r="X35" i="1"/>
  <c r="BU35" i="1" s="1"/>
  <c r="I19" i="1"/>
  <c r="J19" i="1" s="1"/>
  <c r="BT63" i="1" s="1"/>
  <c r="I33" i="1"/>
  <c r="J33" i="1" s="1"/>
  <c r="I33" i="15"/>
  <c r="J33" i="15" s="1"/>
  <c r="I33" i="13"/>
  <c r="AS33" i="13" s="1"/>
  <c r="G51" i="15"/>
  <c r="AT21" i="15"/>
  <c r="M21" i="15"/>
  <c r="X25" i="15"/>
  <c r="BU25" i="15" s="1"/>
  <c r="BS20" i="15"/>
  <c r="AE20" i="15"/>
  <c r="EY13" i="15"/>
  <c r="EZ13" i="15" s="1"/>
  <c r="X13" i="15"/>
  <c r="L19" i="8"/>
  <c r="I29" i="1"/>
  <c r="Z24" i="3" s="1"/>
  <c r="AA24" i="3" s="1"/>
  <c r="R24" i="3" s="1"/>
  <c r="I29" i="15"/>
  <c r="S24" i="1"/>
  <c r="S18" i="2" s="1"/>
  <c r="S24" i="15"/>
  <c r="Y32" i="1"/>
  <c r="BW32" i="1" s="1"/>
  <c r="BU33" i="1"/>
  <c r="X40" i="1"/>
  <c r="BU40" i="1" s="1"/>
  <c r="I20" i="7"/>
  <c r="K20" i="7" s="1"/>
  <c r="L26" i="8"/>
  <c r="D23" i="10"/>
  <c r="F23" i="10" s="1"/>
  <c r="R23" i="10"/>
  <c r="AC13" i="15"/>
  <c r="E7" i="2"/>
  <c r="X7" i="2" s="1"/>
  <c r="V8" i="3"/>
  <c r="M35" i="1"/>
  <c r="X36" i="1"/>
  <c r="BU36" i="1" s="1"/>
  <c r="F25" i="2"/>
  <c r="Y25" i="2" s="1"/>
  <c r="S15" i="15"/>
  <c r="M33" i="15"/>
  <c r="Y33" i="15"/>
  <c r="BW33" i="15" s="1"/>
  <c r="EY32" i="13"/>
  <c r="X32" i="13"/>
  <c r="BU32" i="13" s="1"/>
  <c r="AT31" i="1"/>
  <c r="L13" i="8"/>
  <c r="O27" i="8"/>
  <c r="H35" i="8"/>
  <c r="L35" i="8" s="1"/>
  <c r="X35" i="8"/>
  <c r="M29" i="1"/>
  <c r="Y24" i="3"/>
  <c r="F23" i="2"/>
  <c r="Y23" i="2" s="1"/>
  <c r="Y29" i="1"/>
  <c r="BW29" i="1" s="1"/>
  <c r="AT35" i="1"/>
  <c r="V40" i="3"/>
  <c r="E39" i="2"/>
  <c r="X39" i="2" s="1"/>
  <c r="T18" i="7"/>
  <c r="P18" i="7"/>
  <c r="N18" i="7"/>
  <c r="D18" i="7" s="1"/>
  <c r="F18" i="7"/>
  <c r="W21" i="3" s="1"/>
  <c r="AF21" i="3" s="1"/>
  <c r="F13" i="10"/>
  <c r="G13" i="10" s="1"/>
  <c r="E28" i="2"/>
  <c r="F12" i="8"/>
  <c r="O12" i="8"/>
  <c r="S18" i="15" s="1"/>
  <c r="T18" i="15" s="1"/>
  <c r="EY17" i="15"/>
  <c r="EZ17" i="15" s="1"/>
  <c r="Y24" i="15"/>
  <c r="BW24" i="15" s="1"/>
  <c r="AT29" i="1"/>
  <c r="V33" i="3"/>
  <c r="EY38" i="1"/>
  <c r="EZ38" i="1" s="1"/>
  <c r="E37" i="2"/>
  <c r="X37" i="2" s="1"/>
  <c r="E35" i="7"/>
  <c r="U35" i="7" s="1"/>
  <c r="I16" i="1"/>
  <c r="G10" i="2" s="1"/>
  <c r="I16" i="15"/>
  <c r="AS16" i="15" s="1"/>
  <c r="I16" i="13"/>
  <c r="AS16" i="13" s="1"/>
  <c r="Q25" i="8"/>
  <c r="I14" i="15"/>
  <c r="E34" i="2"/>
  <c r="X34" i="2" s="1"/>
  <c r="E32" i="7"/>
  <c r="U32" i="7" s="1"/>
  <c r="E30" i="2"/>
  <c r="S17" i="15"/>
  <c r="T17" i="15" s="1"/>
  <c r="Y115" i="9"/>
  <c r="X21" i="15"/>
  <c r="M24" i="1"/>
  <c r="E29" i="2"/>
  <c r="X29" i="2" s="1"/>
  <c r="O10" i="8"/>
  <c r="R26" i="8"/>
  <c r="Y21" i="15"/>
  <c r="BW21" i="15" s="1"/>
  <c r="AT21" i="1"/>
  <c r="AT28" i="1"/>
  <c r="P26" i="7"/>
  <c r="N26" i="7"/>
  <c r="D26" i="7" s="1"/>
  <c r="F26" i="7"/>
  <c r="W29" i="3" s="1"/>
  <c r="L27" i="8"/>
  <c r="F29" i="8"/>
  <c r="Q29" i="8"/>
  <c r="O36" i="8"/>
  <c r="X37" i="8"/>
  <c r="I37" i="8"/>
  <c r="L37" i="8" s="1"/>
  <c r="F26" i="2"/>
  <c r="F17" i="8"/>
  <c r="R17" i="8" s="1"/>
  <c r="Q24" i="8"/>
  <c r="P29" i="8"/>
  <c r="AO34" i="1"/>
  <c r="E15" i="2"/>
  <c r="X15" i="2" s="1"/>
  <c r="L20" i="8"/>
  <c r="P38" i="8"/>
  <c r="D32" i="10"/>
  <c r="F32" i="10" s="1"/>
  <c r="T27" i="7"/>
  <c r="W27" i="7" s="1"/>
  <c r="F30" i="7"/>
  <c r="W33" i="3" s="1"/>
  <c r="AF33" i="3" s="1"/>
  <c r="AG33" i="3" s="1"/>
  <c r="F7" i="8"/>
  <c r="R7" i="8" s="1"/>
  <c r="Q38" i="8"/>
  <c r="F25" i="10"/>
  <c r="R28" i="10"/>
  <c r="C39" i="10"/>
  <c r="F39" i="10" s="1"/>
  <c r="G39" i="10" s="1"/>
  <c r="AP35" i="14"/>
  <c r="I23" i="15"/>
  <c r="AO38" i="15"/>
  <c r="F23" i="7"/>
  <c r="W26" i="3" s="1"/>
  <c r="P30" i="7"/>
  <c r="P19" i="8"/>
  <c r="Q27" i="8"/>
  <c r="P28" i="8"/>
  <c r="X29" i="8"/>
  <c r="F31" i="8"/>
  <c r="O37" i="8"/>
  <c r="F11" i="10"/>
  <c r="G11" i="10" s="1"/>
  <c r="AC17" i="15" s="1"/>
  <c r="BS17" i="15" s="1"/>
  <c r="F15" i="10"/>
  <c r="J17" i="13"/>
  <c r="C17" i="13" s="1"/>
  <c r="I14" i="7"/>
  <c r="K14" i="7" s="1"/>
  <c r="Q30" i="7"/>
  <c r="L17" i="8"/>
  <c r="P22" i="8"/>
  <c r="F27" i="8"/>
  <c r="O34" i="8"/>
  <c r="EZ32" i="15"/>
  <c r="X36" i="15"/>
  <c r="AO36" i="15" s="1"/>
  <c r="Q22" i="8"/>
  <c r="X28" i="8"/>
  <c r="P34" i="8"/>
  <c r="S40" i="15" s="1"/>
  <c r="L11" i="8"/>
  <c r="F13" i="8"/>
  <c r="Q32" i="8"/>
  <c r="X38" i="8"/>
  <c r="F8" i="10"/>
  <c r="G8" i="10" s="1"/>
  <c r="R29" i="10"/>
  <c r="N23" i="7"/>
  <c r="D23" i="7" s="1"/>
  <c r="N30" i="7"/>
  <c r="D30" i="7" s="1"/>
  <c r="P17" i="8"/>
  <c r="Q31" i="8"/>
  <c r="M25" i="15"/>
  <c r="M32" i="15"/>
  <c r="T26" i="7"/>
  <c r="X30" i="7"/>
  <c r="P14" i="8"/>
  <c r="S20" i="15" s="1"/>
  <c r="T20" i="15" s="1"/>
  <c r="N16" i="8"/>
  <c r="P36" i="8"/>
  <c r="S42" i="15" s="1"/>
  <c r="Q37" i="8"/>
  <c r="S43" i="15" s="1"/>
  <c r="R40" i="10"/>
  <c r="F9" i="10"/>
  <c r="G9" i="10" s="1"/>
  <c r="F24" i="10"/>
  <c r="AO29" i="1"/>
  <c r="AO35" i="1"/>
  <c r="L8" i="8"/>
  <c r="P10" i="8"/>
  <c r="O20" i="8"/>
  <c r="F28" i="8"/>
  <c r="Q39" i="8"/>
  <c r="Y32" i="15"/>
  <c r="BW32" i="15" s="1"/>
  <c r="X41" i="15"/>
  <c r="BU41" i="15" s="1"/>
  <c r="S21" i="1"/>
  <c r="S15" i="2" s="1"/>
  <c r="I29" i="8"/>
  <c r="O29" i="8" s="1"/>
  <c r="S35" i="1" s="1"/>
  <c r="S29" i="2" s="1"/>
  <c r="Z29" i="2" s="1"/>
  <c r="P32" i="8"/>
  <c r="S38" i="15" s="1"/>
  <c r="T38" i="15" s="1"/>
  <c r="F18" i="10"/>
  <c r="AO19" i="13"/>
  <c r="BY10" i="15"/>
  <c r="L49" i="15"/>
  <c r="L84" i="15"/>
  <c r="L53" i="15"/>
  <c r="L54" i="15"/>
  <c r="AP35" i="15"/>
  <c r="AP39" i="15"/>
  <c r="AP36" i="15"/>
  <c r="AP34" i="15"/>
  <c r="AP38" i="15"/>
  <c r="AP31" i="15"/>
  <c r="AP30" i="15"/>
  <c r="AP28" i="15"/>
  <c r="AP24" i="15"/>
  <c r="AP22" i="15"/>
  <c r="AP26" i="15"/>
  <c r="AT13" i="15"/>
  <c r="FE13" i="15"/>
  <c r="AP13" i="15"/>
  <c r="M13" i="15"/>
  <c r="EW8" i="15"/>
  <c r="CB8" i="15"/>
  <c r="CA8" i="15"/>
  <c r="EW9" i="15"/>
  <c r="CB9" i="15"/>
  <c r="BO62" i="15"/>
  <c r="BY8" i="15"/>
  <c r="BZ8" i="15" s="1"/>
  <c r="BW19" i="15"/>
  <c r="BY7" i="15"/>
  <c r="AJ11" i="15"/>
  <c r="EL11" i="15"/>
  <c r="DH11" i="15"/>
  <c r="E53" i="15"/>
  <c r="E54" i="15"/>
  <c r="E51" i="15"/>
  <c r="E49" i="15"/>
  <c r="BU13" i="15"/>
  <c r="AO13" i="15"/>
  <c r="AT19" i="15"/>
  <c r="FE19" i="15"/>
  <c r="AP19" i="15"/>
  <c r="M19" i="15"/>
  <c r="EW10" i="15"/>
  <c r="CB10" i="15"/>
  <c r="CA10" i="15"/>
  <c r="BZ10" i="15"/>
  <c r="EW7" i="15"/>
  <c r="CB7" i="15"/>
  <c r="CA7" i="15"/>
  <c r="BZ7" i="15"/>
  <c r="BY9" i="15"/>
  <c r="BZ9" i="15" s="1"/>
  <c r="CA9" i="15"/>
  <c r="BX11" i="15"/>
  <c r="EW12" i="15"/>
  <c r="CB12" i="15"/>
  <c r="CA12" i="15"/>
  <c r="AP16" i="15"/>
  <c r="FE16" i="15"/>
  <c r="AT16" i="15"/>
  <c r="M16" i="15"/>
  <c r="ET12" i="15"/>
  <c r="Y49" i="15"/>
  <c r="X14" i="15"/>
  <c r="AP20" i="15"/>
  <c r="M20" i="15"/>
  <c r="AT20" i="15"/>
  <c r="ET7" i="15"/>
  <c r="N84" i="15"/>
  <c r="X22" i="15"/>
  <c r="EY22" i="15"/>
  <c r="EZ22" i="15" s="1"/>
  <c r="AP23" i="15"/>
  <c r="Y30" i="15"/>
  <c r="M30" i="15"/>
  <c r="AT30" i="15"/>
  <c r="EY30" i="15"/>
  <c r="EZ30" i="15" s="1"/>
  <c r="DH9" i="15"/>
  <c r="ET10" i="15"/>
  <c r="AP14" i="15"/>
  <c r="AE16" i="15"/>
  <c r="AS17" i="15"/>
  <c r="BU17" i="15"/>
  <c r="AO17" i="15"/>
  <c r="EY18" i="15"/>
  <c r="EZ18" i="15" s="1"/>
  <c r="AT22" i="15"/>
  <c r="M22" i="15"/>
  <c r="Y22" i="15"/>
  <c r="BW22" i="15" s="1"/>
  <c r="EL9" i="15"/>
  <c r="DH12" i="15"/>
  <c r="BS13" i="15"/>
  <c r="L78" i="15"/>
  <c r="M78" i="15" s="1"/>
  <c r="L51" i="15"/>
  <c r="X15" i="15"/>
  <c r="AP17" i="15"/>
  <c r="X18" i="15"/>
  <c r="AD53" i="15"/>
  <c r="AD54" i="15"/>
  <c r="AD50" i="15"/>
  <c r="AD51" i="15"/>
  <c r="AD84" i="15"/>
  <c r="BV21" i="15"/>
  <c r="BV23" i="15"/>
  <c r="AO26" i="15"/>
  <c r="DH7" i="15"/>
  <c r="ET8" i="15"/>
  <c r="G84" i="15"/>
  <c r="G53" i="15"/>
  <c r="G54" i="15"/>
  <c r="G49" i="15"/>
  <c r="AE13" i="15"/>
  <c r="EG13" i="15" s="1"/>
  <c r="M15" i="15"/>
  <c r="BW15" i="15"/>
  <c r="EY15" i="15"/>
  <c r="EZ15" i="15" s="1"/>
  <c r="EY16" i="15"/>
  <c r="EZ16" i="15" s="1"/>
  <c r="M17" i="15"/>
  <c r="Z17" i="15"/>
  <c r="AP18" i="15"/>
  <c r="M18" i="15"/>
  <c r="EY20" i="15"/>
  <c r="EZ20" i="15" s="1"/>
  <c r="BV25" i="15"/>
  <c r="BV28" i="15"/>
  <c r="AP15" i="15"/>
  <c r="X16" i="15"/>
  <c r="BU19" i="15"/>
  <c r="X20" i="15"/>
  <c r="L50" i="15"/>
  <c r="AP21" i="15"/>
  <c r="FE21" i="15"/>
  <c r="FE25" i="15"/>
  <c r="AT25" i="15"/>
  <c r="X28" i="15"/>
  <c r="M23" i="15"/>
  <c r="AT23" i="15"/>
  <c r="M28" i="15"/>
  <c r="AT28" i="15"/>
  <c r="BU32" i="15"/>
  <c r="AO32" i="15"/>
  <c r="AS35" i="15"/>
  <c r="BU21" i="15"/>
  <c r="BU23" i="15"/>
  <c r="EY26" i="15"/>
  <c r="EZ26" i="15" s="1"/>
  <c r="EY27" i="15"/>
  <c r="EZ27" i="15" s="1"/>
  <c r="E50" i="15"/>
  <c r="T24" i="15"/>
  <c r="AT26" i="15"/>
  <c r="Y28" i="15"/>
  <c r="BW28" i="15" s="1"/>
  <c r="G50" i="15"/>
  <c r="FE23" i="15"/>
  <c r="EY24" i="15"/>
  <c r="EZ24" i="15" s="1"/>
  <c r="EY25" i="15"/>
  <c r="EZ25" i="15" s="1"/>
  <c r="AO29" i="15"/>
  <c r="BU29" i="15"/>
  <c r="BU33" i="15"/>
  <c r="AO33" i="15"/>
  <c r="H84" i="15"/>
  <c r="R84" i="15"/>
  <c r="AO21" i="15"/>
  <c r="AO23" i="15"/>
  <c r="M24" i="15"/>
  <c r="AT24" i="15"/>
  <c r="AP25" i="15"/>
  <c r="J26" i="15"/>
  <c r="BT69" i="15" s="1"/>
  <c r="AP27" i="15"/>
  <c r="FE27" i="15"/>
  <c r="AP29" i="15"/>
  <c r="FE29" i="15"/>
  <c r="M29" i="15"/>
  <c r="J17" i="15"/>
  <c r="BU61" i="15" s="1"/>
  <c r="X24" i="15"/>
  <c r="M27" i="15"/>
  <c r="X27" i="15"/>
  <c r="EY28" i="15"/>
  <c r="EZ28" i="15" s="1"/>
  <c r="AO30" i="15"/>
  <c r="BU30" i="15"/>
  <c r="EY33" i="15"/>
  <c r="EZ33" i="15" s="1"/>
  <c r="AP37" i="15"/>
  <c r="M37" i="15"/>
  <c r="AT37" i="15"/>
  <c r="FE37" i="15"/>
  <c r="EY31" i="15"/>
  <c r="EZ31" i="15" s="1"/>
  <c r="AT31" i="15"/>
  <c r="AT32" i="15"/>
  <c r="X34" i="15"/>
  <c r="EY34" i="15"/>
  <c r="EZ34" i="15" s="1"/>
  <c r="M34" i="15"/>
  <c r="AT34" i="15"/>
  <c r="Y34" i="15"/>
  <c r="BW34" i="15" s="1"/>
  <c r="EY29" i="15"/>
  <c r="EZ29" i="15" s="1"/>
  <c r="M31" i="15"/>
  <c r="X31" i="15"/>
  <c r="AP32" i="15"/>
  <c r="FE32" i="15"/>
  <c r="AP40" i="15"/>
  <c r="FE40" i="15"/>
  <c r="BU44" i="15"/>
  <c r="M38" i="15"/>
  <c r="EY38" i="15"/>
  <c r="EZ38" i="15" s="1"/>
  <c r="AP42" i="15"/>
  <c r="AP33" i="15"/>
  <c r="J35" i="15"/>
  <c r="AT36" i="15"/>
  <c r="BU38" i="15"/>
  <c r="FE34" i="15"/>
  <c r="AT35" i="15"/>
  <c r="M36" i="15"/>
  <c r="BU36" i="15"/>
  <c r="FE38" i="15"/>
  <c r="M35" i="15"/>
  <c r="AP43" i="15"/>
  <c r="BU46" i="15"/>
  <c r="AT33" i="15"/>
  <c r="X35" i="15"/>
  <c r="Y36" i="15"/>
  <c r="BU39" i="15"/>
  <c r="BU40" i="15"/>
  <c r="L93" i="15"/>
  <c r="AP41" i="15"/>
  <c r="FE42" i="15"/>
  <c r="BV46" i="15"/>
  <c r="BU42" i="15"/>
  <c r="BU43" i="15"/>
  <c r="AP44" i="15"/>
  <c r="AP46" i="15"/>
  <c r="FF32" i="14"/>
  <c r="AJ12" i="14"/>
  <c r="M14" i="14"/>
  <c r="BY11" i="14"/>
  <c r="N84" i="14"/>
  <c r="AU19" i="14"/>
  <c r="M23" i="14"/>
  <c r="FF24" i="14"/>
  <c r="AT27" i="14"/>
  <c r="AU29" i="14"/>
  <c r="AJ9" i="14"/>
  <c r="BY12" i="14"/>
  <c r="EX12" i="14" s="1"/>
  <c r="FF15" i="14"/>
  <c r="AU23" i="14"/>
  <c r="M27" i="14"/>
  <c r="AT36" i="14"/>
  <c r="BY8" i="14"/>
  <c r="AJ11" i="14"/>
  <c r="BZ11" i="14" s="1"/>
  <c r="CA11" i="14" s="1"/>
  <c r="AQ19" i="14"/>
  <c r="M32" i="14"/>
  <c r="AT34" i="14"/>
  <c r="FF34" i="14"/>
  <c r="BY7" i="14"/>
  <c r="FF11" i="14"/>
  <c r="AT32" i="14"/>
  <c r="BY9" i="14"/>
  <c r="CA9" i="14" s="1"/>
  <c r="M36" i="14"/>
  <c r="FF37" i="14"/>
  <c r="FF39" i="14"/>
  <c r="AP14" i="14"/>
  <c r="CB7" i="14"/>
  <c r="EX7" i="14"/>
  <c r="CC7" i="14"/>
  <c r="BZ8" i="14"/>
  <c r="BZ12" i="14"/>
  <c r="CA12" i="14" s="1"/>
  <c r="EX11" i="14"/>
  <c r="CC11" i="14"/>
  <c r="CB11" i="14"/>
  <c r="EX8" i="14"/>
  <c r="CC8" i="14"/>
  <c r="CB8" i="14"/>
  <c r="CA8" i="14"/>
  <c r="BP62" i="14"/>
  <c r="BZ7" i="14"/>
  <c r="CA7" i="14" s="1"/>
  <c r="BZ9" i="14"/>
  <c r="BL15" i="14"/>
  <c r="EU9" i="14"/>
  <c r="L49" i="14"/>
  <c r="L84" i="14"/>
  <c r="L53" i="14"/>
  <c r="L54" i="14"/>
  <c r="AQ39" i="14"/>
  <c r="AQ40" i="14"/>
  <c r="AQ32" i="14"/>
  <c r="AQ36" i="14"/>
  <c r="AQ24" i="14"/>
  <c r="AQ31" i="14"/>
  <c r="AQ38" i="14"/>
  <c r="AQ26" i="14"/>
  <c r="AQ25" i="14"/>
  <c r="AQ22" i="14"/>
  <c r="BX59" i="14"/>
  <c r="BW59" i="14"/>
  <c r="E53" i="14"/>
  <c r="E54" i="14"/>
  <c r="E49" i="14"/>
  <c r="E51" i="14"/>
  <c r="BX65" i="14"/>
  <c r="EU21" i="14"/>
  <c r="BZ10" i="14"/>
  <c r="CA10" i="14" s="1"/>
  <c r="DI11" i="14"/>
  <c r="EU12" i="14"/>
  <c r="Y49" i="14"/>
  <c r="AP13" i="14"/>
  <c r="G51" i="14"/>
  <c r="AT15" i="14"/>
  <c r="M16" i="14"/>
  <c r="AT17" i="14"/>
  <c r="M18" i="14"/>
  <c r="L50" i="14"/>
  <c r="AQ21" i="14"/>
  <c r="FF21" i="14"/>
  <c r="EM11" i="14"/>
  <c r="AP16" i="14"/>
  <c r="DI9" i="14"/>
  <c r="CB10" i="14"/>
  <c r="EU10" i="14"/>
  <c r="AQ14" i="14"/>
  <c r="J15" i="14"/>
  <c r="AQ16" i="14"/>
  <c r="J17" i="14"/>
  <c r="BV61" i="14" s="1"/>
  <c r="AQ18" i="14"/>
  <c r="J19" i="14"/>
  <c r="BU63" i="14" s="1"/>
  <c r="AQ20" i="14"/>
  <c r="AT20" i="14"/>
  <c r="X22" i="14"/>
  <c r="EZ22" i="14"/>
  <c r="J22" i="14"/>
  <c r="EU7" i="14"/>
  <c r="J20" i="14"/>
  <c r="BV64" i="14" s="1"/>
  <c r="AP21" i="14"/>
  <c r="EM9" i="14"/>
  <c r="CC10" i="14"/>
  <c r="EX10" i="14"/>
  <c r="DI12" i="14"/>
  <c r="AT13" i="14"/>
  <c r="FF13" i="14"/>
  <c r="L78" i="14"/>
  <c r="L51" i="14"/>
  <c r="X15" i="14"/>
  <c r="X17" i="14"/>
  <c r="X19" i="14"/>
  <c r="M20" i="14"/>
  <c r="AU20" i="14"/>
  <c r="AT21" i="14"/>
  <c r="AU22" i="14"/>
  <c r="M22" i="14"/>
  <c r="BV63" i="14"/>
  <c r="X20" i="14"/>
  <c r="AQ33" i="14"/>
  <c r="M33" i="14"/>
  <c r="AT33" i="14"/>
  <c r="FF33" i="14"/>
  <c r="AU33" i="14"/>
  <c r="DI7" i="14"/>
  <c r="EU8" i="14"/>
  <c r="EM12" i="14"/>
  <c r="G84" i="14"/>
  <c r="G53" i="14"/>
  <c r="G54" i="14"/>
  <c r="G49" i="14"/>
  <c r="AU13" i="14"/>
  <c r="AT14" i="14"/>
  <c r="FF14" i="14"/>
  <c r="M15" i="14"/>
  <c r="BX15" i="14"/>
  <c r="EZ15" i="14"/>
  <c r="FA15" i="14" s="1"/>
  <c r="AT16" i="14"/>
  <c r="FF16" i="14"/>
  <c r="M17" i="14"/>
  <c r="EZ17" i="14"/>
  <c r="FA17" i="14" s="1"/>
  <c r="AT18" i="14"/>
  <c r="FF18" i="14"/>
  <c r="M19" i="14"/>
  <c r="AU21" i="14"/>
  <c r="AQ42" i="14"/>
  <c r="FF42" i="14"/>
  <c r="AU42" i="14"/>
  <c r="M42" i="14"/>
  <c r="AT42" i="14"/>
  <c r="AQ13" i="14"/>
  <c r="EM7" i="14"/>
  <c r="DI10" i="14"/>
  <c r="I54" i="14"/>
  <c r="I49" i="14"/>
  <c r="I84" i="14"/>
  <c r="I53" i="14"/>
  <c r="BV13" i="14"/>
  <c r="BU59" i="14"/>
  <c r="AU18" i="14"/>
  <c r="FF19" i="14"/>
  <c r="AV21" i="14"/>
  <c r="AP18" i="14"/>
  <c r="AQ43" i="14"/>
  <c r="BV59" i="14"/>
  <c r="AV14" i="14"/>
  <c r="EU14" i="14"/>
  <c r="AQ15" i="14"/>
  <c r="J16" i="14"/>
  <c r="AQ17" i="14"/>
  <c r="J18" i="14"/>
  <c r="BU62" i="14" s="1"/>
  <c r="EZ20" i="14"/>
  <c r="FA20" i="14" s="1"/>
  <c r="AP27" i="14"/>
  <c r="AT24" i="14"/>
  <c r="AT31" i="14"/>
  <c r="EU38" i="14"/>
  <c r="AV38" i="14"/>
  <c r="AT23" i="14"/>
  <c r="J24" i="14"/>
  <c r="BX70" i="14"/>
  <c r="EU27" i="14"/>
  <c r="X28" i="14"/>
  <c r="EU33" i="14"/>
  <c r="AV33" i="14"/>
  <c r="AV23" i="14"/>
  <c r="BV23" i="14"/>
  <c r="AP24" i="14"/>
  <c r="M25" i="14"/>
  <c r="AT28" i="14"/>
  <c r="EZ30" i="14"/>
  <c r="J30" i="14"/>
  <c r="X30" i="14"/>
  <c r="E50" i="14"/>
  <c r="J28" i="14"/>
  <c r="BV71" i="14" s="1"/>
  <c r="M29" i="14"/>
  <c r="BV34" i="14"/>
  <c r="AP34" i="14"/>
  <c r="BU65" i="14"/>
  <c r="G50" i="14"/>
  <c r="BU66" i="14"/>
  <c r="BV24" i="14"/>
  <c r="J25" i="14"/>
  <c r="BV68" i="14" s="1"/>
  <c r="EZ26" i="14"/>
  <c r="J26" i="14"/>
  <c r="X26" i="14"/>
  <c r="BL27" i="14"/>
  <c r="AQ28" i="14"/>
  <c r="AT29" i="14"/>
  <c r="H54" i="14"/>
  <c r="H50" i="14"/>
  <c r="H84" i="14"/>
  <c r="H53" i="14"/>
  <c r="BW65" i="14"/>
  <c r="H51" i="14"/>
  <c r="BW66" i="14"/>
  <c r="AP23" i="14"/>
  <c r="EU23" i="14"/>
  <c r="BU67" i="14"/>
  <c r="EZ24" i="14"/>
  <c r="FF25" i="14"/>
  <c r="AU25" i="14"/>
  <c r="BW69" i="14"/>
  <c r="M26" i="14"/>
  <c r="AU26" i="14"/>
  <c r="BV65" i="14"/>
  <c r="I50" i="14"/>
  <c r="BV66" i="14"/>
  <c r="AQ23" i="14"/>
  <c r="BW67" i="14"/>
  <c r="BV25" i="14"/>
  <c r="BV69" i="14"/>
  <c r="FF27" i="14"/>
  <c r="J29" i="14"/>
  <c r="BW73" i="14"/>
  <c r="BV32" i="14"/>
  <c r="EU36" i="14"/>
  <c r="AV36" i="14"/>
  <c r="L93" i="14"/>
  <c r="AQ41" i="14"/>
  <c r="FF41" i="14"/>
  <c r="AT41" i="14"/>
  <c r="M41" i="14"/>
  <c r="AU41" i="14"/>
  <c r="AT26" i="14"/>
  <c r="BU70" i="14"/>
  <c r="M28" i="14"/>
  <c r="X29" i="14"/>
  <c r="BW70" i="14"/>
  <c r="AQ27" i="14"/>
  <c r="FF28" i="14"/>
  <c r="AT30" i="14"/>
  <c r="FF30" i="14"/>
  <c r="AQ30" i="14"/>
  <c r="EZ31" i="14"/>
  <c r="AP31" i="14"/>
  <c r="BV31" i="14"/>
  <c r="AT35" i="14"/>
  <c r="AT37" i="14"/>
  <c r="BU68" i="14"/>
  <c r="BV70" i="14"/>
  <c r="AQ29" i="14"/>
  <c r="M30" i="14"/>
  <c r="AU30" i="14"/>
  <c r="M31" i="14"/>
  <c r="AU31" i="14"/>
  <c r="J31" i="14"/>
  <c r="BU74" i="14" s="1"/>
  <c r="AV32" i="14"/>
  <c r="EU32" i="14"/>
  <c r="EZ33" i="14"/>
  <c r="X33" i="14"/>
  <c r="EU35" i="14"/>
  <c r="AV35" i="14"/>
  <c r="BU72" i="14"/>
  <c r="EZ36" i="14"/>
  <c r="X36" i="14"/>
  <c r="FF35" i="14"/>
  <c r="AQ35" i="14"/>
  <c r="AU38" i="14"/>
  <c r="AP38" i="14"/>
  <c r="BV38" i="14"/>
  <c r="AT39" i="14"/>
  <c r="AT40" i="14"/>
  <c r="AU35" i="14"/>
  <c r="AT38" i="14"/>
  <c r="AU44" i="14"/>
  <c r="M34" i="14"/>
  <c r="AU34" i="14"/>
  <c r="EZ37" i="14"/>
  <c r="M37" i="14"/>
  <c r="AU37" i="14"/>
  <c r="J37" i="14"/>
  <c r="M78" i="14"/>
  <c r="FF38" i="14"/>
  <c r="EU39" i="14"/>
  <c r="AV39" i="14"/>
  <c r="BV42" i="14"/>
  <c r="AV45" i="14"/>
  <c r="BV73" i="14"/>
  <c r="J34" i="14"/>
  <c r="BV35" i="14"/>
  <c r="AU36" i="14"/>
  <c r="EZ38" i="14"/>
  <c r="AQ34" i="14"/>
  <c r="M35" i="14"/>
  <c r="J42" i="14"/>
  <c r="BL38" i="14"/>
  <c r="AU43" i="14"/>
  <c r="J46" i="14"/>
  <c r="AV46" i="14" s="1"/>
  <c r="X46" i="14"/>
  <c r="BV40" i="14"/>
  <c r="BV44" i="14"/>
  <c r="BV41" i="14"/>
  <c r="J44" i="14"/>
  <c r="AV44" i="14" s="1"/>
  <c r="AP37" i="14"/>
  <c r="BV39" i="14"/>
  <c r="AU39" i="14"/>
  <c r="J40" i="14"/>
  <c r="EZ40" i="14"/>
  <c r="BV43" i="14"/>
  <c r="AQ37" i="14"/>
  <c r="J41" i="14"/>
  <c r="AT45" i="14"/>
  <c r="AU46" i="14"/>
  <c r="AQ44" i="14"/>
  <c r="AQ46" i="14"/>
  <c r="M46" i="14"/>
  <c r="BY8" i="13"/>
  <c r="BO62" i="13"/>
  <c r="BY7" i="13"/>
  <c r="EW10" i="13"/>
  <c r="CB10" i="13"/>
  <c r="CA10" i="13"/>
  <c r="CA8" i="13"/>
  <c r="BZ8" i="13"/>
  <c r="CB8" i="13"/>
  <c r="EW8" i="13"/>
  <c r="BY11" i="13"/>
  <c r="BZ11" i="13" s="1"/>
  <c r="EW7" i="13"/>
  <c r="CB7" i="13"/>
  <c r="CA7" i="13"/>
  <c r="BZ7" i="13"/>
  <c r="BU13" i="13"/>
  <c r="AO13" i="13"/>
  <c r="BY10" i="13"/>
  <c r="BZ10" i="13" s="1"/>
  <c r="EW11" i="13"/>
  <c r="CB11" i="13"/>
  <c r="CA11" i="13"/>
  <c r="FE8" i="13"/>
  <c r="BZ9" i="13"/>
  <c r="EL10" i="13"/>
  <c r="BY12" i="13"/>
  <c r="BZ12" i="13" s="1"/>
  <c r="L78" i="13"/>
  <c r="L51" i="13"/>
  <c r="AT15" i="13"/>
  <c r="FE15" i="13"/>
  <c r="FC15" i="13"/>
  <c r="AP23" i="13"/>
  <c r="FE23" i="13"/>
  <c r="FC23" i="13"/>
  <c r="AT23" i="13"/>
  <c r="M23" i="13"/>
  <c r="AS23" i="13"/>
  <c r="ET11" i="13"/>
  <c r="CA9" i="13"/>
  <c r="ET9" i="13"/>
  <c r="L49" i="13"/>
  <c r="L84" i="13"/>
  <c r="L53" i="13"/>
  <c r="L54" i="13"/>
  <c r="AP37" i="13"/>
  <c r="AP36" i="13"/>
  <c r="AP26" i="13"/>
  <c r="AP28" i="13"/>
  <c r="AP31" i="13"/>
  <c r="AP18" i="13"/>
  <c r="AP16" i="13"/>
  <c r="FC13" i="13"/>
  <c r="BW15" i="13"/>
  <c r="EY16" i="13"/>
  <c r="EZ16" i="13" s="1"/>
  <c r="X16" i="13"/>
  <c r="EY18" i="13"/>
  <c r="EZ18" i="13" s="1"/>
  <c r="X18" i="13"/>
  <c r="CB9" i="13"/>
  <c r="DH11" i="13"/>
  <c r="CA12" i="13"/>
  <c r="ET12" i="13"/>
  <c r="M13" i="13"/>
  <c r="Y49" i="13"/>
  <c r="BW13" i="13"/>
  <c r="AP13" i="13"/>
  <c r="BY58" i="13"/>
  <c r="EI14" i="13"/>
  <c r="AP19" i="13"/>
  <c r="BU20" i="13"/>
  <c r="EL11" i="13"/>
  <c r="CB12" i="13"/>
  <c r="N84" i="13"/>
  <c r="FE13" i="13"/>
  <c r="X24" i="13"/>
  <c r="EY24" i="13"/>
  <c r="AT13" i="13"/>
  <c r="P84" i="13"/>
  <c r="P53" i="13"/>
  <c r="BY57" i="13"/>
  <c r="P54" i="13"/>
  <c r="P49" i="13"/>
  <c r="EI13" i="13"/>
  <c r="EY14" i="13"/>
  <c r="EZ14" i="13" s="1"/>
  <c r="X14" i="13"/>
  <c r="J14" i="13"/>
  <c r="BT59" i="13" s="1"/>
  <c r="G84" i="13"/>
  <c r="G53" i="13"/>
  <c r="G49" i="13"/>
  <c r="G54" i="13"/>
  <c r="EY13" i="13"/>
  <c r="EZ13" i="13" s="1"/>
  <c r="L50" i="13"/>
  <c r="FE21" i="13"/>
  <c r="FC21" i="13"/>
  <c r="AP21" i="13"/>
  <c r="AT21" i="13"/>
  <c r="M21" i="13"/>
  <c r="EY22" i="13"/>
  <c r="X22" i="13"/>
  <c r="E53" i="13"/>
  <c r="E54" i="13"/>
  <c r="E49" i="13"/>
  <c r="E51" i="13"/>
  <c r="P51" i="13"/>
  <c r="BY59" i="13"/>
  <c r="FC17" i="13"/>
  <c r="FC19" i="13"/>
  <c r="AP20" i="13"/>
  <c r="G51" i="13"/>
  <c r="EI16" i="13"/>
  <c r="BT61" i="13"/>
  <c r="FE17" i="13"/>
  <c r="EI18" i="13"/>
  <c r="FE19" i="13"/>
  <c r="M14" i="13"/>
  <c r="AP22" i="13"/>
  <c r="AP24" i="13"/>
  <c r="AO25" i="13"/>
  <c r="AP14" i="13"/>
  <c r="BU15" i="13"/>
  <c r="O16" i="13"/>
  <c r="BW61" i="13"/>
  <c r="BV61" i="13"/>
  <c r="AU17" i="13"/>
  <c r="BU17" i="13"/>
  <c r="ET17" i="13"/>
  <c r="O18" i="13"/>
  <c r="BU19" i="13"/>
  <c r="AO21" i="13"/>
  <c r="BU21" i="13"/>
  <c r="AP27" i="13"/>
  <c r="FE27" i="13"/>
  <c r="FC27" i="13"/>
  <c r="M27" i="13"/>
  <c r="FC16" i="13"/>
  <c r="FC18" i="13"/>
  <c r="BY64" i="13"/>
  <c r="EI20" i="13"/>
  <c r="AO23" i="13"/>
  <c r="BU23" i="13"/>
  <c r="BY68" i="13"/>
  <c r="FC24" i="13"/>
  <c r="O24" i="13"/>
  <c r="EI24" i="13"/>
  <c r="AP29" i="13"/>
  <c r="EY20" i="13"/>
  <c r="EZ20" i="13" s="1"/>
  <c r="BY66" i="13"/>
  <c r="FC22" i="13"/>
  <c r="EI22" i="13"/>
  <c r="FE25" i="13"/>
  <c r="AP25" i="13"/>
  <c r="FC25" i="13"/>
  <c r="M25" i="13"/>
  <c r="EY26" i="13"/>
  <c r="M28" i="13"/>
  <c r="AT28" i="13"/>
  <c r="AT26" i="13"/>
  <c r="M26" i="13"/>
  <c r="AP30" i="13"/>
  <c r="FE30" i="13"/>
  <c r="FC30" i="13"/>
  <c r="M30" i="13"/>
  <c r="AT30" i="13"/>
  <c r="E50" i="13"/>
  <c r="O23" i="13"/>
  <c r="O25" i="13"/>
  <c r="G50" i="13"/>
  <c r="BY65" i="13"/>
  <c r="P50" i="13"/>
  <c r="X26" i="13"/>
  <c r="X27" i="13"/>
  <c r="BY72" i="13"/>
  <c r="O28" i="13"/>
  <c r="EI28" i="13"/>
  <c r="AO31" i="13"/>
  <c r="BU31" i="13"/>
  <c r="H84" i="13"/>
  <c r="M22" i="13"/>
  <c r="M24" i="13"/>
  <c r="AT24" i="13"/>
  <c r="M31" i="13"/>
  <c r="AT31" i="13"/>
  <c r="J23" i="13"/>
  <c r="BV66" i="13" s="1"/>
  <c r="BY70" i="13"/>
  <c r="X28" i="13"/>
  <c r="EY28" i="13"/>
  <c r="AO29" i="13"/>
  <c r="BU30" i="13"/>
  <c r="AO34" i="13"/>
  <c r="BU34" i="13"/>
  <c r="O27" i="13"/>
  <c r="EI31" i="13"/>
  <c r="AP33" i="13"/>
  <c r="AO33" i="13"/>
  <c r="BU33" i="13"/>
  <c r="O35" i="13"/>
  <c r="EY36" i="13"/>
  <c r="FC31" i="13"/>
  <c r="AP32" i="13"/>
  <c r="FE32" i="13"/>
  <c r="AT33" i="13"/>
  <c r="M36" i="13"/>
  <c r="AT36" i="13"/>
  <c r="FC28" i="13"/>
  <c r="J29" i="13"/>
  <c r="BV72" i="13" s="1"/>
  <c r="AS29" i="13"/>
  <c r="EI29" i="13"/>
  <c r="EY29" i="13"/>
  <c r="AO30" i="13"/>
  <c r="FE31" i="13"/>
  <c r="M32" i="13"/>
  <c r="J35" i="13"/>
  <c r="EY35" i="13"/>
  <c r="AT29" i="13"/>
  <c r="FC33" i="13"/>
  <c r="FC34" i="13"/>
  <c r="AP34" i="13"/>
  <c r="BU35" i="13"/>
  <c r="EI32" i="13"/>
  <c r="EY31" i="13"/>
  <c r="AO36" i="13"/>
  <c r="EY38" i="13"/>
  <c r="X38" i="13"/>
  <c r="X37" i="13"/>
  <c r="M38" i="13"/>
  <c r="AT38" i="13"/>
  <c r="AP35" i="13"/>
  <c r="M37" i="13"/>
  <c r="AT37" i="13"/>
  <c r="FC35" i="13"/>
  <c r="EY37" i="13"/>
  <c r="AP39" i="13"/>
  <c r="FE35" i="13"/>
  <c r="FE36" i="13"/>
  <c r="FC36" i="13"/>
  <c r="L93" i="13"/>
  <c r="FC41" i="13"/>
  <c r="AP41" i="13"/>
  <c r="FC42" i="13"/>
  <c r="AP42" i="13"/>
  <c r="AP43" i="13"/>
  <c r="BU46" i="13"/>
  <c r="BU36" i="13"/>
  <c r="FC40" i="13"/>
  <c r="AP40" i="13"/>
  <c r="FE40" i="13"/>
  <c r="FC37" i="13"/>
  <c r="M78" i="13"/>
  <c r="BU39" i="13"/>
  <c r="BU40" i="13"/>
  <c r="BU41" i="13"/>
  <c r="BU42" i="13"/>
  <c r="BU43" i="13"/>
  <c r="BU44" i="13"/>
  <c r="X45" i="13"/>
  <c r="O46" i="13"/>
  <c r="O39" i="13"/>
  <c r="O40" i="13"/>
  <c r="O41" i="13"/>
  <c r="O42" i="13"/>
  <c r="O43" i="13"/>
  <c r="AP44" i="13"/>
  <c r="AP38" i="13"/>
  <c r="AP46" i="13"/>
  <c r="W20" i="5"/>
  <c r="N13" i="1"/>
  <c r="Y31" i="3"/>
  <c r="Y36" i="1"/>
  <c r="EY36" i="1"/>
  <c r="EZ36" i="1" s="1"/>
  <c r="M36" i="1"/>
  <c r="AT36" i="1"/>
  <c r="AS14" i="1"/>
  <c r="Z9" i="3"/>
  <c r="G8" i="2"/>
  <c r="E51" i="1"/>
  <c r="S40" i="11"/>
  <c r="U97" i="11"/>
  <c r="W42" i="11"/>
  <c r="U100" i="11"/>
  <c r="W45" i="11"/>
  <c r="V14" i="3"/>
  <c r="EY19" i="1"/>
  <c r="EZ19" i="1" s="1"/>
  <c r="X19" i="1"/>
  <c r="E13" i="2"/>
  <c r="Q25" i="3"/>
  <c r="AT30" i="1"/>
  <c r="J24" i="2"/>
  <c r="BE24" i="2" s="1"/>
  <c r="FE30" i="1"/>
  <c r="F30" i="2"/>
  <c r="I11" i="4"/>
  <c r="AY29" i="4" s="1"/>
  <c r="AC11" i="3"/>
  <c r="S46" i="4"/>
  <c r="BI11" i="4"/>
  <c r="BH11" i="4"/>
  <c r="BG11" i="4"/>
  <c r="M23" i="1"/>
  <c r="F17" i="2"/>
  <c r="Y17" i="2" s="1"/>
  <c r="AT23" i="1"/>
  <c r="Y18" i="3"/>
  <c r="Y23" i="1"/>
  <c r="BW23" i="1" s="1"/>
  <c r="BJ9" i="4"/>
  <c r="AS12" i="9"/>
  <c r="AT12" i="9"/>
  <c r="AU12" i="9"/>
  <c r="EL8" i="1"/>
  <c r="DH8" i="1"/>
  <c r="AJ8" i="1"/>
  <c r="G17" i="2"/>
  <c r="AS23" i="1"/>
  <c r="Z18" i="3"/>
  <c r="E54" i="1"/>
  <c r="EY32" i="1"/>
  <c r="EZ32" i="1" s="1"/>
  <c r="V27" i="3"/>
  <c r="X32" i="1"/>
  <c r="E26" i="2"/>
  <c r="AT26" i="9"/>
  <c r="AJ26" i="9"/>
  <c r="AU26" i="9"/>
  <c r="S26" i="9"/>
  <c r="S26" i="11" s="1"/>
  <c r="BY10" i="1"/>
  <c r="AO21" i="1"/>
  <c r="BU21" i="1"/>
  <c r="J23" i="1"/>
  <c r="BU66" i="1" s="1"/>
  <c r="R18" i="2"/>
  <c r="R84" i="1"/>
  <c r="V21" i="3"/>
  <c r="X26" i="1"/>
  <c r="EY26" i="1"/>
  <c r="EZ26" i="1" s="1"/>
  <c r="E20" i="2"/>
  <c r="J26" i="1"/>
  <c r="C26" i="1" s="1"/>
  <c r="CH154" i="5"/>
  <c r="BO62" i="1"/>
  <c r="BY7" i="1"/>
  <c r="EW9" i="1"/>
  <c r="CB9" i="1"/>
  <c r="CA9" i="1"/>
  <c r="Y21" i="3"/>
  <c r="Y26" i="1"/>
  <c r="BW26" i="1" s="1"/>
  <c r="AT26" i="1"/>
  <c r="M26" i="1"/>
  <c r="F20" i="2"/>
  <c r="Y24" i="2"/>
  <c r="F36" i="8"/>
  <c r="AD34" i="2"/>
  <c r="BV40" i="1"/>
  <c r="EW12" i="1"/>
  <c r="BZ12" i="1"/>
  <c r="CB12" i="1"/>
  <c r="CA12" i="1"/>
  <c r="E50" i="1"/>
  <c r="BQ23" i="4"/>
  <c r="AI23" i="4"/>
  <c r="Y14" i="10"/>
  <c r="AC20" i="1"/>
  <c r="Q5" i="12"/>
  <c r="O55" i="12"/>
  <c r="AC23" i="3"/>
  <c r="BI23" i="4"/>
  <c r="BH23" i="4"/>
  <c r="BG23" i="4"/>
  <c r="BG45" i="4" s="1"/>
  <c r="Q4" i="12"/>
  <c r="O54" i="12"/>
  <c r="BZ7" i="1"/>
  <c r="CB7" i="1"/>
  <c r="CA7" i="1"/>
  <c r="EW7" i="1"/>
  <c r="R27" i="2"/>
  <c r="Y33" i="1"/>
  <c r="E38" i="7"/>
  <c r="U38" i="7" s="1"/>
  <c r="E40" i="2"/>
  <c r="X46" i="1"/>
  <c r="V41" i="3"/>
  <c r="U114" i="11"/>
  <c r="R86" i="11"/>
  <c r="AC86" i="11" s="1"/>
  <c r="AA228" i="11" s="1"/>
  <c r="G22" i="7"/>
  <c r="X25" i="3" s="1"/>
  <c r="BZ9" i="1"/>
  <c r="AM48" i="4"/>
  <c r="AN66" i="5"/>
  <c r="I27" i="7"/>
  <c r="K27" i="7" s="1"/>
  <c r="AD32" i="2"/>
  <c r="BV38" i="1"/>
  <c r="AC47" i="11"/>
  <c r="AA157" i="11" s="1"/>
  <c r="O105" i="11"/>
  <c r="U50" i="11"/>
  <c r="R50" i="11"/>
  <c r="U53" i="11"/>
  <c r="R53" i="11"/>
  <c r="O108" i="11"/>
  <c r="U116" i="11"/>
  <c r="W61" i="11"/>
  <c r="Q33" i="3"/>
  <c r="J32" i="2"/>
  <c r="BE32" i="2" s="1"/>
  <c r="AP38" i="1"/>
  <c r="AT38" i="1"/>
  <c r="FE38" i="1"/>
  <c r="AM52" i="11"/>
  <c r="AL52" i="11" s="1"/>
  <c r="AL51" i="11"/>
  <c r="V51" i="11" s="1"/>
  <c r="V106" i="11" s="1"/>
  <c r="EY14" i="1"/>
  <c r="EZ14" i="1" s="1"/>
  <c r="X14" i="1"/>
  <c r="E8" i="2"/>
  <c r="V9" i="3"/>
  <c r="J14" i="1"/>
  <c r="BU59" i="1" s="1"/>
  <c r="G54" i="1"/>
  <c r="M38" i="1"/>
  <c r="N28" i="8"/>
  <c r="L28" i="8"/>
  <c r="S7" i="2"/>
  <c r="G13" i="2"/>
  <c r="Z14" i="3"/>
  <c r="EZ24" i="1"/>
  <c r="S46" i="1"/>
  <c r="S40" i="2" s="1"/>
  <c r="F43" i="2"/>
  <c r="D34" i="5"/>
  <c r="BY34" i="5"/>
  <c r="CE34" i="5" s="1"/>
  <c r="DL34" i="5" s="1"/>
  <c r="DM34" i="5" s="1"/>
  <c r="F16" i="7"/>
  <c r="W19" i="3" s="1"/>
  <c r="AF19" i="3" s="1"/>
  <c r="T16" i="7"/>
  <c r="N16" i="7"/>
  <c r="D16" i="7" s="1"/>
  <c r="I16" i="7" s="1"/>
  <c r="K16" i="7" s="1"/>
  <c r="P16" i="7"/>
  <c r="AJ12" i="9"/>
  <c r="AC12" i="9"/>
  <c r="H17" i="10" s="1"/>
  <c r="L17" i="10" s="1"/>
  <c r="AD23" i="1" s="1"/>
  <c r="S12" i="9"/>
  <c r="S12" i="11" s="1"/>
  <c r="R10" i="9"/>
  <c r="S28" i="9"/>
  <c r="S28" i="11" s="1"/>
  <c r="AJ28" i="9"/>
  <c r="AC28" i="9"/>
  <c r="H33" i="10" s="1"/>
  <c r="L33" i="10" s="1"/>
  <c r="AD39" i="1" s="1"/>
  <c r="AL44" i="9"/>
  <c r="V44" i="9"/>
  <c r="V99" i="9" s="1"/>
  <c r="I99" i="9"/>
  <c r="R72" i="9"/>
  <c r="AC72" i="9" s="1"/>
  <c r="AA214" i="9" s="1"/>
  <c r="O100" i="9"/>
  <c r="AC40" i="11"/>
  <c r="AA150" i="11" s="1"/>
  <c r="W95" i="11"/>
  <c r="AC95" i="11" s="1"/>
  <c r="V53" i="11"/>
  <c r="V108" i="11" s="1"/>
  <c r="P108" i="11"/>
  <c r="BW21" i="1"/>
  <c r="AO27" i="1"/>
  <c r="L14" i="1"/>
  <c r="AP30" i="1" s="1"/>
  <c r="O9" i="3"/>
  <c r="BH14" i="4"/>
  <c r="I14" i="4"/>
  <c r="BG14" i="4"/>
  <c r="BI14" i="4"/>
  <c r="AC14" i="3"/>
  <c r="G25" i="7"/>
  <c r="X28" i="3" s="1"/>
  <c r="AF28" i="3" s="1"/>
  <c r="Z30" i="3"/>
  <c r="G29" i="2"/>
  <c r="AS35" i="1"/>
  <c r="J31" i="8"/>
  <c r="P31" i="8" s="1"/>
  <c r="X31" i="8"/>
  <c r="K35" i="11"/>
  <c r="O35" i="9"/>
  <c r="R35" i="9" s="1"/>
  <c r="AL41" i="9"/>
  <c r="I96" i="9"/>
  <c r="U41" i="9"/>
  <c r="V41" i="9"/>
  <c r="V96" i="9" s="1"/>
  <c r="R75" i="11"/>
  <c r="O103" i="11"/>
  <c r="AC7" i="2"/>
  <c r="BS18" i="1"/>
  <c r="AC12" i="2"/>
  <c r="AE12" i="2" s="1"/>
  <c r="X20" i="1"/>
  <c r="E14" i="2"/>
  <c r="EY20" i="1"/>
  <c r="EZ20" i="1" s="1"/>
  <c r="E36" i="7"/>
  <c r="U36" i="7" s="1"/>
  <c r="E38" i="2"/>
  <c r="X44" i="1"/>
  <c r="V39" i="3"/>
  <c r="BQ10" i="4"/>
  <c r="AI10" i="4"/>
  <c r="I46" i="4"/>
  <c r="I7" i="5"/>
  <c r="J7" i="5" s="1"/>
  <c r="AS58" i="5"/>
  <c r="T25" i="7"/>
  <c r="AL56" i="9"/>
  <c r="G56" i="9" s="1"/>
  <c r="AD16" i="2"/>
  <c r="R31" i="10"/>
  <c r="AC32" i="11"/>
  <c r="O107" i="11"/>
  <c r="Z12" i="3"/>
  <c r="AA12" i="3" s="1"/>
  <c r="J17" i="1"/>
  <c r="BU61" i="1"/>
  <c r="G11" i="2"/>
  <c r="AE18" i="1"/>
  <c r="AT22" i="1"/>
  <c r="F16" i="2"/>
  <c r="Y22" i="1"/>
  <c r="BW22" i="1" s="1"/>
  <c r="Y25" i="1"/>
  <c r="F19" i="2"/>
  <c r="EY25" i="1"/>
  <c r="EZ25" i="1" s="1"/>
  <c r="AT34" i="1"/>
  <c r="Y34" i="1"/>
  <c r="F28" i="2"/>
  <c r="Y28" i="2" s="1"/>
  <c r="EY34" i="1"/>
  <c r="EZ34" i="1" s="1"/>
  <c r="Y29" i="3"/>
  <c r="F18" i="8"/>
  <c r="R18" i="8" s="1"/>
  <c r="N18" i="8"/>
  <c r="S33" i="1"/>
  <c r="S27" i="2" s="1"/>
  <c r="N39" i="8"/>
  <c r="F39" i="8"/>
  <c r="R91" i="9"/>
  <c r="BW19" i="1"/>
  <c r="Y17" i="3"/>
  <c r="AG17" i="3" s="1"/>
  <c r="O36" i="3"/>
  <c r="L41" i="1"/>
  <c r="X46" i="4"/>
  <c r="BQ36" i="4"/>
  <c r="AY36" i="4"/>
  <c r="AI36" i="4"/>
  <c r="CG33" i="5"/>
  <c r="N26" i="8"/>
  <c r="P49" i="9"/>
  <c r="G104" i="9"/>
  <c r="AL20" i="11"/>
  <c r="AL26" i="11" s="1"/>
  <c r="AL27" i="11" s="1"/>
  <c r="AL28" i="11" s="1"/>
  <c r="AL29" i="11" s="1"/>
  <c r="AL30" i="11" s="1"/>
  <c r="AL31" i="11" s="1"/>
  <c r="AL32" i="11" s="1"/>
  <c r="AL35" i="11" s="1"/>
  <c r="AT20" i="11"/>
  <c r="AV20" i="11" s="1"/>
  <c r="AH20" i="11"/>
  <c r="AM20" i="11"/>
  <c r="AM26" i="11" s="1"/>
  <c r="AM27" i="11" s="1"/>
  <c r="AM28" i="11" s="1"/>
  <c r="AM29" i="11" s="1"/>
  <c r="AM30" i="11" s="1"/>
  <c r="AM31" i="11" s="1"/>
  <c r="AM32" i="11" s="1"/>
  <c r="AM35" i="11" s="1"/>
  <c r="AU20" i="11"/>
  <c r="E49" i="1"/>
  <c r="E53" i="1"/>
  <c r="O41" i="3"/>
  <c r="L46" i="1"/>
  <c r="BE10" i="4"/>
  <c r="BH25" i="4"/>
  <c r="BI25" i="4"/>
  <c r="I25" i="4"/>
  <c r="AC25" i="3"/>
  <c r="BG25" i="4"/>
  <c r="CC3" i="5"/>
  <c r="BW3" i="5"/>
  <c r="F22" i="8"/>
  <c r="L23" i="8"/>
  <c r="Y10" i="10"/>
  <c r="AC16" i="1"/>
  <c r="L38" i="10"/>
  <c r="AD44" i="1" s="1"/>
  <c r="AJ18" i="11"/>
  <c r="Q17" i="3"/>
  <c r="FE22" i="1"/>
  <c r="AP34" i="1"/>
  <c r="J28" i="2"/>
  <c r="BE28" i="2" s="1"/>
  <c r="Q29" i="3"/>
  <c r="FE34" i="1"/>
  <c r="AO38" i="1"/>
  <c r="BU38" i="1"/>
  <c r="FE27" i="1"/>
  <c r="Q22" i="3"/>
  <c r="AG28" i="3"/>
  <c r="AP43" i="1"/>
  <c r="J37" i="2"/>
  <c r="BE37" i="2" s="1"/>
  <c r="BG9" i="4"/>
  <c r="AC9" i="3"/>
  <c r="I9" i="4"/>
  <c r="I48" i="4" s="1"/>
  <c r="CD3" i="5"/>
  <c r="BX3" i="5"/>
  <c r="P17" i="7"/>
  <c r="F17" i="7"/>
  <c r="W20" i="3" s="1"/>
  <c r="N17" i="7"/>
  <c r="D17" i="7" s="1"/>
  <c r="W17" i="7"/>
  <c r="N15" i="8"/>
  <c r="F15" i="8"/>
  <c r="R15" i="8" s="1"/>
  <c r="L24" i="8"/>
  <c r="AL39" i="9"/>
  <c r="V39" i="9"/>
  <c r="V94" i="9" s="1"/>
  <c r="AC15" i="11"/>
  <c r="AJ15" i="11"/>
  <c r="U39" i="11"/>
  <c r="V39" i="11"/>
  <c r="V94" i="11" s="1"/>
  <c r="I94" i="11"/>
  <c r="AL39" i="11"/>
  <c r="M22" i="1"/>
  <c r="M34" i="1"/>
  <c r="X12" i="2"/>
  <c r="Y20" i="3"/>
  <c r="BG33" i="4"/>
  <c r="I33" i="4"/>
  <c r="BI33" i="4"/>
  <c r="BH33" i="4"/>
  <c r="AC33" i="3"/>
  <c r="BX30" i="5"/>
  <c r="CD30" i="5" s="1"/>
  <c r="CG30" i="5" s="1"/>
  <c r="D73" i="5"/>
  <c r="C73" i="5"/>
  <c r="G17" i="7"/>
  <c r="X20" i="3" s="1"/>
  <c r="G19" i="7"/>
  <c r="X22" i="3" s="1"/>
  <c r="AF22" i="3" s="1"/>
  <c r="L10" i="8"/>
  <c r="L16" i="8"/>
  <c r="R39" i="9"/>
  <c r="U39" i="9"/>
  <c r="O94" i="9"/>
  <c r="V54" i="9"/>
  <c r="V109" i="9" s="1"/>
  <c r="P109" i="9"/>
  <c r="AT45" i="1"/>
  <c r="Y40" i="3"/>
  <c r="AG40" i="3" s="1"/>
  <c r="F39" i="2"/>
  <c r="Y45" i="1"/>
  <c r="AD43" i="2"/>
  <c r="O22" i="3"/>
  <c r="O38" i="3"/>
  <c r="T33" i="5"/>
  <c r="T17" i="7"/>
  <c r="X17" i="7" s="1"/>
  <c r="N12" i="8"/>
  <c r="L12" i="8"/>
  <c r="AJ20" i="9"/>
  <c r="AC20" i="9"/>
  <c r="H25" i="10" s="1"/>
  <c r="L25" i="10" s="1"/>
  <c r="AD31" i="1" s="1"/>
  <c r="I94" i="9"/>
  <c r="Y11" i="10"/>
  <c r="AC17" i="1"/>
  <c r="BV22" i="1"/>
  <c r="N37" i="1"/>
  <c r="BU39" i="1"/>
  <c r="Y31" i="2"/>
  <c r="O27" i="3"/>
  <c r="L32" i="1"/>
  <c r="Q38" i="3"/>
  <c r="BQ24" i="4"/>
  <c r="AI29" i="4"/>
  <c r="BQ29" i="4"/>
  <c r="F24" i="7"/>
  <c r="W27" i="3" s="1"/>
  <c r="AF27" i="3" s="1"/>
  <c r="AG27" i="3" s="1"/>
  <c r="P24" i="7"/>
  <c r="T24" i="7"/>
  <c r="W24" i="7" s="1"/>
  <c r="N24" i="7"/>
  <c r="D24" i="7" s="1"/>
  <c r="I24" i="7" s="1"/>
  <c r="K24" i="7" s="1"/>
  <c r="Y26" i="7"/>
  <c r="W26" i="7"/>
  <c r="Q26" i="7"/>
  <c r="G28" i="7"/>
  <c r="X31" i="3" s="1"/>
  <c r="F21" i="8"/>
  <c r="O15" i="9"/>
  <c r="F16" i="9"/>
  <c r="F17" i="9"/>
  <c r="S20" i="9"/>
  <c r="S20" i="11" s="1"/>
  <c r="O105" i="9"/>
  <c r="U50" i="9"/>
  <c r="R50" i="9"/>
  <c r="O54" i="9"/>
  <c r="R61" i="9"/>
  <c r="U61" i="9"/>
  <c r="P112" i="9"/>
  <c r="V112" i="9"/>
  <c r="Z115" i="9"/>
  <c r="Z88" i="9"/>
  <c r="AJ13" i="11"/>
  <c r="AC13" i="11"/>
  <c r="R12" i="12"/>
  <c r="O60" i="12"/>
  <c r="Q10" i="12"/>
  <c r="CB8" i="1"/>
  <c r="FE21" i="1"/>
  <c r="Q16" i="3"/>
  <c r="J15" i="2"/>
  <c r="BH24" i="4"/>
  <c r="BI24" i="4"/>
  <c r="BI45" i="4" s="1"/>
  <c r="AC24" i="3"/>
  <c r="BG24" i="4"/>
  <c r="G53" i="5"/>
  <c r="T28" i="7"/>
  <c r="X28" i="7" s="1"/>
  <c r="F9" i="8"/>
  <c r="N37" i="8"/>
  <c r="F37" i="8"/>
  <c r="R37" i="8" s="1"/>
  <c r="F38" i="8"/>
  <c r="G17" i="9"/>
  <c r="P17" i="9" s="1"/>
  <c r="G16" i="9"/>
  <c r="P16" i="9" s="1"/>
  <c r="AJ32" i="9"/>
  <c r="AC32" i="9"/>
  <c r="H37" i="10" s="1"/>
  <c r="L37" i="10" s="1"/>
  <c r="AD43" i="1" s="1"/>
  <c r="W45" i="9"/>
  <c r="U100" i="9"/>
  <c r="U95" i="11"/>
  <c r="O59" i="12"/>
  <c r="Q9" i="12"/>
  <c r="Y49" i="1"/>
  <c r="BH9" i="4"/>
  <c r="BF45" i="4"/>
  <c r="N13" i="7"/>
  <c r="D13" i="7" s="1"/>
  <c r="F13" i="7"/>
  <c r="W16" i="3" s="1"/>
  <c r="P13" i="7"/>
  <c r="N9" i="8"/>
  <c r="L9" i="8"/>
  <c r="S17" i="1"/>
  <c r="N34" i="8"/>
  <c r="F34" i="8"/>
  <c r="AC13" i="9"/>
  <c r="H18" i="10" s="1"/>
  <c r="L18" i="10" s="1"/>
  <c r="AD24" i="1" s="1"/>
  <c r="I15" i="9"/>
  <c r="F109" i="9"/>
  <c r="R21" i="10"/>
  <c r="C21" i="10"/>
  <c r="F21" i="10" s="1"/>
  <c r="AC11" i="11"/>
  <c r="AJ11" i="11"/>
  <c r="AJ16" i="11"/>
  <c r="AC16" i="11"/>
  <c r="BS13" i="1"/>
  <c r="L16" i="1"/>
  <c r="Q13" i="3"/>
  <c r="AT18" i="1"/>
  <c r="J12" i="2"/>
  <c r="BE12" i="2" s="1"/>
  <c r="FE18" i="1"/>
  <c r="J35" i="1"/>
  <c r="BI9" i="4"/>
  <c r="AN12" i="4"/>
  <c r="BE12" i="4" s="1"/>
  <c r="AL46" i="4"/>
  <c r="AI24" i="4"/>
  <c r="AI41" i="4"/>
  <c r="G13" i="7"/>
  <c r="X16" i="3" s="1"/>
  <c r="F15" i="7"/>
  <c r="W18" i="3" s="1"/>
  <c r="AF18" i="3" s="1"/>
  <c r="T15" i="7"/>
  <c r="W15" i="7" s="1"/>
  <c r="P15" i="7"/>
  <c r="N15" i="7"/>
  <c r="D15" i="7" s="1"/>
  <c r="AI26" i="7"/>
  <c r="N19" i="8"/>
  <c r="F19" i="8"/>
  <c r="R19" i="8" s="1"/>
  <c r="F20" i="8"/>
  <c r="R20" i="8" s="1"/>
  <c r="N21" i="8"/>
  <c r="AJ13" i="9"/>
  <c r="P15" i="9"/>
  <c r="AU30" i="9"/>
  <c r="AT30" i="9"/>
  <c r="AV30" i="9" s="1"/>
  <c r="S32" i="9"/>
  <c r="S32" i="11" s="1"/>
  <c r="U43" i="9"/>
  <c r="O98" i="9"/>
  <c r="R43" i="9"/>
  <c r="G109" i="9"/>
  <c r="W55" i="11"/>
  <c r="U110" i="11"/>
  <c r="R58" i="11"/>
  <c r="R113" i="11" s="1"/>
  <c r="O113" i="11"/>
  <c r="R89" i="11"/>
  <c r="AC89" i="11" s="1"/>
  <c r="U117" i="11"/>
  <c r="X40" i="8"/>
  <c r="H40" i="8"/>
  <c r="L33" i="1"/>
  <c r="O28" i="3"/>
  <c r="AW32" i="5"/>
  <c r="AY32" i="5" s="1"/>
  <c r="X30" i="8"/>
  <c r="H30" i="8"/>
  <c r="L30" i="8" s="1"/>
  <c r="O53" i="12"/>
  <c r="E16" i="2"/>
  <c r="EY22" i="1"/>
  <c r="EZ22" i="1" s="1"/>
  <c r="V17" i="3"/>
  <c r="X22" i="1"/>
  <c r="Q21" i="3"/>
  <c r="J20" i="2"/>
  <c r="BE20" i="2" s="1"/>
  <c r="R29" i="2"/>
  <c r="AE13" i="1"/>
  <c r="AW58" i="5"/>
  <c r="FE10" i="1"/>
  <c r="ET10" i="1"/>
  <c r="X35" i="2"/>
  <c r="X25" i="2"/>
  <c r="Q23" i="3"/>
  <c r="AP28" i="1"/>
  <c r="J22" i="2"/>
  <c r="BE22" i="2" s="1"/>
  <c r="FE28" i="1"/>
  <c r="J31" i="2"/>
  <c r="BE31" i="2" s="1"/>
  <c r="FE37" i="1"/>
  <c r="Q32" i="3"/>
  <c r="M28" i="1"/>
  <c r="M37" i="1"/>
  <c r="AS20" i="2"/>
  <c r="BS53" i="5"/>
  <c r="E73" i="5"/>
  <c r="V100" i="9"/>
  <c r="R35" i="10"/>
  <c r="C35" i="10"/>
  <c r="F35" i="10" s="1"/>
  <c r="G35" i="10" s="1"/>
  <c r="AC41" i="15" s="1"/>
  <c r="CA8" i="1"/>
  <c r="AJ11" i="1"/>
  <c r="F73" i="5"/>
  <c r="X33" i="2"/>
  <c r="J16" i="1"/>
  <c r="BU60" i="1" s="1"/>
  <c r="AC15" i="3"/>
  <c r="I15" i="4"/>
  <c r="BG15" i="4"/>
  <c r="BI15" i="4"/>
  <c r="BH15" i="4"/>
  <c r="BX10" i="1"/>
  <c r="X23" i="1"/>
  <c r="E17" i="2"/>
  <c r="EY23" i="1"/>
  <c r="EZ23" i="1" s="1"/>
  <c r="V22" i="3"/>
  <c r="EY27" i="1"/>
  <c r="EZ27" i="1" s="1"/>
  <c r="E21" i="2"/>
  <c r="AS29" i="1"/>
  <c r="X30" i="2"/>
  <c r="V15" i="3"/>
  <c r="AM46" i="4"/>
  <c r="T39" i="5"/>
  <c r="T13" i="7"/>
  <c r="W13" i="7" s="1"/>
  <c r="T22" i="7"/>
  <c r="X22" i="7" s="1"/>
  <c r="F22" i="7"/>
  <c r="W25" i="3" s="1"/>
  <c r="W22" i="7"/>
  <c r="P22" i="7"/>
  <c r="N22" i="7"/>
  <c r="D22" i="7" s="1"/>
  <c r="AJ30" i="9"/>
  <c r="AC30" i="9"/>
  <c r="H35" i="10" s="1"/>
  <c r="L35" i="10" s="1"/>
  <c r="AD41" i="1" s="1"/>
  <c r="S30" i="9"/>
  <c r="S30" i="11" s="1"/>
  <c r="O101" i="9"/>
  <c r="U46" i="9"/>
  <c r="R46" i="9"/>
  <c r="D36" i="10"/>
  <c r="F36" i="10" s="1"/>
  <c r="R36" i="10"/>
  <c r="V110" i="11"/>
  <c r="E24" i="2"/>
  <c r="X30" i="1"/>
  <c r="EY30" i="1"/>
  <c r="EZ30" i="1" s="1"/>
  <c r="BE7" i="2"/>
  <c r="Y16" i="2"/>
  <c r="Q19" i="8"/>
  <c r="S25" i="1" s="1"/>
  <c r="K23" i="9"/>
  <c r="O22" i="9"/>
  <c r="K22" i="11"/>
  <c r="V114" i="11"/>
  <c r="P114" i="11"/>
  <c r="R96" i="11"/>
  <c r="I34" i="4"/>
  <c r="BG34" i="4"/>
  <c r="AC34" i="3"/>
  <c r="BI34" i="4"/>
  <c r="P35" i="8"/>
  <c r="Q22" i="9"/>
  <c r="M23" i="9"/>
  <c r="S29" i="9"/>
  <c r="S29" i="11" s="1"/>
  <c r="AJ29" i="9"/>
  <c r="P98" i="11"/>
  <c r="AN16" i="4"/>
  <c r="AL45" i="4"/>
  <c r="BQ39" i="4"/>
  <c r="AY39" i="4"/>
  <c r="ET12" i="1"/>
  <c r="FE12" i="1"/>
  <c r="BU41" i="1"/>
  <c r="AC12" i="3"/>
  <c r="BI12" i="4"/>
  <c r="BH12" i="4"/>
  <c r="I12" i="4"/>
  <c r="BG12" i="4"/>
  <c r="AM45" i="4"/>
  <c r="AN32" i="4"/>
  <c r="BE32" i="4" s="1"/>
  <c r="P28" i="7"/>
  <c r="N28" i="7"/>
  <c r="D28" i="7" s="1"/>
  <c r="F28" i="7"/>
  <c r="W31" i="3" s="1"/>
  <c r="AF31" i="3" s="1"/>
  <c r="Q16" i="8"/>
  <c r="Q35" i="8"/>
  <c r="Z23" i="9"/>
  <c r="Z22" i="11"/>
  <c r="AL51" i="9"/>
  <c r="F51" i="9" s="1"/>
  <c r="R37" i="10"/>
  <c r="C37" i="10"/>
  <c r="F37" i="10" s="1"/>
  <c r="R43" i="11"/>
  <c r="R117" i="11"/>
  <c r="O56" i="12"/>
  <c r="Q6" i="12"/>
  <c r="S19" i="1"/>
  <c r="Z19" i="1" s="1"/>
  <c r="L38" i="8"/>
  <c r="N38" i="8"/>
  <c r="Z32" i="11"/>
  <c r="Z35" i="9"/>
  <c r="R44" i="9"/>
  <c r="O99" i="9"/>
  <c r="U44" i="9"/>
  <c r="H22" i="8"/>
  <c r="L22" i="8" s="1"/>
  <c r="X22" i="8"/>
  <c r="V103" i="11"/>
  <c r="BU17" i="1"/>
  <c r="AO17" i="1"/>
  <c r="S48" i="4"/>
  <c r="BI8" i="4"/>
  <c r="S49" i="4"/>
  <c r="T29" i="7"/>
  <c r="AL19" i="9"/>
  <c r="AH19" i="9"/>
  <c r="AU19" i="9"/>
  <c r="S19" i="9"/>
  <c r="S19" i="11" s="1"/>
  <c r="AT19" i="9"/>
  <c r="AV19" i="9" s="1"/>
  <c r="U44" i="11"/>
  <c r="O99" i="11"/>
  <c r="BU37" i="1"/>
  <c r="X28" i="2"/>
  <c r="T42" i="5"/>
  <c r="AT73" i="5"/>
  <c r="P119" i="9"/>
  <c r="L14" i="10"/>
  <c r="R27" i="10"/>
  <c r="R30" i="10"/>
  <c r="C30" i="10"/>
  <c r="F30" i="10" s="1"/>
  <c r="AU31" i="11"/>
  <c r="AT31" i="11"/>
  <c r="AV31" i="11" s="1"/>
  <c r="V10" i="3"/>
  <c r="E9" i="2"/>
  <c r="X15" i="1"/>
  <c r="G51" i="1"/>
  <c r="J33" i="2"/>
  <c r="BE33" i="2" s="1"/>
  <c r="AI8" i="4"/>
  <c r="BR32" i="5"/>
  <c r="S18" i="1"/>
  <c r="N14" i="8"/>
  <c r="F14" i="8"/>
  <c r="R14" i="8" s="1"/>
  <c r="AU29" i="9"/>
  <c r="AT29" i="9"/>
  <c r="AV29" i="9" s="1"/>
  <c r="R64" i="9"/>
  <c r="AT29" i="11"/>
  <c r="AV29" i="11" s="1"/>
  <c r="AU29" i="11"/>
  <c r="AJ29" i="11"/>
  <c r="R44" i="11"/>
  <c r="I114" i="11"/>
  <c r="R61" i="11"/>
  <c r="R70" i="11"/>
  <c r="AC70" i="11" s="1"/>
  <c r="AA212" i="11" s="1"/>
  <c r="O98" i="11"/>
  <c r="R73" i="11"/>
  <c r="AC73" i="11" s="1"/>
  <c r="AA215" i="11" s="1"/>
  <c r="G84" i="1"/>
  <c r="X13" i="1"/>
  <c r="G53" i="1"/>
  <c r="V23" i="3"/>
  <c r="AL49" i="4"/>
  <c r="AL44" i="4"/>
  <c r="G32" i="5"/>
  <c r="P30" i="8"/>
  <c r="AU31" i="9"/>
  <c r="AT31" i="9"/>
  <c r="AV31" i="9" s="1"/>
  <c r="P99" i="11"/>
  <c r="R30" i="2"/>
  <c r="AC40" i="3"/>
  <c r="AM49" i="4"/>
  <c r="AM44" i="4"/>
  <c r="BH32" i="4"/>
  <c r="I32" i="4"/>
  <c r="BG32" i="4"/>
  <c r="BI32" i="4"/>
  <c r="AS68" i="5"/>
  <c r="AW31" i="5"/>
  <c r="G23" i="7"/>
  <c r="X26" i="3" s="1"/>
  <c r="AF26" i="3" s="1"/>
  <c r="AG26" i="3" s="1"/>
  <c r="F35" i="8"/>
  <c r="I39" i="8"/>
  <c r="L39" i="8" s="1"/>
  <c r="X39" i="8"/>
  <c r="AJ21" i="9"/>
  <c r="AC21" i="9"/>
  <c r="H26" i="10" s="1"/>
  <c r="Y9" i="10"/>
  <c r="L36" i="10"/>
  <c r="AD42" i="1" s="1"/>
  <c r="AL19" i="11"/>
  <c r="AL25" i="11" s="1"/>
  <c r="AC25" i="11"/>
  <c r="AJ25" i="11"/>
  <c r="X49" i="4"/>
  <c r="X44" i="4"/>
  <c r="Q14" i="3"/>
  <c r="F21" i="2"/>
  <c r="M27" i="1"/>
  <c r="Y22" i="3"/>
  <c r="AT27" i="1"/>
  <c r="FE36" i="1"/>
  <c r="J30" i="2"/>
  <c r="BE30" i="2" s="1"/>
  <c r="J34" i="2"/>
  <c r="BE34" i="2" s="1"/>
  <c r="Y13" i="2"/>
  <c r="Y26" i="2"/>
  <c r="AG24" i="3"/>
  <c r="L33" i="8"/>
  <c r="AA32" i="9"/>
  <c r="I50" i="9"/>
  <c r="I105" i="9" s="1"/>
  <c r="F105" i="9"/>
  <c r="F116" i="9"/>
  <c r="I61" i="9"/>
  <c r="I116" i="9" s="1"/>
  <c r="BY12" i="1"/>
  <c r="M19" i="1"/>
  <c r="Y21" i="2"/>
  <c r="R58" i="9"/>
  <c r="R113" i="9" s="1"/>
  <c r="R38" i="10"/>
  <c r="C38" i="10"/>
  <c r="F38" i="10" s="1"/>
  <c r="S51" i="11"/>
  <c r="BW14" i="1"/>
  <c r="E22" i="2"/>
  <c r="Y39" i="2"/>
  <c r="L17" i="1"/>
  <c r="O12" i="3"/>
  <c r="S44" i="4"/>
  <c r="X26" i="7"/>
  <c r="G26" i="7"/>
  <c r="X29" i="3" s="1"/>
  <c r="AH21" i="11"/>
  <c r="AL21" i="11"/>
  <c r="AU21" i="11"/>
  <c r="BX11" i="1"/>
  <c r="R20" i="2"/>
  <c r="Y28" i="1"/>
  <c r="Y23" i="3"/>
  <c r="AG23" i="3" s="1"/>
  <c r="F22" i="2"/>
  <c r="Q35" i="3"/>
  <c r="BY3" i="5"/>
  <c r="T31" i="5"/>
  <c r="T14" i="7"/>
  <c r="Q10" i="8"/>
  <c r="X34" i="8"/>
  <c r="P105" i="9"/>
  <c r="V50" i="9"/>
  <c r="V105" i="9" s="1"/>
  <c r="F55" i="9"/>
  <c r="G55" i="9"/>
  <c r="U117" i="9"/>
  <c r="O117" i="9"/>
  <c r="R89" i="9"/>
  <c r="Y8" i="10"/>
  <c r="R25" i="10"/>
  <c r="C33" i="10"/>
  <c r="F33" i="10" s="1"/>
  <c r="G33" i="10" s="1"/>
  <c r="AC39" i="15" s="1"/>
  <c r="R33" i="10"/>
  <c r="AJ19" i="11"/>
  <c r="AJ27" i="11"/>
  <c r="AC27" i="11"/>
  <c r="R49" i="11"/>
  <c r="O104" i="11"/>
  <c r="U49" i="11"/>
  <c r="O114" i="11"/>
  <c r="R59" i="11"/>
  <c r="BU16" i="1"/>
  <c r="EY18" i="1"/>
  <c r="EZ18" i="1" s="1"/>
  <c r="X18" i="1"/>
  <c r="V13" i="3"/>
  <c r="Y19" i="3"/>
  <c r="AG19" i="3" s="1"/>
  <c r="Y24" i="1"/>
  <c r="AT24" i="1"/>
  <c r="BU24" i="1"/>
  <c r="BU28" i="1"/>
  <c r="Y30" i="3"/>
  <c r="AG30" i="3" s="1"/>
  <c r="Y35" i="1"/>
  <c r="Q10" i="3"/>
  <c r="J9" i="2"/>
  <c r="AT15" i="1"/>
  <c r="Y16" i="3"/>
  <c r="M21" i="1"/>
  <c r="H84" i="1"/>
  <c r="AO24" i="1"/>
  <c r="AO28" i="1"/>
  <c r="G49" i="1"/>
  <c r="X31" i="2"/>
  <c r="Q39" i="3"/>
  <c r="AN8" i="4"/>
  <c r="AU71" i="5"/>
  <c r="AV71" i="5" s="1"/>
  <c r="P24" i="8"/>
  <c r="O35" i="8"/>
  <c r="AJ19" i="9"/>
  <c r="S21" i="9"/>
  <c r="S21" i="11" s="1"/>
  <c r="AU35" i="9"/>
  <c r="AT35" i="9"/>
  <c r="AV35" i="9" s="1"/>
  <c r="S45" i="9"/>
  <c r="G53" i="9"/>
  <c r="F53" i="9"/>
  <c r="O114" i="9"/>
  <c r="R59" i="9"/>
  <c r="R114" i="9" s="1"/>
  <c r="F26" i="10"/>
  <c r="F31" i="10"/>
  <c r="AM19" i="11"/>
  <c r="AM25" i="11" s="1"/>
  <c r="V40" i="11"/>
  <c r="V95" i="11" s="1"/>
  <c r="P95" i="11"/>
  <c r="R42" i="11"/>
  <c r="P97" i="11"/>
  <c r="V42" i="11"/>
  <c r="V97" i="11" s="1"/>
  <c r="V104" i="11"/>
  <c r="V28" i="3"/>
  <c r="E27" i="2"/>
  <c r="X15" i="7"/>
  <c r="P101" i="9"/>
  <c r="V46" i="9"/>
  <c r="V101" i="9" s="1"/>
  <c r="L24" i="10"/>
  <c r="AD30" i="1" s="1"/>
  <c r="AC14" i="11"/>
  <c r="AJ14" i="11"/>
  <c r="AC20" i="11"/>
  <c r="AJ20" i="11"/>
  <c r="S39" i="11"/>
  <c r="R94" i="11"/>
  <c r="W96" i="11"/>
  <c r="AC96" i="11" s="1"/>
  <c r="V50" i="11"/>
  <c r="V105" i="11" s="1"/>
  <c r="P105" i="11"/>
  <c r="U109" i="11"/>
  <c r="W54" i="11"/>
  <c r="Y31" i="1"/>
  <c r="BW31" i="1" s="1"/>
  <c r="EY29" i="1"/>
  <c r="EZ29" i="1" s="1"/>
  <c r="L25" i="1"/>
  <c r="M25" i="1" s="1"/>
  <c r="V32" i="3"/>
  <c r="EY37" i="1"/>
  <c r="EZ37" i="1" s="1"/>
  <c r="F32" i="2"/>
  <c r="Y38" i="1"/>
  <c r="BW38" i="1" s="1"/>
  <c r="BQ26" i="4"/>
  <c r="BQ53" i="5"/>
  <c r="R53" i="5"/>
  <c r="B73" i="5"/>
  <c r="W18" i="7"/>
  <c r="F8" i="8"/>
  <c r="R8" i="8" s="1"/>
  <c r="F23" i="8"/>
  <c r="R23" i="8" s="1"/>
  <c r="F24" i="8"/>
  <c r="N25" i="8"/>
  <c r="X26" i="8"/>
  <c r="X27" i="8"/>
  <c r="F30" i="8"/>
  <c r="N30" i="8"/>
  <c r="Q33" i="8"/>
  <c r="S39" i="1" s="1"/>
  <c r="S33" i="2" s="1"/>
  <c r="L34" i="8"/>
  <c r="R117" i="9"/>
  <c r="L12" i="10"/>
  <c r="Y12" i="10" s="1"/>
  <c r="R22" i="10"/>
  <c r="L39" i="10"/>
  <c r="AD45" i="1" s="1"/>
  <c r="AD39" i="2" s="1"/>
  <c r="AH18" i="11"/>
  <c r="AH22" i="11" s="1"/>
  <c r="AI22" i="11" s="1"/>
  <c r="AU18" i="11"/>
  <c r="AT18" i="11"/>
  <c r="AV18" i="11" s="1"/>
  <c r="AT30" i="11"/>
  <c r="AV30" i="11" s="1"/>
  <c r="AU30" i="11"/>
  <c r="AT32" i="11"/>
  <c r="AV32" i="11" s="1"/>
  <c r="AU32" i="11"/>
  <c r="E23" i="2"/>
  <c r="V26" i="3"/>
  <c r="X31" i="1"/>
  <c r="AY18" i="4"/>
  <c r="AI28" i="4"/>
  <c r="AY28" i="4"/>
  <c r="BQ28" i="4"/>
  <c r="N33" i="8"/>
  <c r="AC18" i="9"/>
  <c r="H23" i="10" s="1"/>
  <c r="AJ18" i="9"/>
  <c r="C23" i="1"/>
  <c r="BK23" i="1" s="1"/>
  <c r="J17" i="2"/>
  <c r="BE17" i="2" s="1"/>
  <c r="EY31" i="1"/>
  <c r="EZ31" i="1" s="1"/>
  <c r="AO36" i="1"/>
  <c r="Y7" i="2"/>
  <c r="T46" i="5"/>
  <c r="S15" i="1"/>
  <c r="S18" i="9"/>
  <c r="S18" i="11" s="1"/>
  <c r="AC17" i="11"/>
  <c r="L20" i="1"/>
  <c r="BU42" i="1"/>
  <c r="BI27" i="4"/>
  <c r="I27" i="4"/>
  <c r="BQ35" i="4"/>
  <c r="AI38" i="4"/>
  <c r="AW49" i="4"/>
  <c r="AW48" i="4"/>
  <c r="Q8" i="8"/>
  <c r="S14" i="1" s="1"/>
  <c r="N31" i="8"/>
  <c r="AU32" i="9"/>
  <c r="AT32" i="9"/>
  <c r="S42" i="9"/>
  <c r="G48" i="9"/>
  <c r="F48" i="9"/>
  <c r="R57" i="9"/>
  <c r="O115" i="9"/>
  <c r="R60" i="9"/>
  <c r="O97" i="9"/>
  <c r="AJ24" i="11"/>
  <c r="AT24" i="11"/>
  <c r="AV24" i="11" s="1"/>
  <c r="AC41" i="11"/>
  <c r="AA151" i="11" s="1"/>
  <c r="O112" i="11"/>
  <c r="R57" i="11"/>
  <c r="R112" i="11" s="1"/>
  <c r="R115" i="11"/>
  <c r="I117" i="11"/>
  <c r="O116" i="11"/>
  <c r="R88" i="11"/>
  <c r="AC88" i="11" s="1"/>
  <c r="AA230" i="11" s="1"/>
  <c r="EY16" i="1"/>
  <c r="EZ16" i="1" s="1"/>
  <c r="V11" i="3"/>
  <c r="E10" i="2"/>
  <c r="FE23" i="1"/>
  <c r="FE31" i="1"/>
  <c r="Y32" i="3"/>
  <c r="Y37" i="1"/>
  <c r="Y12" i="2"/>
  <c r="Q8" i="3"/>
  <c r="Q18" i="3"/>
  <c r="O19" i="3"/>
  <c r="BH16" i="4"/>
  <c r="S45" i="4"/>
  <c r="AU67" i="5"/>
  <c r="AV67" i="5" s="1"/>
  <c r="AY67" i="5" s="1"/>
  <c r="X18" i="7"/>
  <c r="AI27" i="7"/>
  <c r="N7" i="8"/>
  <c r="P16" i="8"/>
  <c r="X19" i="8"/>
  <c r="O26" i="8"/>
  <c r="S32" i="1" s="1"/>
  <c r="R28" i="8"/>
  <c r="O30" i="8"/>
  <c r="F33" i="8"/>
  <c r="AJ14" i="9"/>
  <c r="AC14" i="9"/>
  <c r="H19" i="10" s="1"/>
  <c r="L19" i="10" s="1"/>
  <c r="AD25" i="1" s="1"/>
  <c r="AU23" i="9"/>
  <c r="AV23" i="9" s="1"/>
  <c r="AU27" i="9"/>
  <c r="AT27" i="9"/>
  <c r="AV27" i="9" s="1"/>
  <c r="R40" i="9"/>
  <c r="U40" i="9"/>
  <c r="U42" i="9"/>
  <c r="O49" i="9"/>
  <c r="I49" i="9"/>
  <c r="I104" i="9" s="1"/>
  <c r="R84" i="9"/>
  <c r="AC84" i="9" s="1"/>
  <c r="AA226" i="9" s="1"/>
  <c r="R87" i="9"/>
  <c r="AC87" i="9" s="1"/>
  <c r="AA229" i="9" s="1"/>
  <c r="U115" i="9"/>
  <c r="O95" i="9"/>
  <c r="R97" i="9"/>
  <c r="Y7" i="10"/>
  <c r="AT35" i="11"/>
  <c r="AV35" i="11" s="1"/>
  <c r="AU35" i="11"/>
  <c r="O101" i="11"/>
  <c r="U46" i="11"/>
  <c r="R46" i="11"/>
  <c r="U103" i="11"/>
  <c r="W48" i="11"/>
  <c r="O110" i="11"/>
  <c r="R55" i="11"/>
  <c r="AC20" i="3"/>
  <c r="I30" i="4"/>
  <c r="BQ31" i="4"/>
  <c r="AY31" i="4"/>
  <c r="T44" i="5"/>
  <c r="T47" i="5"/>
  <c r="AC31" i="7"/>
  <c r="AF29" i="3"/>
  <c r="F11" i="8"/>
  <c r="R11" i="8" s="1"/>
  <c r="Q17" i="8"/>
  <c r="AL20" i="9"/>
  <c r="AM20" i="9"/>
  <c r="AH20" i="9"/>
  <c r="AU20" i="9"/>
  <c r="AV20" i="9" s="1"/>
  <c r="O96" i="9"/>
  <c r="R41" i="9"/>
  <c r="P98" i="9"/>
  <c r="V43" i="9"/>
  <c r="V98" i="9" s="1"/>
  <c r="P104" i="11"/>
  <c r="O117" i="11"/>
  <c r="AC28" i="3"/>
  <c r="BI28" i="4"/>
  <c r="AN40" i="4"/>
  <c r="AO73" i="5"/>
  <c r="T19" i="7"/>
  <c r="X19" i="7" s="1"/>
  <c r="P19" i="7"/>
  <c r="N19" i="7"/>
  <c r="D19" i="7" s="1"/>
  <c r="T23" i="7"/>
  <c r="X23" i="7" s="1"/>
  <c r="X21" i="8"/>
  <c r="I21" i="8"/>
  <c r="O21" i="8" s="1"/>
  <c r="S27" i="1" s="1"/>
  <c r="X25" i="8"/>
  <c r="F34" i="10"/>
  <c r="G34" i="10" s="1"/>
  <c r="AC40" i="15" s="1"/>
  <c r="AT22" i="11"/>
  <c r="AV22" i="11" s="1"/>
  <c r="AU22" i="11"/>
  <c r="AM22" i="11"/>
  <c r="AL22" i="11"/>
  <c r="U102" i="11"/>
  <c r="O102" i="11"/>
  <c r="CG155" i="5"/>
  <c r="CH155" i="5" s="1"/>
  <c r="F16" i="8"/>
  <c r="O28" i="8"/>
  <c r="S34" i="1" s="1"/>
  <c r="AT38" i="9"/>
  <c r="AU38" i="9" s="1"/>
  <c r="AN58" i="5"/>
  <c r="AQ58" i="5" s="1"/>
  <c r="CI156" i="5"/>
  <c r="CI155" i="5" s="1"/>
  <c r="O16" i="8"/>
  <c r="X32" i="8"/>
  <c r="H32" i="8"/>
  <c r="X36" i="8"/>
  <c r="H36" i="8"/>
  <c r="L36" i="8" s="1"/>
  <c r="S31" i="9"/>
  <c r="S31" i="11" s="1"/>
  <c r="I101" i="9"/>
  <c r="AL46" i="9"/>
  <c r="G47" i="9"/>
  <c r="AM47" i="9"/>
  <c r="AM51" i="9" s="1"/>
  <c r="AM52" i="9" s="1"/>
  <c r="AL52" i="9" s="1"/>
  <c r="F47" i="9"/>
  <c r="U56" i="11"/>
  <c r="R56" i="11"/>
  <c r="T20" i="7"/>
  <c r="X20" i="7" s="1"/>
  <c r="P20" i="7"/>
  <c r="P20" i="8"/>
  <c r="X23" i="8"/>
  <c r="AT32" i="1"/>
  <c r="CD66" i="5"/>
  <c r="CE66" i="5"/>
  <c r="DM50" i="5"/>
  <c r="G59" i="5"/>
  <c r="I9" i="5"/>
  <c r="J9" i="5" s="1"/>
  <c r="CF66" i="5"/>
  <c r="N29" i="7"/>
  <c r="D29" i="7" s="1"/>
  <c r="I29" i="7" s="1"/>
  <c r="K29" i="7" s="1"/>
  <c r="AL18" i="9"/>
  <c r="AS18" i="9"/>
  <c r="AM18" i="9"/>
  <c r="AL22" i="9"/>
  <c r="AT22" i="9"/>
  <c r="AV22" i="9" s="1"/>
  <c r="L26" i="10"/>
  <c r="AD32" i="1" s="1"/>
  <c r="F28" i="10"/>
  <c r="V45" i="11"/>
  <c r="V100" i="11" s="1"/>
  <c r="R47" i="11"/>
  <c r="R107" i="11"/>
  <c r="V54" i="11"/>
  <c r="V109" i="11" s="1"/>
  <c r="R87" i="11"/>
  <c r="AC87" i="11" s="1"/>
  <c r="AA229" i="11" s="1"/>
  <c r="AT21" i="9"/>
  <c r="AU21" i="9"/>
  <c r="L23" i="10"/>
  <c r="AD29" i="1" s="1"/>
  <c r="O96" i="11"/>
  <c r="G50" i="1"/>
  <c r="T81" i="5"/>
  <c r="E76" i="5"/>
  <c r="P8" i="6" s="1"/>
  <c r="T70" i="5"/>
  <c r="T89" i="5" s="1"/>
  <c r="T21" i="7"/>
  <c r="F10" i="8"/>
  <c r="X20" i="8"/>
  <c r="P25" i="8"/>
  <c r="AC115" i="9"/>
  <c r="B36" i="10" s="1"/>
  <c r="AJ21" i="11"/>
  <c r="P96" i="11"/>
  <c r="R64" i="11"/>
  <c r="R119" i="11" s="1"/>
  <c r="X24" i="8"/>
  <c r="O38" i="8"/>
  <c r="AJ31" i="11"/>
  <c r="U43" i="11"/>
  <c r="J30" i="15" l="1"/>
  <c r="AS30" i="15"/>
  <c r="BU73" i="15"/>
  <c r="AS19" i="13"/>
  <c r="J19" i="13"/>
  <c r="BT63" i="13" s="1"/>
  <c r="S29" i="15"/>
  <c r="T29" i="15" s="1"/>
  <c r="R33" i="8"/>
  <c r="Y27" i="7"/>
  <c r="R30" i="8"/>
  <c r="AS19" i="1"/>
  <c r="AA9" i="3"/>
  <c r="I30" i="7"/>
  <c r="K30" i="7" s="1"/>
  <c r="I18" i="7"/>
  <c r="K18" i="7" s="1"/>
  <c r="S39" i="15"/>
  <c r="I19" i="15"/>
  <c r="Q27" i="7"/>
  <c r="H29" i="2"/>
  <c r="L29" i="8"/>
  <c r="R29" i="8" s="1"/>
  <c r="I25" i="7"/>
  <c r="K25" i="7" s="1"/>
  <c r="BV66" i="1"/>
  <c r="I23" i="7"/>
  <c r="K23" i="7" s="1"/>
  <c r="AO37" i="15"/>
  <c r="I30" i="1"/>
  <c r="J29" i="1"/>
  <c r="AU29" i="1" s="1"/>
  <c r="X50" i="1"/>
  <c r="S33" i="15"/>
  <c r="T33" i="15" s="1"/>
  <c r="AG32" i="3"/>
  <c r="AF16" i="3"/>
  <c r="I17" i="7"/>
  <c r="K17" i="7" s="1"/>
  <c r="R36" i="8"/>
  <c r="BT66" i="1"/>
  <c r="AO32" i="13"/>
  <c r="I30" i="13"/>
  <c r="W19" i="7"/>
  <c r="S23" i="1"/>
  <c r="I26" i="7"/>
  <c r="K26" i="7" s="1"/>
  <c r="H11" i="2"/>
  <c r="AU11" i="2" s="1"/>
  <c r="Z29" i="15"/>
  <c r="AA29" i="15" s="1"/>
  <c r="K29" i="2"/>
  <c r="AU29" i="2"/>
  <c r="AC45" i="15"/>
  <c r="AE45" i="15" s="1"/>
  <c r="AC45" i="1"/>
  <c r="AC39" i="2" s="1"/>
  <c r="AE39" i="2" s="1"/>
  <c r="S19" i="2"/>
  <c r="T19" i="2" s="1"/>
  <c r="T25" i="1"/>
  <c r="T15" i="15"/>
  <c r="AC15" i="1"/>
  <c r="AC15" i="15"/>
  <c r="J23" i="15"/>
  <c r="BU66" i="15" s="1"/>
  <c r="I31" i="1"/>
  <c r="J31" i="1" s="1"/>
  <c r="BT74" i="1" s="1"/>
  <c r="I31" i="13"/>
  <c r="I31" i="15"/>
  <c r="I27" i="1"/>
  <c r="Z27" i="1" s="1"/>
  <c r="I27" i="15"/>
  <c r="I27" i="13"/>
  <c r="AD24" i="3"/>
  <c r="AF20" i="3"/>
  <c r="AG20" i="3" s="1"/>
  <c r="S23" i="15"/>
  <c r="T23" i="15" s="1"/>
  <c r="V17" i="13"/>
  <c r="BK17" i="13"/>
  <c r="AS14" i="15"/>
  <c r="J14" i="15"/>
  <c r="AC19" i="15"/>
  <c r="AC19" i="1"/>
  <c r="AS26" i="15"/>
  <c r="I40" i="1"/>
  <c r="I40" i="15"/>
  <c r="I40" i="13"/>
  <c r="AS40" i="13" s="1"/>
  <c r="S37" i="1"/>
  <c r="S31" i="2" s="1"/>
  <c r="S37" i="15"/>
  <c r="T37" i="15" s="1"/>
  <c r="I37" i="1"/>
  <c r="Z32" i="3" s="1"/>
  <c r="AA32" i="3" s="1"/>
  <c r="AD32" i="3" s="1"/>
  <c r="I37" i="13"/>
  <c r="I37" i="15"/>
  <c r="S14" i="15"/>
  <c r="N35" i="8"/>
  <c r="R35" i="8"/>
  <c r="I24" i="1"/>
  <c r="I24" i="15"/>
  <c r="I24" i="13"/>
  <c r="I32" i="1"/>
  <c r="J32" i="1" s="1"/>
  <c r="C32" i="1" s="1"/>
  <c r="I32" i="15"/>
  <c r="I32" i="13"/>
  <c r="I25" i="1"/>
  <c r="I25" i="15"/>
  <c r="I25" i="13"/>
  <c r="AT51" i="13"/>
  <c r="EN29" i="15"/>
  <c r="BT29" i="15"/>
  <c r="CX29" i="15" s="1"/>
  <c r="Z21" i="3"/>
  <c r="AA30" i="3"/>
  <c r="T21" i="1"/>
  <c r="AE17" i="15"/>
  <c r="EO17" i="15" s="1"/>
  <c r="AC14" i="1"/>
  <c r="AC14" i="15"/>
  <c r="S28" i="1"/>
  <c r="S28" i="15"/>
  <c r="T28" i="15" s="1"/>
  <c r="Q18" i="7"/>
  <c r="AI18" i="7"/>
  <c r="Y18" i="7"/>
  <c r="BU60" i="13"/>
  <c r="S35" i="15"/>
  <c r="I39" i="1"/>
  <c r="I39" i="13"/>
  <c r="AS39" i="13" s="1"/>
  <c r="I39" i="15"/>
  <c r="S36" i="15"/>
  <c r="T36" i="15" s="1"/>
  <c r="I44" i="1"/>
  <c r="I44" i="13"/>
  <c r="AS44" i="13" s="1"/>
  <c r="I44" i="15"/>
  <c r="AE40" i="15"/>
  <c r="BS40" i="15"/>
  <c r="S22" i="15"/>
  <c r="AS26" i="1"/>
  <c r="R12" i="8"/>
  <c r="Z28" i="3"/>
  <c r="BT59" i="1"/>
  <c r="AG21" i="3"/>
  <c r="X49" i="15"/>
  <c r="S16" i="15"/>
  <c r="S25" i="15"/>
  <c r="T25" i="15" s="1"/>
  <c r="I18" i="1"/>
  <c r="AS18" i="1" s="1"/>
  <c r="I18" i="13"/>
  <c r="I18" i="15"/>
  <c r="G27" i="2"/>
  <c r="Z27" i="2" s="1"/>
  <c r="C17" i="15"/>
  <c r="C10" i="17" s="1"/>
  <c r="S38" i="1"/>
  <c r="S20" i="1"/>
  <c r="T24" i="1"/>
  <c r="I22" i="1"/>
  <c r="I22" i="15"/>
  <c r="I22" i="13"/>
  <c r="R27" i="8"/>
  <c r="S16" i="1"/>
  <c r="I15" i="1"/>
  <c r="Z10" i="3" s="1"/>
  <c r="AA10" i="3" s="1"/>
  <c r="AD10" i="3" s="1"/>
  <c r="I15" i="15"/>
  <c r="I15" i="13"/>
  <c r="I13" i="1"/>
  <c r="J13" i="1" s="1"/>
  <c r="BW58" i="1" s="1"/>
  <c r="I13" i="15"/>
  <c r="I13" i="13"/>
  <c r="S31" i="1"/>
  <c r="S31" i="15"/>
  <c r="T31" i="15" s="1"/>
  <c r="BS41" i="15"/>
  <c r="AE41" i="15"/>
  <c r="X13" i="7"/>
  <c r="Z11" i="3"/>
  <c r="AA11" i="3" s="1"/>
  <c r="AD11" i="3" s="1"/>
  <c r="G23" i="2"/>
  <c r="D17" i="13"/>
  <c r="AS29" i="15"/>
  <c r="AO25" i="15"/>
  <c r="R13" i="8"/>
  <c r="X27" i="7"/>
  <c r="S27" i="15"/>
  <c r="T27" i="15" s="1"/>
  <c r="S30" i="1"/>
  <c r="S30" i="15"/>
  <c r="I34" i="1"/>
  <c r="J34" i="1" s="1"/>
  <c r="I34" i="15"/>
  <c r="I34" i="13"/>
  <c r="I43" i="1"/>
  <c r="Z38" i="3" s="1"/>
  <c r="I43" i="13"/>
  <c r="AS43" i="13" s="1"/>
  <c r="I43" i="15"/>
  <c r="E47" i="2"/>
  <c r="AG31" i="3"/>
  <c r="J33" i="13"/>
  <c r="C33" i="13" s="1"/>
  <c r="J16" i="13"/>
  <c r="J29" i="15"/>
  <c r="BT61" i="15"/>
  <c r="J16" i="15"/>
  <c r="C16" i="15" s="1"/>
  <c r="S42" i="1"/>
  <c r="S36" i="2" s="1"/>
  <c r="S32" i="15"/>
  <c r="T32" i="15" s="1"/>
  <c r="AS33" i="15"/>
  <c r="Z33" i="15"/>
  <c r="L31" i="8"/>
  <c r="R31" i="8" s="1"/>
  <c r="AS23" i="15"/>
  <c r="S34" i="15"/>
  <c r="T34" i="15" s="1"/>
  <c r="Y13" i="10"/>
  <c r="S26" i="1"/>
  <c r="S20" i="2" s="1"/>
  <c r="S26" i="15"/>
  <c r="R10" i="8"/>
  <c r="S43" i="1"/>
  <c r="S37" i="2" s="1"/>
  <c r="S41" i="1"/>
  <c r="S35" i="2" s="1"/>
  <c r="S41" i="15"/>
  <c r="I36" i="1"/>
  <c r="Z31" i="3" s="1"/>
  <c r="AA31" i="3" s="1"/>
  <c r="I36" i="15"/>
  <c r="I36" i="13"/>
  <c r="AE39" i="15"/>
  <c r="BS39" i="15"/>
  <c r="BU61" i="13"/>
  <c r="I19" i="7"/>
  <c r="K19" i="7" s="1"/>
  <c r="I20" i="1"/>
  <c r="J20" i="1" s="1"/>
  <c r="I20" i="13"/>
  <c r="I20" i="15"/>
  <c r="AD12" i="3"/>
  <c r="I21" i="1"/>
  <c r="I21" i="15"/>
  <c r="I21" i="13"/>
  <c r="I45" i="1"/>
  <c r="J45" i="1" s="1"/>
  <c r="C45" i="1" s="1"/>
  <c r="I45" i="15"/>
  <c r="I45" i="13"/>
  <c r="N36" i="8"/>
  <c r="J26" i="13"/>
  <c r="C26" i="13" s="1"/>
  <c r="BU59" i="15"/>
  <c r="S40" i="1"/>
  <c r="S34" i="2" s="1"/>
  <c r="D16" i="15"/>
  <c r="BU31" i="15"/>
  <c r="AO31" i="15"/>
  <c r="BU69" i="15"/>
  <c r="BT60" i="15"/>
  <c r="X53" i="15"/>
  <c r="BU34" i="15"/>
  <c r="AO34" i="15"/>
  <c r="AO27" i="15"/>
  <c r="BU27" i="15"/>
  <c r="BA2" i="15"/>
  <c r="BU18" i="15"/>
  <c r="AO18" i="15"/>
  <c r="EO18" i="15"/>
  <c r="EG18" i="15"/>
  <c r="BU22" i="15"/>
  <c r="AO22" i="15"/>
  <c r="ET33" i="15"/>
  <c r="AU33" i="15"/>
  <c r="BU24" i="15"/>
  <c r="AO24" i="15"/>
  <c r="AT51" i="15"/>
  <c r="BU14" i="15"/>
  <c r="AO14" i="15"/>
  <c r="X84" i="15"/>
  <c r="BW69" i="15"/>
  <c r="AU26" i="15"/>
  <c r="ET26" i="15"/>
  <c r="C26" i="15"/>
  <c r="C19" i="17" s="1"/>
  <c r="BW30" i="15"/>
  <c r="BV69" i="15"/>
  <c r="X50" i="15"/>
  <c r="D17" i="15"/>
  <c r="EG17" i="15"/>
  <c r="BW73" i="15"/>
  <c r="AU30" i="15"/>
  <c r="ET30" i="15"/>
  <c r="AT50" i="15"/>
  <c r="X54" i="15"/>
  <c r="BW61" i="15"/>
  <c r="BV61" i="15"/>
  <c r="ET17" i="15"/>
  <c r="AU17" i="15"/>
  <c r="EG16" i="15"/>
  <c r="BU16" i="15"/>
  <c r="EO16" i="15"/>
  <c r="AO16" i="15"/>
  <c r="AT49" i="15"/>
  <c r="BW36" i="15"/>
  <c r="BU28" i="15"/>
  <c r="AO28" i="15"/>
  <c r="BV60" i="15"/>
  <c r="BW60" i="15"/>
  <c r="AU16" i="15"/>
  <c r="ET16" i="15"/>
  <c r="AZ2" i="15"/>
  <c r="BU60" i="15"/>
  <c r="AA17" i="15"/>
  <c r="BT17" i="15"/>
  <c r="BX17" i="15" s="1"/>
  <c r="EN17" i="15"/>
  <c r="X51" i="15"/>
  <c r="AO15" i="15"/>
  <c r="BU15" i="15"/>
  <c r="EO13" i="15"/>
  <c r="BY11" i="15"/>
  <c r="BU35" i="15"/>
  <c r="AO35" i="15"/>
  <c r="ET35" i="15"/>
  <c r="AU35" i="15"/>
  <c r="C35" i="15"/>
  <c r="C28" i="17" s="1"/>
  <c r="C33" i="15"/>
  <c r="C26" i="17" s="1"/>
  <c r="AO20" i="15"/>
  <c r="EG20" i="15"/>
  <c r="EO20" i="15"/>
  <c r="BU20" i="15"/>
  <c r="Y84" i="15"/>
  <c r="EW11" i="15"/>
  <c r="CB11" i="15"/>
  <c r="CA11" i="15"/>
  <c r="BZ11" i="15"/>
  <c r="CB12" i="14"/>
  <c r="X54" i="14"/>
  <c r="CC12" i="14"/>
  <c r="CB9" i="14"/>
  <c r="CC9" i="14"/>
  <c r="EX9" i="14"/>
  <c r="AT51" i="14"/>
  <c r="BW68" i="14"/>
  <c r="BL37" i="14"/>
  <c r="BL42" i="14"/>
  <c r="BX74" i="14"/>
  <c r="AV31" i="14"/>
  <c r="EU31" i="14"/>
  <c r="BX72" i="14"/>
  <c r="AV29" i="14"/>
  <c r="EU29" i="14"/>
  <c r="BW60" i="14"/>
  <c r="BX60" i="14"/>
  <c r="EU16" i="14"/>
  <c r="AV16" i="14"/>
  <c r="BL21" i="14"/>
  <c r="BL19" i="14"/>
  <c r="AU50" i="14"/>
  <c r="AU49" i="14"/>
  <c r="BV19" i="14"/>
  <c r="AP19" i="14"/>
  <c r="X51" i="14"/>
  <c r="AP15" i="14"/>
  <c r="BV15" i="14"/>
  <c r="BW64" i="14"/>
  <c r="BX64" i="14"/>
  <c r="EU20" i="14"/>
  <c r="AV20" i="14"/>
  <c r="AV22" i="14"/>
  <c r="EU22" i="14"/>
  <c r="BX61" i="14"/>
  <c r="BW61" i="14"/>
  <c r="EU17" i="14"/>
  <c r="AV17" i="14"/>
  <c r="AS62" i="14"/>
  <c r="BL32" i="14"/>
  <c r="EU42" i="14"/>
  <c r="AV42" i="14"/>
  <c r="BL34" i="14"/>
  <c r="BL26" i="14"/>
  <c r="BV26" i="14"/>
  <c r="AP26" i="14"/>
  <c r="BX67" i="14"/>
  <c r="EU24" i="14"/>
  <c r="AV24" i="14"/>
  <c r="C50" i="14"/>
  <c r="BV67" i="14"/>
  <c r="AP20" i="14"/>
  <c r="BV20" i="14"/>
  <c r="AT50" i="14"/>
  <c r="BL25" i="14"/>
  <c r="BL17" i="14"/>
  <c r="BX71" i="14"/>
  <c r="BX76" i="14" s="1"/>
  <c r="EU28" i="14"/>
  <c r="AV28" i="14"/>
  <c r="BX69" i="14"/>
  <c r="AV26" i="14"/>
  <c r="EU26" i="14"/>
  <c r="AP30" i="14"/>
  <c r="BV30" i="14"/>
  <c r="BV62" i="14"/>
  <c r="BU60" i="14"/>
  <c r="AT49" i="14"/>
  <c r="BV22" i="14"/>
  <c r="AP22" i="14"/>
  <c r="BX63" i="14"/>
  <c r="BW63" i="14"/>
  <c r="EU19" i="14"/>
  <c r="AV19" i="14"/>
  <c r="C78" i="14"/>
  <c r="J50" i="14"/>
  <c r="EU37" i="14"/>
  <c r="AV37" i="14"/>
  <c r="EU41" i="14"/>
  <c r="AV41" i="14"/>
  <c r="BW71" i="14"/>
  <c r="BW76" i="14" s="1"/>
  <c r="BV33" i="14"/>
  <c r="AP33" i="14"/>
  <c r="BV72" i="14"/>
  <c r="BV76" i="14" s="1"/>
  <c r="BX73" i="14"/>
  <c r="EU30" i="14"/>
  <c r="AV30" i="14"/>
  <c r="AP28" i="14"/>
  <c r="BV28" i="14"/>
  <c r="BB2" i="14"/>
  <c r="BX62" i="14"/>
  <c r="BW62" i="14"/>
  <c r="EU18" i="14"/>
  <c r="AV18" i="14"/>
  <c r="BX58" i="14"/>
  <c r="BW58" i="14"/>
  <c r="J84" i="14"/>
  <c r="J53" i="14"/>
  <c r="J54" i="14"/>
  <c r="J49" i="14"/>
  <c r="EU13" i="14"/>
  <c r="AV13" i="14"/>
  <c r="BU58" i="14"/>
  <c r="EU40" i="14"/>
  <c r="AV40" i="14"/>
  <c r="BV46" i="14"/>
  <c r="BL35" i="14"/>
  <c r="AP36" i="14"/>
  <c r="BV36" i="14"/>
  <c r="BW74" i="14"/>
  <c r="BV29" i="14"/>
  <c r="AP29" i="14"/>
  <c r="BL36" i="14"/>
  <c r="BU69" i="14"/>
  <c r="BU76" i="14" s="1"/>
  <c r="BW72" i="14"/>
  <c r="BU71" i="14"/>
  <c r="BV74" i="14"/>
  <c r="BV58" i="14"/>
  <c r="BL33" i="14"/>
  <c r="AP17" i="14"/>
  <c r="BV17" i="14"/>
  <c r="BU64" i="14"/>
  <c r="X84" i="14"/>
  <c r="EU34" i="14"/>
  <c r="AV34" i="14"/>
  <c r="BL39" i="14"/>
  <c r="BX68" i="14"/>
  <c r="AV25" i="14"/>
  <c r="EU25" i="14"/>
  <c r="BU73" i="14"/>
  <c r="BV60" i="14"/>
  <c r="X53" i="14"/>
  <c r="BL43" i="14"/>
  <c r="BL22" i="14"/>
  <c r="BL14" i="14"/>
  <c r="AU51" i="14"/>
  <c r="X50" i="14"/>
  <c r="J51" i="14"/>
  <c r="EU15" i="14"/>
  <c r="AV15" i="14"/>
  <c r="BU61" i="14"/>
  <c r="X49" i="14"/>
  <c r="O84" i="13"/>
  <c r="BU37" i="13"/>
  <c r="AO37" i="13"/>
  <c r="ET35" i="13"/>
  <c r="AU35" i="13"/>
  <c r="C35" i="13"/>
  <c r="EI53" i="13"/>
  <c r="EI54" i="13" s="1"/>
  <c r="BW66" i="13"/>
  <c r="ET23" i="13"/>
  <c r="AU23" i="13"/>
  <c r="AT50" i="13"/>
  <c r="BW59" i="13"/>
  <c r="BV59" i="13"/>
  <c r="AU14" i="13"/>
  <c r="C14" i="13"/>
  <c r="ET14" i="13"/>
  <c r="BU26" i="13"/>
  <c r="AO26" i="13"/>
  <c r="BT66" i="13"/>
  <c r="AO14" i="13"/>
  <c r="BU14" i="13"/>
  <c r="X53" i="13"/>
  <c r="BW72" i="13"/>
  <c r="AU29" i="13"/>
  <c r="C29" i="13"/>
  <c r="ET29" i="13"/>
  <c r="AT49" i="13"/>
  <c r="AO16" i="13"/>
  <c r="BU16" i="13"/>
  <c r="X49" i="13"/>
  <c r="X50" i="13"/>
  <c r="X84" i="13"/>
  <c r="BU72" i="13"/>
  <c r="BY76" i="13"/>
  <c r="AO22" i="13"/>
  <c r="BU22" i="13"/>
  <c r="X51" i="13"/>
  <c r="X54" i="13"/>
  <c r="AO38" i="13"/>
  <c r="BU38" i="13"/>
  <c r="ET33" i="13"/>
  <c r="BU66" i="13"/>
  <c r="BW63" i="13"/>
  <c r="BV63" i="13"/>
  <c r="C19" i="13"/>
  <c r="ET19" i="13"/>
  <c r="AU19" i="13"/>
  <c r="AO18" i="13"/>
  <c r="BU18" i="13"/>
  <c r="BU28" i="13"/>
  <c r="AO28" i="13"/>
  <c r="BU63" i="13"/>
  <c r="BU59" i="13"/>
  <c r="BU24" i="13"/>
  <c r="AO24" i="13"/>
  <c r="C23" i="13"/>
  <c r="BT72" i="13"/>
  <c r="AO27" i="13"/>
  <c r="BU27" i="13"/>
  <c r="BA2" i="13"/>
  <c r="V52" i="11"/>
  <c r="V107" i="11" s="1"/>
  <c r="U52" i="11"/>
  <c r="G52" i="9"/>
  <c r="F52" i="9"/>
  <c r="S26" i="2"/>
  <c r="T32" i="1"/>
  <c r="AC40" i="1"/>
  <c r="Y34" i="10"/>
  <c r="S21" i="2"/>
  <c r="T27" i="1"/>
  <c r="Y35" i="10"/>
  <c r="AC41" i="1"/>
  <c r="T34" i="1"/>
  <c r="S28" i="2"/>
  <c r="S17" i="2"/>
  <c r="T23" i="1"/>
  <c r="Z23" i="1"/>
  <c r="AA23" i="1" s="1"/>
  <c r="S33" i="5"/>
  <c r="D26" i="1"/>
  <c r="C20" i="2"/>
  <c r="BK26" i="1"/>
  <c r="I51" i="9"/>
  <c r="I106" i="9" s="1"/>
  <c r="O51" i="9"/>
  <c r="F106" i="9"/>
  <c r="AD19" i="2"/>
  <c r="BV25" i="1"/>
  <c r="BV31" i="1"/>
  <c r="AD25" i="2"/>
  <c r="BV41" i="1"/>
  <c r="AD35" i="2"/>
  <c r="P56" i="9"/>
  <c r="G111" i="9"/>
  <c r="EN19" i="1"/>
  <c r="BT19" i="1"/>
  <c r="Y33" i="10"/>
  <c r="AC39" i="1"/>
  <c r="N22" i="8"/>
  <c r="Y32" i="5"/>
  <c r="BY32" i="5" s="1"/>
  <c r="CE32" i="5" s="1"/>
  <c r="DL32" i="5" s="1"/>
  <c r="DM32" i="5" s="1"/>
  <c r="R39" i="8"/>
  <c r="X20" i="2"/>
  <c r="H20" i="2"/>
  <c r="AV20" i="2" s="1"/>
  <c r="AO32" i="1"/>
  <c r="BU32" i="1"/>
  <c r="BW37" i="1"/>
  <c r="AF25" i="3"/>
  <c r="AG25" i="3" s="1"/>
  <c r="R94" i="9"/>
  <c r="S39" i="9"/>
  <c r="AU34" i="1"/>
  <c r="ET34" i="1"/>
  <c r="AA19" i="1"/>
  <c r="AO19" i="1"/>
  <c r="BU19" i="1"/>
  <c r="FE17" i="1"/>
  <c r="J11" i="2"/>
  <c r="BE11" i="2" s="1"/>
  <c r="AT17" i="1"/>
  <c r="Q12" i="3"/>
  <c r="R12" i="3" s="1"/>
  <c r="AP17" i="1"/>
  <c r="M17" i="1"/>
  <c r="C17" i="1"/>
  <c r="Y30" i="2"/>
  <c r="AO15" i="1"/>
  <c r="BU15" i="1"/>
  <c r="X51" i="1"/>
  <c r="Q28" i="3"/>
  <c r="J27" i="2"/>
  <c r="BE27" i="2" s="1"/>
  <c r="FE33" i="1"/>
  <c r="C33" i="1"/>
  <c r="AP33" i="1"/>
  <c r="AT33" i="1"/>
  <c r="Y16" i="7"/>
  <c r="AI16" i="7"/>
  <c r="Q16" i="7"/>
  <c r="X16" i="7"/>
  <c r="AM24" i="9"/>
  <c r="AM25" i="9" s="1"/>
  <c r="AM26" i="9" s="1"/>
  <c r="AM27" i="9" s="1"/>
  <c r="AM28" i="9" s="1"/>
  <c r="AM29" i="9" s="1"/>
  <c r="AM30" i="9" s="1"/>
  <c r="AM31" i="9" s="1"/>
  <c r="AM32" i="9" s="1"/>
  <c r="AM35" i="9" s="1"/>
  <c r="AP26" i="1"/>
  <c r="W100" i="9"/>
  <c r="AC100" i="9" s="1"/>
  <c r="B21" i="10" s="1"/>
  <c r="G21" i="10" s="1"/>
  <c r="AC27" i="15" s="1"/>
  <c r="AC45" i="9"/>
  <c r="AA155" i="9" s="1"/>
  <c r="U54" i="9"/>
  <c r="O109" i="9"/>
  <c r="R54" i="9"/>
  <c r="FE41" i="1"/>
  <c r="L93" i="1"/>
  <c r="J35" i="2"/>
  <c r="BE35" i="2" s="1"/>
  <c r="Q36" i="3"/>
  <c r="AP41" i="1"/>
  <c r="AI30" i="4"/>
  <c r="AY30" i="4"/>
  <c r="BQ30" i="4"/>
  <c r="M33" i="1"/>
  <c r="BV74" i="1"/>
  <c r="AN44" i="4"/>
  <c r="AN48" i="4"/>
  <c r="AN49" i="4"/>
  <c r="Y20" i="2"/>
  <c r="Y29" i="7"/>
  <c r="Q29" i="7"/>
  <c r="AI29" i="7"/>
  <c r="W29" i="7"/>
  <c r="R105" i="9"/>
  <c r="S50" i="9"/>
  <c r="W16" i="7"/>
  <c r="BS20" i="1"/>
  <c r="AE20" i="1"/>
  <c r="AC14" i="2"/>
  <c r="AE14" i="2" s="1"/>
  <c r="AL24" i="9"/>
  <c r="AL26" i="9" s="1"/>
  <c r="AL27" i="9" s="1"/>
  <c r="AL28" i="9" s="1"/>
  <c r="AL29" i="9" s="1"/>
  <c r="AL30" i="9" s="1"/>
  <c r="AL31" i="9" s="1"/>
  <c r="AL32" i="9" s="1"/>
  <c r="AL35" i="9" s="1"/>
  <c r="U111" i="11"/>
  <c r="W56" i="11"/>
  <c r="O53" i="9"/>
  <c r="I53" i="9"/>
  <c r="I108" i="9" s="1"/>
  <c r="F108" i="9"/>
  <c r="AY31" i="5"/>
  <c r="AW59" i="5"/>
  <c r="AP18" i="1"/>
  <c r="W50" i="9"/>
  <c r="U105" i="9"/>
  <c r="BQ14" i="4"/>
  <c r="AY14" i="4"/>
  <c r="AI14" i="4"/>
  <c r="AG18" i="3"/>
  <c r="W100" i="11"/>
  <c r="AC100" i="11" s="1"/>
  <c r="AC45" i="11"/>
  <c r="AA155" i="11" s="1"/>
  <c r="U98" i="11"/>
  <c r="W43" i="11"/>
  <c r="BU18" i="1"/>
  <c r="AO18" i="1"/>
  <c r="EG18" i="1"/>
  <c r="EO18" i="1"/>
  <c r="G38" i="2"/>
  <c r="Z38" i="2" s="1"/>
  <c r="Z39" i="3"/>
  <c r="Z44" i="1"/>
  <c r="H36" i="7"/>
  <c r="AS44" i="1"/>
  <c r="T37" i="1"/>
  <c r="G21" i="2"/>
  <c r="H21" i="2" s="1"/>
  <c r="AS27" i="1"/>
  <c r="Z18" i="1"/>
  <c r="W39" i="11"/>
  <c r="U94" i="11"/>
  <c r="F56" i="9"/>
  <c r="T18" i="1"/>
  <c r="S12" i="2"/>
  <c r="AC42" i="11"/>
  <c r="AA152" i="11" s="1"/>
  <c r="W97" i="11"/>
  <c r="AC97" i="11" s="1"/>
  <c r="G102" i="9"/>
  <c r="P47" i="9"/>
  <c r="H27" i="2"/>
  <c r="AV27" i="2" s="1"/>
  <c r="X27" i="2"/>
  <c r="L51" i="1"/>
  <c r="Z24" i="9"/>
  <c r="AA23" i="9"/>
  <c r="Z23" i="11"/>
  <c r="R38" i="8"/>
  <c r="O17" i="9"/>
  <c r="R17" i="9" s="1"/>
  <c r="I17" i="9"/>
  <c r="AD38" i="2"/>
  <c r="BV44" i="1"/>
  <c r="AU17" i="2"/>
  <c r="AY38" i="4"/>
  <c r="AS36" i="1"/>
  <c r="G30" i="2"/>
  <c r="U101" i="9"/>
  <c r="W46" i="9"/>
  <c r="AE16" i="1"/>
  <c r="AC10" i="2"/>
  <c r="AE10" i="2" s="1"/>
  <c r="BS16" i="1"/>
  <c r="S49" i="11"/>
  <c r="R104" i="11"/>
  <c r="Q23" i="9"/>
  <c r="M24" i="9"/>
  <c r="Q24" i="9" s="1"/>
  <c r="ET35" i="1"/>
  <c r="C35" i="1"/>
  <c r="AU35" i="1"/>
  <c r="T15" i="2"/>
  <c r="T27" i="2"/>
  <c r="Y27" i="2"/>
  <c r="AU26" i="1"/>
  <c r="BW69" i="1"/>
  <c r="ET26" i="1"/>
  <c r="X13" i="2"/>
  <c r="H13" i="2"/>
  <c r="AT13" i="2" s="1"/>
  <c r="U101" i="11"/>
  <c r="W46" i="11"/>
  <c r="ET33" i="1"/>
  <c r="AU33" i="1"/>
  <c r="Y22" i="2"/>
  <c r="Z21" i="1"/>
  <c r="Z16" i="3"/>
  <c r="AA16" i="3" s="1"/>
  <c r="AD16" i="3" s="1"/>
  <c r="G15" i="2"/>
  <c r="Z15" i="2" s="1"/>
  <c r="AS21" i="1"/>
  <c r="J21" i="1"/>
  <c r="BU65" i="1"/>
  <c r="BV63" i="1"/>
  <c r="BW63" i="1"/>
  <c r="ET19" i="1"/>
  <c r="AU19" i="1"/>
  <c r="S8" i="2"/>
  <c r="T14" i="1"/>
  <c r="Y43" i="2"/>
  <c r="Q20" i="3"/>
  <c r="FE25" i="1"/>
  <c r="J19" i="2"/>
  <c r="BE19" i="2" s="1"/>
  <c r="L50" i="1"/>
  <c r="AP25" i="1"/>
  <c r="AT25" i="1"/>
  <c r="AT50" i="1" s="1"/>
  <c r="U99" i="9"/>
  <c r="W44" i="9"/>
  <c r="H17" i="2"/>
  <c r="K17" i="2" s="1"/>
  <c r="AV17" i="2"/>
  <c r="X17" i="2"/>
  <c r="U116" i="9"/>
  <c r="W61" i="9"/>
  <c r="CI30" i="5"/>
  <c r="CH30" i="5"/>
  <c r="AJ35" i="9"/>
  <c r="S35" i="9"/>
  <c r="S35" i="11" s="1"/>
  <c r="AC35" i="9"/>
  <c r="H40" i="10" s="1"/>
  <c r="BV59" i="1"/>
  <c r="BW59" i="1"/>
  <c r="AU14" i="1"/>
  <c r="ET14" i="1"/>
  <c r="Y14" i="7"/>
  <c r="Q14" i="7"/>
  <c r="W14" i="7"/>
  <c r="AI14" i="7"/>
  <c r="X14" i="7"/>
  <c r="X24" i="2"/>
  <c r="AO20" i="1"/>
  <c r="BU20" i="1"/>
  <c r="BV69" i="1"/>
  <c r="Y39" i="10"/>
  <c r="X9" i="2"/>
  <c r="E44" i="2"/>
  <c r="S44" i="9"/>
  <c r="R99" i="9"/>
  <c r="AI12" i="4"/>
  <c r="BQ12" i="4"/>
  <c r="AY12" i="4"/>
  <c r="BV72" i="1"/>
  <c r="BU23" i="1"/>
  <c r="AO23" i="1"/>
  <c r="X24" i="7"/>
  <c r="Q24" i="7"/>
  <c r="Y24" i="7"/>
  <c r="AI24" i="7"/>
  <c r="BW25" i="1"/>
  <c r="T35" i="1"/>
  <c r="Z35" i="11"/>
  <c r="AA35" i="11" s="1"/>
  <c r="I4" i="10"/>
  <c r="AA35" i="9"/>
  <c r="AS17" i="1"/>
  <c r="BV43" i="1"/>
  <c r="AD37" i="2"/>
  <c r="BU14" i="1"/>
  <c r="AO14" i="1"/>
  <c r="W116" i="11"/>
  <c r="AC116" i="11" s="1"/>
  <c r="AC61" i="11"/>
  <c r="AA171" i="11" s="1"/>
  <c r="AY17" i="4"/>
  <c r="X22" i="2"/>
  <c r="X53" i="1"/>
  <c r="X54" i="1"/>
  <c r="EG13" i="1"/>
  <c r="BU13" i="1"/>
  <c r="EO13" i="1"/>
  <c r="AO13" i="1"/>
  <c r="X84" i="1"/>
  <c r="X49" i="1"/>
  <c r="BE16" i="4"/>
  <c r="AN45" i="4"/>
  <c r="BQ33" i="4"/>
  <c r="AY33" i="4"/>
  <c r="AI33" i="4"/>
  <c r="AP27" i="1"/>
  <c r="AP66" i="5"/>
  <c r="AQ66" i="5" s="1"/>
  <c r="P53" i="9"/>
  <c r="G108" i="9"/>
  <c r="AY34" i="4"/>
  <c r="BQ34" i="4"/>
  <c r="AI34" i="4"/>
  <c r="EW10" i="1"/>
  <c r="CB10" i="1"/>
  <c r="CA10" i="1"/>
  <c r="BZ10" i="1"/>
  <c r="T31" i="2"/>
  <c r="AS29" i="2"/>
  <c r="AT29" i="2"/>
  <c r="X40" i="2"/>
  <c r="AY13" i="4"/>
  <c r="BY11" i="1"/>
  <c r="BZ11" i="1" s="1"/>
  <c r="AE7" i="2"/>
  <c r="Z35" i="1"/>
  <c r="R108" i="11"/>
  <c r="S53" i="11"/>
  <c r="AI23" i="7"/>
  <c r="Q23" i="7"/>
  <c r="Y23" i="7"/>
  <c r="W23" i="7"/>
  <c r="R115" i="9"/>
  <c r="BU31" i="1"/>
  <c r="AO31" i="1"/>
  <c r="R100" i="9"/>
  <c r="BX32" i="5"/>
  <c r="CD32" i="5" s="1"/>
  <c r="CG32" i="5" s="1"/>
  <c r="R101" i="9"/>
  <c r="S46" i="9"/>
  <c r="R21" i="3"/>
  <c r="AD18" i="2"/>
  <c r="BV24" i="1"/>
  <c r="BU44" i="1"/>
  <c r="W53" i="11"/>
  <c r="U108" i="11"/>
  <c r="AY23" i="4"/>
  <c r="AV21" i="9"/>
  <c r="S55" i="11"/>
  <c r="R110" i="11"/>
  <c r="S22" i="1"/>
  <c r="AY16" i="4"/>
  <c r="EW11" i="1"/>
  <c r="CA11" i="1"/>
  <c r="CB11" i="1"/>
  <c r="AV29" i="2"/>
  <c r="S36" i="1"/>
  <c r="BU22" i="1"/>
  <c r="AO22" i="1"/>
  <c r="R34" i="8"/>
  <c r="AN46" i="4"/>
  <c r="AS33" i="1"/>
  <c r="X38" i="2"/>
  <c r="AA28" i="3"/>
  <c r="AD28" i="3" s="1"/>
  <c r="BR34" i="5"/>
  <c r="BX34" i="5" s="1"/>
  <c r="CD34" i="5" s="1"/>
  <c r="CG34" i="5" s="1"/>
  <c r="G34" i="5"/>
  <c r="R34" i="5"/>
  <c r="R105" i="11"/>
  <c r="S50" i="11"/>
  <c r="E48" i="2"/>
  <c r="R112" i="9"/>
  <c r="AV11" i="2"/>
  <c r="S61" i="11"/>
  <c r="R116" i="11"/>
  <c r="M16" i="1"/>
  <c r="Q11" i="3"/>
  <c r="J10" i="2"/>
  <c r="BE10" i="2" s="1"/>
  <c r="C16" i="1"/>
  <c r="AT16" i="1"/>
  <c r="AS16" i="1"/>
  <c r="AP16" i="1"/>
  <c r="L78" i="1"/>
  <c r="M78" i="1" s="1"/>
  <c r="FE16" i="1"/>
  <c r="R15" i="9"/>
  <c r="Z33" i="1"/>
  <c r="U105" i="11"/>
  <c r="W50" i="11"/>
  <c r="Y18" i="2"/>
  <c r="T18" i="2"/>
  <c r="U49" i="9"/>
  <c r="R49" i="9"/>
  <c r="O104" i="9"/>
  <c r="X10" i="2"/>
  <c r="H10" i="2"/>
  <c r="M20" i="1"/>
  <c r="Q15" i="3"/>
  <c r="AP20" i="1"/>
  <c r="FE20" i="1"/>
  <c r="J14" i="2"/>
  <c r="BE14" i="2" s="1"/>
  <c r="AT20" i="1"/>
  <c r="X23" i="2"/>
  <c r="H23" i="2"/>
  <c r="AV23" i="2" s="1"/>
  <c r="BW35" i="1"/>
  <c r="BQ15" i="4"/>
  <c r="AY15" i="4"/>
  <c r="AI15" i="4"/>
  <c r="S11" i="2"/>
  <c r="T17" i="1"/>
  <c r="Q41" i="3"/>
  <c r="AP46" i="1"/>
  <c r="J40" i="2"/>
  <c r="AC75" i="11"/>
  <c r="AA217" i="11" s="1"/>
  <c r="R103" i="11"/>
  <c r="AS27" i="2"/>
  <c r="AT27" i="2"/>
  <c r="U97" i="9"/>
  <c r="W42" i="9"/>
  <c r="BQ27" i="4"/>
  <c r="AI27" i="4"/>
  <c r="AY27" i="4"/>
  <c r="AY32" i="4"/>
  <c r="AI32" i="4"/>
  <c r="BQ32" i="4"/>
  <c r="R99" i="11"/>
  <c r="S44" i="11"/>
  <c r="W28" i="7"/>
  <c r="G51" i="9"/>
  <c r="T29" i="1"/>
  <c r="S23" i="2"/>
  <c r="AY40" i="5"/>
  <c r="AY38" i="5"/>
  <c r="AY48" i="5"/>
  <c r="AY44" i="5"/>
  <c r="BA44" i="5" s="1"/>
  <c r="AY39" i="5"/>
  <c r="BA39" i="5" s="1"/>
  <c r="AY49" i="5"/>
  <c r="AY41" i="5"/>
  <c r="AY36" i="5"/>
  <c r="AY42" i="5"/>
  <c r="AY47" i="5"/>
  <c r="AY53" i="5"/>
  <c r="AY50" i="5"/>
  <c r="AY45" i="5"/>
  <c r="BA45" i="5" s="1"/>
  <c r="AY35" i="5"/>
  <c r="AY43" i="5"/>
  <c r="AY46" i="5"/>
  <c r="AY37" i="5"/>
  <c r="I15" i="7"/>
  <c r="K15" i="7" s="1"/>
  <c r="AS23" i="2"/>
  <c r="AJ10" i="9"/>
  <c r="AC10" i="9"/>
  <c r="S10" i="9"/>
  <c r="S10" i="11" s="1"/>
  <c r="AA14" i="3"/>
  <c r="AD14" i="3" s="1"/>
  <c r="J36" i="1"/>
  <c r="G36" i="10"/>
  <c r="AC42" i="15" s="1"/>
  <c r="W40" i="9"/>
  <c r="U95" i="9"/>
  <c r="Z26" i="3"/>
  <c r="AA26" i="3" s="1"/>
  <c r="G25" i="2"/>
  <c r="BU74" i="1"/>
  <c r="Z31" i="1"/>
  <c r="AS31" i="1"/>
  <c r="R97" i="11"/>
  <c r="S42" i="11"/>
  <c r="W49" i="11"/>
  <c r="U104" i="11"/>
  <c r="F110" i="9"/>
  <c r="I55" i="9"/>
  <c r="I110" i="9" s="1"/>
  <c r="O55" i="9"/>
  <c r="AT75" i="5"/>
  <c r="W44" i="11"/>
  <c r="U99" i="11"/>
  <c r="I28" i="7"/>
  <c r="K28" i="7" s="1"/>
  <c r="O23" i="9"/>
  <c r="R23" i="9" s="1"/>
  <c r="K23" i="11"/>
  <c r="K24" i="9"/>
  <c r="Z116" i="9"/>
  <c r="Z89" i="9"/>
  <c r="AA88" i="9"/>
  <c r="AC11" i="2"/>
  <c r="AE11" i="2" s="1"/>
  <c r="AE17" i="1"/>
  <c r="BS17" i="1"/>
  <c r="C34" i="1"/>
  <c r="R22" i="8"/>
  <c r="CI33" i="5"/>
  <c r="CH33" i="5"/>
  <c r="BW61" i="1"/>
  <c r="BT61" i="1"/>
  <c r="ET17" i="1"/>
  <c r="BV61" i="1"/>
  <c r="AU17" i="1"/>
  <c r="BU63" i="1"/>
  <c r="S46" i="11"/>
  <c r="R101" i="11"/>
  <c r="AU16" i="1"/>
  <c r="BV60" i="1"/>
  <c r="BT60" i="1"/>
  <c r="ET16" i="1"/>
  <c r="BW60" i="1"/>
  <c r="Y28" i="7"/>
  <c r="AI28" i="7"/>
  <c r="Q28" i="7"/>
  <c r="AS8" i="2"/>
  <c r="AD26" i="2"/>
  <c r="BV32" i="1"/>
  <c r="R119" i="9"/>
  <c r="U98" i="9"/>
  <c r="W43" i="9"/>
  <c r="I13" i="7"/>
  <c r="K13" i="7" s="1"/>
  <c r="W39" i="9"/>
  <c r="U94" i="9"/>
  <c r="Y19" i="2"/>
  <c r="BW36" i="1"/>
  <c r="Y21" i="7"/>
  <c r="W21" i="7"/>
  <c r="AI21" i="7"/>
  <c r="Q21" i="7"/>
  <c r="BV30" i="1"/>
  <c r="AD24" i="2"/>
  <c r="C19" i="1"/>
  <c r="BU30" i="1"/>
  <c r="AO30" i="1"/>
  <c r="BA2" i="1"/>
  <c r="T29" i="2"/>
  <c r="Y29" i="2"/>
  <c r="AA29" i="2" s="1"/>
  <c r="AP21" i="1"/>
  <c r="G39" i="2"/>
  <c r="Z39" i="2" s="1"/>
  <c r="AA39" i="2" s="1"/>
  <c r="AS45" i="1"/>
  <c r="X14" i="2"/>
  <c r="Z14" i="1"/>
  <c r="W20" i="7"/>
  <c r="Q20" i="7"/>
  <c r="AI20" i="7"/>
  <c r="Y20" i="7"/>
  <c r="BW24" i="1"/>
  <c r="BW28" i="1"/>
  <c r="AH22" i="9"/>
  <c r="AI22" i="9" s="1"/>
  <c r="AI22" i="7"/>
  <c r="Y22" i="7"/>
  <c r="Q22" i="7"/>
  <c r="S61" i="9"/>
  <c r="R116" i="9"/>
  <c r="BW74" i="1"/>
  <c r="ET31" i="1"/>
  <c r="AU31" i="1"/>
  <c r="BU26" i="1"/>
  <c r="AO26" i="1"/>
  <c r="AG16" i="3"/>
  <c r="AL25" i="9"/>
  <c r="R98" i="11"/>
  <c r="S43" i="11"/>
  <c r="AI13" i="7"/>
  <c r="Y13" i="7"/>
  <c r="Q13" i="7"/>
  <c r="BU69" i="1"/>
  <c r="G18" i="2"/>
  <c r="Z19" i="3"/>
  <c r="AA19" i="3" s="1"/>
  <c r="AS24" i="1"/>
  <c r="J24" i="1"/>
  <c r="Z24" i="1"/>
  <c r="AA24" i="1" s="1"/>
  <c r="AY10" i="4"/>
  <c r="X8" i="2"/>
  <c r="H8" i="2"/>
  <c r="AT8" i="2" s="1"/>
  <c r="BT69" i="1"/>
  <c r="BQ11" i="4"/>
  <c r="AY11" i="4"/>
  <c r="AI11" i="4"/>
  <c r="AI49" i="4" s="1"/>
  <c r="S56" i="11"/>
  <c r="R111" i="11"/>
  <c r="L40" i="8"/>
  <c r="B40" i="8"/>
  <c r="AA21" i="3"/>
  <c r="AD21" i="3" s="1"/>
  <c r="BU46" i="1"/>
  <c r="AA18" i="3"/>
  <c r="AD18" i="3" s="1"/>
  <c r="F102" i="9"/>
  <c r="O47" i="9"/>
  <c r="I47" i="9"/>
  <c r="I102" i="9" s="1"/>
  <c r="BH45" i="4"/>
  <c r="C31" i="1"/>
  <c r="AC54" i="11"/>
  <c r="AA164" i="11" s="1"/>
  <c r="W109" i="11"/>
  <c r="AC109" i="11" s="1"/>
  <c r="BE9" i="2"/>
  <c r="AE45" i="1"/>
  <c r="AS73" i="5"/>
  <c r="AU68" i="5"/>
  <c r="AV68" i="5" s="1"/>
  <c r="Z15" i="3"/>
  <c r="AA15" i="3" s="1"/>
  <c r="AD15" i="3" s="1"/>
  <c r="Z20" i="1"/>
  <c r="AA20" i="1" s="1"/>
  <c r="AS20" i="1"/>
  <c r="BQ25" i="4"/>
  <c r="AY25" i="4"/>
  <c r="AI25" i="4"/>
  <c r="BV29" i="1"/>
  <c r="AD23" i="2"/>
  <c r="P36" i="7"/>
  <c r="Q36" i="7" s="1"/>
  <c r="R36" i="7" s="1"/>
  <c r="P35" i="7"/>
  <c r="Q35" i="7" s="1"/>
  <c r="R35" i="7" s="1"/>
  <c r="P32" i="7"/>
  <c r="Q32" i="7" s="1"/>
  <c r="R32" i="7" s="1"/>
  <c r="P31" i="7"/>
  <c r="Q31" i="7" s="1"/>
  <c r="R31" i="7" s="1"/>
  <c r="P34" i="7"/>
  <c r="Q34" i="7" s="1"/>
  <c r="R34" i="7" s="1"/>
  <c r="P38" i="7"/>
  <c r="Q38" i="7" s="1"/>
  <c r="R38" i="7" s="1"/>
  <c r="P37" i="7"/>
  <c r="Q37" i="7" s="1"/>
  <c r="R37" i="7" s="1"/>
  <c r="P33" i="7"/>
  <c r="Q33" i="7" s="1"/>
  <c r="R33" i="7" s="1"/>
  <c r="C17" i="2"/>
  <c r="S30" i="5"/>
  <c r="D23" i="1"/>
  <c r="AY41" i="4"/>
  <c r="R16" i="8"/>
  <c r="AY26" i="4"/>
  <c r="T19" i="1"/>
  <c r="S13" i="2"/>
  <c r="T7" i="2"/>
  <c r="AS17" i="2"/>
  <c r="E43" i="2"/>
  <c r="L53" i="1"/>
  <c r="AD36" i="2"/>
  <c r="BV42" i="1"/>
  <c r="O16" i="9"/>
  <c r="R16" i="9" s="1"/>
  <c r="I16" i="9"/>
  <c r="AT10" i="2"/>
  <c r="P104" i="9"/>
  <c r="V49" i="9"/>
  <c r="V104" i="9" s="1"/>
  <c r="AG29" i="3"/>
  <c r="AD33" i="2"/>
  <c r="BV39" i="1"/>
  <c r="Z34" i="1"/>
  <c r="G28" i="2"/>
  <c r="AS34" i="1"/>
  <c r="Z29" i="3"/>
  <c r="AA29" i="3" s="1"/>
  <c r="AD29" i="3" s="1"/>
  <c r="I45" i="4"/>
  <c r="AV26" i="9"/>
  <c r="BY8" i="1"/>
  <c r="BZ8" i="1" s="1"/>
  <c r="AY35" i="4"/>
  <c r="Z40" i="1"/>
  <c r="G34" i="2"/>
  <c r="Z34" i="2" s="1"/>
  <c r="Z35" i="3"/>
  <c r="AS40" i="1"/>
  <c r="H32" i="7"/>
  <c r="AI17" i="7"/>
  <c r="Y17" i="7"/>
  <c r="Q17" i="7"/>
  <c r="O39" i="8"/>
  <c r="AT11" i="2"/>
  <c r="Y25" i="7"/>
  <c r="W25" i="7"/>
  <c r="Q25" i="7"/>
  <c r="AI25" i="7"/>
  <c r="FE14" i="1"/>
  <c r="AT14" i="1"/>
  <c r="M14" i="1"/>
  <c r="AP14" i="1"/>
  <c r="L49" i="1"/>
  <c r="Q9" i="3"/>
  <c r="R9" i="3" s="1"/>
  <c r="L84" i="1"/>
  <c r="AP35" i="1"/>
  <c r="AP15" i="1"/>
  <c r="AP13" i="1"/>
  <c r="AP39" i="1"/>
  <c r="C14" i="1"/>
  <c r="AP36" i="1"/>
  <c r="AP40" i="1"/>
  <c r="J8" i="2"/>
  <c r="AP29" i="1"/>
  <c r="AP42" i="1"/>
  <c r="AP19" i="1"/>
  <c r="AP23" i="1"/>
  <c r="AP44" i="1"/>
  <c r="L54" i="1"/>
  <c r="AP24" i="1"/>
  <c r="AP37" i="1"/>
  <c r="AP22" i="1"/>
  <c r="AP31" i="1"/>
  <c r="F103" i="9"/>
  <c r="I48" i="9"/>
  <c r="I103" i="9" s="1"/>
  <c r="O48" i="9"/>
  <c r="H31" i="7"/>
  <c r="G33" i="2"/>
  <c r="R114" i="11"/>
  <c r="L21" i="8"/>
  <c r="R21" i="8" s="1"/>
  <c r="AY24" i="4"/>
  <c r="AI9" i="4"/>
  <c r="BQ9" i="4"/>
  <c r="AY9" i="4"/>
  <c r="AY22" i="4"/>
  <c r="AY21" i="4"/>
  <c r="AY40" i="4"/>
  <c r="I49" i="4"/>
  <c r="AY19" i="4"/>
  <c r="AY20" i="4"/>
  <c r="AY37" i="4"/>
  <c r="AY8" i="4"/>
  <c r="AU23" i="1"/>
  <c r="BW66" i="1"/>
  <c r="ET23" i="1"/>
  <c r="Q19" i="7"/>
  <c r="AI19" i="7"/>
  <c r="Y19" i="7"/>
  <c r="U51" i="11"/>
  <c r="P48" i="9"/>
  <c r="G103" i="9"/>
  <c r="G110" i="9"/>
  <c r="P55" i="9"/>
  <c r="AG22" i="3"/>
  <c r="R22" i="9"/>
  <c r="X21" i="2"/>
  <c r="E45" i="2"/>
  <c r="X16" i="2"/>
  <c r="W110" i="11"/>
  <c r="AC110" i="11" s="1"/>
  <c r="AC55" i="11"/>
  <c r="AA165" i="11" s="1"/>
  <c r="R9" i="8"/>
  <c r="AD9" i="3"/>
  <c r="BW34" i="1"/>
  <c r="Z17" i="1"/>
  <c r="X29" i="7"/>
  <c r="Y32" i="2"/>
  <c r="T33" i="1"/>
  <c r="R102" i="11"/>
  <c r="S47" i="11"/>
  <c r="W103" i="11"/>
  <c r="AC103" i="11" s="1"/>
  <c r="AC48" i="11"/>
  <c r="AA158" i="11" s="1"/>
  <c r="L32" i="8"/>
  <c r="R32" i="8" s="1"/>
  <c r="N32" i="8"/>
  <c r="R96" i="9"/>
  <c r="S41" i="9"/>
  <c r="AW60" i="5"/>
  <c r="R95" i="9"/>
  <c r="S40" i="9"/>
  <c r="X21" i="7"/>
  <c r="AV32" i="9"/>
  <c r="T15" i="1"/>
  <c r="S9" i="2"/>
  <c r="R24" i="8"/>
  <c r="Y84" i="1"/>
  <c r="I44" i="4"/>
  <c r="I22" i="7"/>
  <c r="K22" i="7" s="1"/>
  <c r="R98" i="9"/>
  <c r="S43" i="9"/>
  <c r="Y15" i="7"/>
  <c r="AI15" i="7"/>
  <c r="Q15" i="7"/>
  <c r="BE15" i="2"/>
  <c r="J26" i="2"/>
  <c r="BE26" i="2" s="1"/>
  <c r="Q27" i="3"/>
  <c r="FE32" i="1"/>
  <c r="M32" i="1"/>
  <c r="AP32" i="1"/>
  <c r="Z29" i="1"/>
  <c r="R29" i="3"/>
  <c r="W41" i="9"/>
  <c r="U96" i="9"/>
  <c r="X25" i="7"/>
  <c r="AD17" i="2"/>
  <c r="BV23" i="1"/>
  <c r="AS13" i="2"/>
  <c r="BW33" i="1"/>
  <c r="X26" i="2"/>
  <c r="AV12" i="9"/>
  <c r="BW72" i="1" l="1"/>
  <c r="BV58" i="1"/>
  <c r="Z45" i="1"/>
  <c r="J37" i="1"/>
  <c r="C29" i="1"/>
  <c r="AI24" i="3" s="1"/>
  <c r="ET32" i="1"/>
  <c r="J18" i="1"/>
  <c r="BV62" i="1" s="1"/>
  <c r="Z22" i="3"/>
  <c r="AA22" i="3" s="1"/>
  <c r="BK16" i="15"/>
  <c r="C9" i="17"/>
  <c r="J30" i="1"/>
  <c r="AS30" i="1"/>
  <c r="Z25" i="3"/>
  <c r="AA25" i="3" s="1"/>
  <c r="G24" i="2"/>
  <c r="BU73" i="1"/>
  <c r="Z19" i="15"/>
  <c r="J19" i="15"/>
  <c r="AS19" i="15"/>
  <c r="Z27" i="3"/>
  <c r="AA27" i="3" s="1"/>
  <c r="AD27" i="3" s="1"/>
  <c r="Z32" i="1"/>
  <c r="AA32" i="1" s="1"/>
  <c r="J27" i="1"/>
  <c r="G7" i="2"/>
  <c r="C13" i="1"/>
  <c r="S20" i="5" s="1"/>
  <c r="Z40" i="3"/>
  <c r="AA40" i="3" s="1"/>
  <c r="R40" i="3" s="1"/>
  <c r="ET29" i="1"/>
  <c r="AU32" i="1"/>
  <c r="Z13" i="3"/>
  <c r="AA13" i="3" s="1"/>
  <c r="BU63" i="15"/>
  <c r="AU20" i="2"/>
  <c r="Z8" i="3"/>
  <c r="AA8" i="3" s="1"/>
  <c r="AD8" i="3" s="1"/>
  <c r="G26" i="2"/>
  <c r="Z26" i="2" s="1"/>
  <c r="AA26" i="2" s="1"/>
  <c r="AS13" i="1"/>
  <c r="BT58" i="1"/>
  <c r="R16" i="3"/>
  <c r="R11" i="3"/>
  <c r="H39" i="2"/>
  <c r="K39" i="2" s="1"/>
  <c r="R32" i="3"/>
  <c r="G12" i="2"/>
  <c r="AS12" i="2" s="1"/>
  <c r="AU45" i="1"/>
  <c r="BT72" i="1"/>
  <c r="AU13" i="1"/>
  <c r="AS32" i="1"/>
  <c r="Z13" i="1"/>
  <c r="AA13" i="1" s="1"/>
  <c r="ET13" i="1"/>
  <c r="BU72" i="1"/>
  <c r="T26" i="1"/>
  <c r="X43" i="2"/>
  <c r="BU58" i="1"/>
  <c r="Z26" i="1"/>
  <c r="AA26" i="1" s="1"/>
  <c r="BK17" i="15"/>
  <c r="J30" i="13"/>
  <c r="AS30" i="13"/>
  <c r="BV73" i="15"/>
  <c r="C30" i="15"/>
  <c r="BT73" i="15"/>
  <c r="AS37" i="1"/>
  <c r="BU69" i="13"/>
  <c r="C29" i="15"/>
  <c r="C22" i="17" s="1"/>
  <c r="BW72" i="15"/>
  <c r="BU72" i="15"/>
  <c r="ET29" i="15"/>
  <c r="BV72" i="15"/>
  <c r="AU29" i="15"/>
  <c r="S49" i="1"/>
  <c r="S10" i="2"/>
  <c r="Z10" i="2" s="1"/>
  <c r="AA10" i="2" s="1"/>
  <c r="T16" i="1"/>
  <c r="Z16" i="1"/>
  <c r="Z35" i="15"/>
  <c r="T35" i="15"/>
  <c r="AS25" i="13"/>
  <c r="J25" i="13"/>
  <c r="Z39" i="1"/>
  <c r="Z34" i="3"/>
  <c r="AS39" i="1"/>
  <c r="BT72" i="15"/>
  <c r="V33" i="13"/>
  <c r="BK33" i="13"/>
  <c r="D33" i="13"/>
  <c r="AS22" i="13"/>
  <c r="J22" i="13"/>
  <c r="J25" i="1"/>
  <c r="BU68" i="1" s="1"/>
  <c r="G19" i="2"/>
  <c r="Z19" i="2" s="1"/>
  <c r="Z25" i="1"/>
  <c r="Z20" i="3"/>
  <c r="AA20" i="3" s="1"/>
  <c r="AD20" i="3" s="1"/>
  <c r="AS25" i="1"/>
  <c r="AS20" i="13"/>
  <c r="J20" i="13"/>
  <c r="T26" i="15"/>
  <c r="Z26" i="15"/>
  <c r="AT23" i="2"/>
  <c r="AS22" i="15"/>
  <c r="Z22" i="15"/>
  <c r="J22" i="15"/>
  <c r="AS32" i="13"/>
  <c r="J32" i="13"/>
  <c r="AS37" i="13"/>
  <c r="J37" i="13"/>
  <c r="AS25" i="15"/>
  <c r="Z25" i="15"/>
  <c r="J25" i="15"/>
  <c r="J22" i="1"/>
  <c r="AS22" i="1"/>
  <c r="Z17" i="3"/>
  <c r="AA17" i="3" s="1"/>
  <c r="AD17" i="3" s="1"/>
  <c r="G16" i="2"/>
  <c r="AE27" i="15"/>
  <c r="EC27" i="15" s="1"/>
  <c r="BS27" i="15"/>
  <c r="EO20" i="1"/>
  <c r="EG20" i="1"/>
  <c r="ET23" i="15"/>
  <c r="AU23" i="15"/>
  <c r="BV66" i="15"/>
  <c r="C23" i="15"/>
  <c r="C16" i="17" s="1"/>
  <c r="BT66" i="15"/>
  <c r="BW66" i="15"/>
  <c r="BS15" i="15"/>
  <c r="AE15" i="15"/>
  <c r="BS15" i="1"/>
  <c r="AC9" i="2"/>
  <c r="AE9" i="2" s="1"/>
  <c r="AE15" i="1"/>
  <c r="AC49" i="1"/>
  <c r="T16" i="15"/>
  <c r="S51" i="15"/>
  <c r="BT60" i="13"/>
  <c r="BV60" i="13"/>
  <c r="BW60" i="13"/>
  <c r="C16" i="13"/>
  <c r="V16" i="13" s="1"/>
  <c r="AU16" i="13"/>
  <c r="ET16" i="13"/>
  <c r="Z37" i="1"/>
  <c r="AA37" i="1" s="1"/>
  <c r="X32" i="7"/>
  <c r="BT64" i="1"/>
  <c r="BV64" i="1"/>
  <c r="AU20" i="1"/>
  <c r="C20" i="1"/>
  <c r="C14" i="2" s="1"/>
  <c r="BW64" i="1"/>
  <c r="ET20" i="1"/>
  <c r="Z20" i="2"/>
  <c r="T20" i="2"/>
  <c r="G14" i="2"/>
  <c r="AS14" i="2" s="1"/>
  <c r="W38" i="7"/>
  <c r="X36" i="7"/>
  <c r="I38" i="1"/>
  <c r="J38" i="1" s="1"/>
  <c r="I38" i="13"/>
  <c r="I38" i="15"/>
  <c r="BT69" i="13"/>
  <c r="BV69" i="13"/>
  <c r="ET26" i="13"/>
  <c r="BW69" i="13"/>
  <c r="BX19" i="1"/>
  <c r="EW19" i="1" s="1"/>
  <c r="G31" i="2"/>
  <c r="Z31" i="2" s="1"/>
  <c r="AA31" i="2" s="1"/>
  <c r="J15" i="1"/>
  <c r="AS15" i="1"/>
  <c r="Z15" i="1"/>
  <c r="I49" i="1"/>
  <c r="G9" i="2"/>
  <c r="H9" i="2" s="1"/>
  <c r="AV9" i="2" s="1"/>
  <c r="AU26" i="13"/>
  <c r="CK17" i="13"/>
  <c r="DH17" i="13"/>
  <c r="DS17" i="13"/>
  <c r="DU17" i="13" s="1"/>
  <c r="EJ17" i="13"/>
  <c r="BZ61" i="13"/>
  <c r="CA61" i="13" s="1"/>
  <c r="EM17" i="13"/>
  <c r="W34" i="7"/>
  <c r="BU64" i="1"/>
  <c r="AU33" i="13"/>
  <c r="Z16" i="15"/>
  <c r="AS34" i="13"/>
  <c r="J34" i="13"/>
  <c r="S32" i="2"/>
  <c r="T32" i="2" s="1"/>
  <c r="T38" i="1"/>
  <c r="J24" i="13"/>
  <c r="AS24" i="13"/>
  <c r="BU67" i="13"/>
  <c r="G37" i="2"/>
  <c r="Z37" i="2" s="1"/>
  <c r="AA20" i="2"/>
  <c r="AS36" i="13"/>
  <c r="J36" i="13"/>
  <c r="Z34" i="15"/>
  <c r="J34" i="15"/>
  <c r="AS34" i="15"/>
  <c r="S25" i="2"/>
  <c r="T31" i="1"/>
  <c r="AE14" i="1"/>
  <c r="AC8" i="2"/>
  <c r="BS14" i="1"/>
  <c r="Z24" i="15"/>
  <c r="J24" i="15"/>
  <c r="AS24" i="15"/>
  <c r="AS27" i="15"/>
  <c r="Z27" i="15"/>
  <c r="J27" i="15"/>
  <c r="BU70" i="15" s="1"/>
  <c r="Z32" i="15"/>
  <c r="AS32" i="15"/>
  <c r="J32" i="15"/>
  <c r="BS14" i="15"/>
  <c r="AE14" i="15"/>
  <c r="J21" i="13"/>
  <c r="AS21" i="13"/>
  <c r="Z36" i="15"/>
  <c r="AS36" i="15"/>
  <c r="J36" i="15"/>
  <c r="AA33" i="15"/>
  <c r="EN33" i="15"/>
  <c r="BT33" i="15"/>
  <c r="CX33" i="15" s="1"/>
  <c r="AS13" i="13"/>
  <c r="I49" i="13"/>
  <c r="J13" i="13"/>
  <c r="AS44" i="15"/>
  <c r="Z44" i="15"/>
  <c r="BT44" i="15" s="1"/>
  <c r="CX44" i="15" s="1"/>
  <c r="S22" i="2"/>
  <c r="T22" i="2" s="1"/>
  <c r="T28" i="1"/>
  <c r="I28" i="1"/>
  <c r="I84" i="1" s="1"/>
  <c r="I28" i="13"/>
  <c r="I84" i="13" s="1"/>
  <c r="I28" i="15"/>
  <c r="AS21" i="15"/>
  <c r="Z21" i="15"/>
  <c r="J21" i="15"/>
  <c r="BU65" i="15"/>
  <c r="Z30" i="15"/>
  <c r="T30" i="15"/>
  <c r="Z13" i="15"/>
  <c r="J13" i="15"/>
  <c r="BU58" i="15"/>
  <c r="AS13" i="15"/>
  <c r="I49" i="15"/>
  <c r="AS18" i="15"/>
  <c r="J18" i="15"/>
  <c r="BU62" i="15" s="1"/>
  <c r="Z18" i="15"/>
  <c r="BS19" i="1"/>
  <c r="AC13" i="2"/>
  <c r="AE13" i="2" s="1"/>
  <c r="AE19" i="1"/>
  <c r="Z31" i="15"/>
  <c r="AS31" i="15"/>
  <c r="J31" i="15"/>
  <c r="AC49" i="15"/>
  <c r="I42" i="1"/>
  <c r="I42" i="15"/>
  <c r="I42" i="13"/>
  <c r="AS42" i="13" s="1"/>
  <c r="T22" i="15"/>
  <c r="S50" i="15"/>
  <c r="Z43" i="1"/>
  <c r="H35" i="7"/>
  <c r="AD40" i="3"/>
  <c r="S24" i="2"/>
  <c r="T30" i="1"/>
  <c r="Z30" i="1"/>
  <c r="AS18" i="13"/>
  <c r="J18" i="13"/>
  <c r="BU62" i="13"/>
  <c r="I41" i="1"/>
  <c r="I41" i="15"/>
  <c r="I41" i="13"/>
  <c r="AS41" i="13" s="1"/>
  <c r="BS19" i="15"/>
  <c r="AE19" i="15"/>
  <c r="J31" i="13"/>
  <c r="BU74" i="13" s="1"/>
  <c r="AS31" i="13"/>
  <c r="Z43" i="15"/>
  <c r="BT43" i="15" s="1"/>
  <c r="CX43" i="15" s="1"/>
  <c r="AS43" i="15"/>
  <c r="Z40" i="15"/>
  <c r="AS40" i="15"/>
  <c r="AS43" i="1"/>
  <c r="X31" i="7"/>
  <c r="W36" i="7"/>
  <c r="X34" i="7"/>
  <c r="BU67" i="15"/>
  <c r="AS15" i="13"/>
  <c r="J15" i="13"/>
  <c r="AD30" i="3"/>
  <c r="R30" i="3"/>
  <c r="AI30" i="3" s="1"/>
  <c r="T14" i="15"/>
  <c r="Z14" i="15"/>
  <c r="S53" i="15"/>
  <c r="S54" i="15"/>
  <c r="S49" i="15"/>
  <c r="S84" i="15"/>
  <c r="BT59" i="15"/>
  <c r="C14" i="15"/>
  <c r="BV59" i="15"/>
  <c r="BW59" i="15"/>
  <c r="ET14" i="15"/>
  <c r="AU14" i="15"/>
  <c r="AE49" i="1"/>
  <c r="AS45" i="13"/>
  <c r="J45" i="13"/>
  <c r="S14" i="2"/>
  <c r="T14" i="2" s="1"/>
  <c r="T20" i="1"/>
  <c r="T49" i="1" s="1"/>
  <c r="AS45" i="15"/>
  <c r="J45" i="15"/>
  <c r="Z45" i="15"/>
  <c r="AA45" i="15" s="1"/>
  <c r="J27" i="13"/>
  <c r="BU70" i="13" s="1"/>
  <c r="AS27" i="13"/>
  <c r="AT51" i="1"/>
  <c r="BS42" i="15"/>
  <c r="AE42" i="15"/>
  <c r="AS20" i="15"/>
  <c r="Z20" i="15"/>
  <c r="J20" i="15"/>
  <c r="Z15" i="15"/>
  <c r="AS15" i="15"/>
  <c r="J15" i="15"/>
  <c r="Z39" i="15"/>
  <c r="AS39" i="15"/>
  <c r="Z37" i="15"/>
  <c r="AS37" i="15"/>
  <c r="J37" i="15"/>
  <c r="Z23" i="15"/>
  <c r="CA17" i="15"/>
  <c r="EW17" i="15"/>
  <c r="CB17" i="15"/>
  <c r="D35" i="15"/>
  <c r="BK35" i="15"/>
  <c r="D26" i="15"/>
  <c r="BK26" i="15"/>
  <c r="BK33" i="15"/>
  <c r="D33" i="15"/>
  <c r="EU51" i="14"/>
  <c r="AV51" i="14"/>
  <c r="BL46" i="14"/>
  <c r="BL30" i="14"/>
  <c r="AV50" i="14"/>
  <c r="EU49" i="14"/>
  <c r="EU56" i="14"/>
  <c r="EU53" i="14"/>
  <c r="EU50" i="14"/>
  <c r="BL31" i="14"/>
  <c r="BL18" i="14"/>
  <c r="C51" i="14"/>
  <c r="EU54" i="14"/>
  <c r="BL29" i="14"/>
  <c r="BL20" i="14"/>
  <c r="EU57" i="14"/>
  <c r="BL16" i="14"/>
  <c r="D54" i="14"/>
  <c r="D50" i="14"/>
  <c r="BL24" i="14"/>
  <c r="C49" i="14"/>
  <c r="C53" i="14"/>
  <c r="C54" i="14"/>
  <c r="C84" i="14"/>
  <c r="BL13" i="14"/>
  <c r="BL41" i="14"/>
  <c r="BL40" i="14"/>
  <c r="AV49" i="14"/>
  <c r="BL28" i="14"/>
  <c r="EI56" i="13"/>
  <c r="EJ56" i="13" s="1"/>
  <c r="D26" i="13"/>
  <c r="BK26" i="13"/>
  <c r="V26" i="13"/>
  <c r="BK35" i="13"/>
  <c r="D35" i="13"/>
  <c r="V35" i="13"/>
  <c r="BK23" i="13"/>
  <c r="D23" i="13"/>
  <c r="V23" i="13"/>
  <c r="BK14" i="13"/>
  <c r="V14" i="13"/>
  <c r="BK19" i="13"/>
  <c r="V19" i="13"/>
  <c r="D19" i="13"/>
  <c r="D29" i="13"/>
  <c r="V29" i="13"/>
  <c r="BK29" i="13"/>
  <c r="EK56" i="13"/>
  <c r="K21" i="2"/>
  <c r="AV21" i="2"/>
  <c r="AU21" i="2"/>
  <c r="S39" i="5"/>
  <c r="AR62" i="1"/>
  <c r="D32" i="1"/>
  <c r="C26" i="2"/>
  <c r="BK32" i="1"/>
  <c r="BT21" i="1"/>
  <c r="CX21" i="1" s="1"/>
  <c r="EN21" i="1"/>
  <c r="AA21" i="1"/>
  <c r="AU27" i="1"/>
  <c r="ET27" i="1"/>
  <c r="BW70" i="1"/>
  <c r="BV70" i="1"/>
  <c r="C27" i="1"/>
  <c r="BT70" i="1"/>
  <c r="S37" i="7"/>
  <c r="W32" i="7"/>
  <c r="Z21" i="2"/>
  <c r="T21" i="2"/>
  <c r="S16" i="2"/>
  <c r="T22" i="1"/>
  <c r="S50" i="1"/>
  <c r="Z22" i="1"/>
  <c r="EN27" i="1"/>
  <c r="BT27" i="1"/>
  <c r="CX27" i="1" s="1"/>
  <c r="AA27" i="1"/>
  <c r="P110" i="9"/>
  <c r="V55" i="9"/>
  <c r="V110" i="9" s="1"/>
  <c r="AS33" i="2"/>
  <c r="H15" i="10"/>
  <c r="L15" i="10" s="1"/>
  <c r="AD21" i="1" s="1"/>
  <c r="EN15" i="1"/>
  <c r="BT15" i="1"/>
  <c r="BX15" i="1" s="1"/>
  <c r="AU73" i="5"/>
  <c r="AV73" i="5" s="1"/>
  <c r="K8" i="2"/>
  <c r="AU8" i="2"/>
  <c r="BT14" i="1"/>
  <c r="BX14" i="1" s="1"/>
  <c r="EN14" i="1"/>
  <c r="AI11" i="3"/>
  <c r="AA19" i="2"/>
  <c r="CT33" i="5"/>
  <c r="CH32" i="5"/>
  <c r="CI32" i="5"/>
  <c r="Z23" i="3"/>
  <c r="AA23" i="3" s="1"/>
  <c r="G22" i="2"/>
  <c r="AS28" i="1"/>
  <c r="Z28" i="1"/>
  <c r="J28" i="1"/>
  <c r="BU71" i="1" s="1"/>
  <c r="EN39" i="1"/>
  <c r="BT39" i="1"/>
  <c r="CX39" i="1" s="1"/>
  <c r="S36" i="7"/>
  <c r="G36" i="7" s="1"/>
  <c r="X39" i="3" s="1"/>
  <c r="F36" i="7"/>
  <c r="AA8" i="2"/>
  <c r="R14" i="3"/>
  <c r="K24" i="11"/>
  <c r="O24" i="9"/>
  <c r="R24" i="9" s="1"/>
  <c r="F111" i="9"/>
  <c r="O56" i="9"/>
  <c r="I56" i="9"/>
  <c r="I111" i="9" s="1"/>
  <c r="AC34" i="2"/>
  <c r="AE34" i="2" s="1"/>
  <c r="AE40" i="1"/>
  <c r="BS40" i="1"/>
  <c r="X45" i="2"/>
  <c r="AI44" i="4"/>
  <c r="J44" i="2"/>
  <c r="AC39" i="9"/>
  <c r="AA149" i="9" s="1"/>
  <c r="W94" i="9"/>
  <c r="AC94" i="9" s="1"/>
  <c r="EN31" i="1"/>
  <c r="BT31" i="1"/>
  <c r="CX31" i="1" s="1"/>
  <c r="C29" i="2"/>
  <c r="D35" i="1"/>
  <c r="S42" i="5"/>
  <c r="BK35" i="1"/>
  <c r="AJ16" i="9"/>
  <c r="S16" i="9"/>
  <c r="S16" i="11" s="1"/>
  <c r="AC16" i="9"/>
  <c r="H21" i="10" s="1"/>
  <c r="L21" i="10" s="1"/>
  <c r="AD27" i="1" s="1"/>
  <c r="K13" i="2"/>
  <c r="AU13" i="2"/>
  <c r="AA24" i="9"/>
  <c r="Z24" i="11"/>
  <c r="W94" i="11"/>
  <c r="AC94" i="11" s="1"/>
  <c r="AC150" i="11" s="1"/>
  <c r="AC39" i="11"/>
  <c r="AA149" i="11" s="1"/>
  <c r="C11" i="2"/>
  <c r="S12" i="3" s="1"/>
  <c r="S24" i="5"/>
  <c r="D17" i="1"/>
  <c r="BK17" i="1"/>
  <c r="T26" i="2"/>
  <c r="AC41" i="9"/>
  <c r="AA151" i="9" s="1"/>
  <c r="W96" i="9"/>
  <c r="AC96" i="9" s="1"/>
  <c r="B17" i="10" s="1"/>
  <c r="G17" i="10" s="1"/>
  <c r="AC23" i="15" s="1"/>
  <c r="T9" i="2"/>
  <c r="Z9" i="2"/>
  <c r="N40" i="8"/>
  <c r="F40" i="8"/>
  <c r="R40" i="8" s="1"/>
  <c r="BX17" i="1"/>
  <c r="AS25" i="2"/>
  <c r="H25" i="2"/>
  <c r="K10" i="2"/>
  <c r="AU10" i="2"/>
  <c r="EN18" i="1"/>
  <c r="BT18" i="1"/>
  <c r="BX18" i="1" s="1"/>
  <c r="AA45" i="1"/>
  <c r="R26" i="3"/>
  <c r="AD26" i="3"/>
  <c r="AA31" i="1"/>
  <c r="ET21" i="1"/>
  <c r="AU21" i="1"/>
  <c r="BW65" i="1"/>
  <c r="BV65" i="1"/>
  <c r="C21" i="1"/>
  <c r="AI16" i="3" s="1"/>
  <c r="BT65" i="1"/>
  <c r="C27" i="2"/>
  <c r="S40" i="5"/>
  <c r="D33" i="1"/>
  <c r="BK33" i="1"/>
  <c r="R10" i="3"/>
  <c r="AA27" i="2"/>
  <c r="Z28" i="2"/>
  <c r="AA28" i="2" s="1"/>
  <c r="T28" i="2"/>
  <c r="AS11" i="2"/>
  <c r="AS18" i="2"/>
  <c r="H18" i="2"/>
  <c r="AT18" i="2" s="1"/>
  <c r="Z18" i="2"/>
  <c r="AA18" i="2" s="1"/>
  <c r="X35" i="7"/>
  <c r="W95" i="9"/>
  <c r="AC95" i="9" s="1"/>
  <c r="B16" i="10" s="1"/>
  <c r="G16" i="10" s="1"/>
  <c r="AC22" i="15" s="1"/>
  <c r="AC40" i="9"/>
  <c r="AA150" i="9" s="1"/>
  <c r="G106" i="9"/>
  <c r="P51" i="9"/>
  <c r="AS15" i="2"/>
  <c r="H15" i="2"/>
  <c r="AS30" i="2"/>
  <c r="H30" i="2"/>
  <c r="K27" i="2"/>
  <c r="AU27" i="2"/>
  <c r="AA18" i="1"/>
  <c r="AC50" i="9"/>
  <c r="AA160" i="9" s="1"/>
  <c r="W105" i="9"/>
  <c r="AC105" i="9" s="1"/>
  <c r="B26" i="10" s="1"/>
  <c r="G26" i="10" s="1"/>
  <c r="AC32" i="15" s="1"/>
  <c r="W54" i="9"/>
  <c r="U109" i="9"/>
  <c r="W52" i="11"/>
  <c r="U107" i="11"/>
  <c r="BT17" i="1"/>
  <c r="EN17" i="1"/>
  <c r="AA17" i="1"/>
  <c r="S9" i="3"/>
  <c r="AI9" i="3"/>
  <c r="EN34" i="1"/>
  <c r="BT34" i="1"/>
  <c r="CX34" i="1" s="1"/>
  <c r="AA34" i="1"/>
  <c r="S33" i="7"/>
  <c r="F33" i="7"/>
  <c r="AG33" i="7"/>
  <c r="O102" i="9"/>
  <c r="R47" i="9"/>
  <c r="U47" i="9"/>
  <c r="G10" i="7"/>
  <c r="X13" i="3" s="1"/>
  <c r="G12" i="7"/>
  <c r="X15" i="3" s="1"/>
  <c r="G5" i="7"/>
  <c r="X8" i="3" s="1"/>
  <c r="G9" i="7"/>
  <c r="X12" i="3" s="1"/>
  <c r="G11" i="7"/>
  <c r="X14" i="3" s="1"/>
  <c r="G7" i="7"/>
  <c r="X10" i="3" s="1"/>
  <c r="G6" i="7"/>
  <c r="X9" i="3" s="1"/>
  <c r="G8" i="7"/>
  <c r="X11" i="3" s="1"/>
  <c r="U55" i="9"/>
  <c r="O110" i="9"/>
  <c r="R55" i="9"/>
  <c r="AC61" i="9"/>
  <c r="AA171" i="9" s="1"/>
  <c r="W116" i="9"/>
  <c r="S23" i="5"/>
  <c r="D16" i="1"/>
  <c r="C10" i="2"/>
  <c r="BK16" i="1"/>
  <c r="O106" i="9"/>
  <c r="U51" i="9"/>
  <c r="S38" i="7"/>
  <c r="T38" i="7" s="1"/>
  <c r="AI38" i="7" s="1"/>
  <c r="AG38" i="7"/>
  <c r="F38" i="7"/>
  <c r="W31" i="7"/>
  <c r="W98" i="11"/>
  <c r="AC98" i="11" s="1"/>
  <c r="AC43" i="11"/>
  <c r="AA153" i="11" s="1"/>
  <c r="U53" i="9"/>
  <c r="R53" i="9"/>
  <c r="O108" i="9"/>
  <c r="EN16" i="1"/>
  <c r="AA16" i="1"/>
  <c r="BT16" i="1"/>
  <c r="BX16" i="1" s="1"/>
  <c r="F31" i="7"/>
  <c r="AG31" i="7"/>
  <c r="S31" i="7"/>
  <c r="T31" i="7" s="1"/>
  <c r="AI31" i="7" s="1"/>
  <c r="W104" i="11"/>
  <c r="AC104" i="11" s="1"/>
  <c r="AC49" i="11"/>
  <c r="AA159" i="11" s="1"/>
  <c r="Z8" i="2"/>
  <c r="T8" i="2"/>
  <c r="AS21" i="2"/>
  <c r="AT21" i="2"/>
  <c r="W33" i="7"/>
  <c r="EN13" i="1"/>
  <c r="Z49" i="1"/>
  <c r="BT13" i="1"/>
  <c r="BX13" i="1" s="1"/>
  <c r="S32" i="7"/>
  <c r="T32" i="7" s="1"/>
  <c r="AI32" i="7" s="1"/>
  <c r="AG32" i="7"/>
  <c r="F32" i="7"/>
  <c r="EN33" i="1"/>
  <c r="BT33" i="1"/>
  <c r="CX33" i="1" s="1"/>
  <c r="AA14" i="1"/>
  <c r="AJ17" i="9"/>
  <c r="AC17" i="9"/>
  <c r="H22" i="10" s="1"/>
  <c r="L22" i="10" s="1"/>
  <c r="AD28" i="1" s="1"/>
  <c r="S17" i="9"/>
  <c r="S17" i="11" s="1"/>
  <c r="BU70" i="1"/>
  <c r="V56" i="9"/>
  <c r="V111" i="9" s="1"/>
  <c r="P111" i="9"/>
  <c r="AG35" i="7"/>
  <c r="F35" i="7"/>
  <c r="S35" i="7"/>
  <c r="AV8" i="2"/>
  <c r="X47" i="2"/>
  <c r="EG16" i="1"/>
  <c r="EO16" i="1"/>
  <c r="BE8" i="2"/>
  <c r="J55" i="2"/>
  <c r="J48" i="2"/>
  <c r="J53" i="2"/>
  <c r="J43" i="2"/>
  <c r="J54" i="2"/>
  <c r="J47" i="2"/>
  <c r="EN40" i="1"/>
  <c r="BT40" i="1"/>
  <c r="CX40" i="1" s="1"/>
  <c r="T11" i="2"/>
  <c r="Z11" i="2"/>
  <c r="AA11" i="2" s="1"/>
  <c r="U106" i="11"/>
  <c r="W51" i="11"/>
  <c r="U48" i="9"/>
  <c r="O103" i="9"/>
  <c r="R48" i="9"/>
  <c r="AU37" i="1"/>
  <c r="ET37" i="1"/>
  <c r="C37" i="1"/>
  <c r="AI32" i="3" s="1"/>
  <c r="AC42" i="9"/>
  <c r="AA152" i="9" s="1"/>
  <c r="W97" i="9"/>
  <c r="AC97" i="9" s="1"/>
  <c r="B18" i="10" s="1"/>
  <c r="G18" i="10" s="1"/>
  <c r="AC24" i="15" s="1"/>
  <c r="W108" i="11"/>
  <c r="AC108" i="11" s="1"/>
  <c r="AC53" i="11"/>
  <c r="AA163" i="11" s="1"/>
  <c r="DN33" i="5"/>
  <c r="H31" i="2"/>
  <c r="AJ23" i="9"/>
  <c r="AC23" i="9"/>
  <c r="H28" i="10" s="1"/>
  <c r="L28" i="10" s="1"/>
  <c r="AD34" i="1" s="1"/>
  <c r="S23" i="9"/>
  <c r="S23" i="11" s="1"/>
  <c r="BT43" i="1"/>
  <c r="CX43" i="1" s="1"/>
  <c r="AI46" i="4"/>
  <c r="EN23" i="1"/>
  <c r="BT23" i="1"/>
  <c r="CX23" i="1" s="1"/>
  <c r="AI48" i="4"/>
  <c r="AU24" i="1"/>
  <c r="BW67" i="1"/>
  <c r="ET24" i="1"/>
  <c r="BV67" i="1"/>
  <c r="BT67" i="1"/>
  <c r="C24" i="1"/>
  <c r="D19" i="1"/>
  <c r="S26" i="5"/>
  <c r="C13" i="2"/>
  <c r="BK19" i="1"/>
  <c r="AA33" i="1"/>
  <c r="D31" i="1"/>
  <c r="S38" i="5"/>
  <c r="C25" i="2"/>
  <c r="BK31" i="1"/>
  <c r="S30" i="2"/>
  <c r="T36" i="1"/>
  <c r="R109" i="9"/>
  <c r="S54" i="9"/>
  <c r="D45" i="1"/>
  <c r="C39" i="2"/>
  <c r="S40" i="3" s="1"/>
  <c r="S52" i="5"/>
  <c r="F107" i="9"/>
  <c r="O52" i="9"/>
  <c r="I52" i="9"/>
  <c r="I107" i="9" s="1"/>
  <c r="EN29" i="1"/>
  <c r="BT29" i="1"/>
  <c r="CX29" i="1" s="1"/>
  <c r="AA29" i="1"/>
  <c r="AI45" i="4"/>
  <c r="AD19" i="3"/>
  <c r="R19" i="3"/>
  <c r="AI40" i="3"/>
  <c r="BT37" i="1"/>
  <c r="CX37" i="1" s="1"/>
  <c r="EN37" i="1"/>
  <c r="P108" i="9"/>
  <c r="V53" i="9"/>
  <c r="V108" i="9" s="1"/>
  <c r="Z36" i="1"/>
  <c r="G107" i="9"/>
  <c r="P52" i="9"/>
  <c r="H7" i="2"/>
  <c r="AT17" i="2"/>
  <c r="DN30" i="5"/>
  <c r="BU67" i="1"/>
  <c r="X33" i="7"/>
  <c r="AA116" i="9"/>
  <c r="AC88" i="9"/>
  <c r="AA230" i="9" s="1"/>
  <c r="Y36" i="10"/>
  <c r="AC42" i="1"/>
  <c r="K23" i="2"/>
  <c r="AU23" i="2"/>
  <c r="S49" i="9"/>
  <c r="R104" i="9"/>
  <c r="K11" i="2"/>
  <c r="EN26" i="1"/>
  <c r="BT26" i="1"/>
  <c r="CX26" i="1" s="1"/>
  <c r="AC30" i="5"/>
  <c r="DE30" i="5"/>
  <c r="CN30" i="5"/>
  <c r="Z33" i="2"/>
  <c r="AI12" i="3"/>
  <c r="W35" i="7"/>
  <c r="AC33" i="2"/>
  <c r="AE33" i="2" s="1"/>
  <c r="AE39" i="1"/>
  <c r="BS39" i="1"/>
  <c r="AE41" i="1"/>
  <c r="AC35" i="2"/>
  <c r="AE35" i="2" s="1"/>
  <c r="BS41" i="1"/>
  <c r="S22" i="9"/>
  <c r="S22" i="11" s="1"/>
  <c r="AJ22" i="9"/>
  <c r="AC22" i="9"/>
  <c r="H27" i="10" s="1"/>
  <c r="L27" i="10" s="1"/>
  <c r="AD33" i="1" s="1"/>
  <c r="BT20" i="1"/>
  <c r="BX20" i="1" s="1"/>
  <c r="EN20" i="1"/>
  <c r="AS19" i="2"/>
  <c r="EN35" i="1"/>
  <c r="BT35" i="1"/>
  <c r="CX35" i="1" s="1"/>
  <c r="AA35" i="1"/>
  <c r="K9" i="2"/>
  <c r="AU9" i="2"/>
  <c r="Y31" i="5"/>
  <c r="R27" i="3"/>
  <c r="BT32" i="1"/>
  <c r="CX32" i="1" s="1"/>
  <c r="EN32" i="1"/>
  <c r="Y31" i="7"/>
  <c r="Y32" i="7" s="1"/>
  <c r="CB19" i="1"/>
  <c r="EN25" i="1"/>
  <c r="BT25" i="1"/>
  <c r="CX25" i="1" s="1"/>
  <c r="AA25" i="1"/>
  <c r="AG34" i="7"/>
  <c r="F34" i="7"/>
  <c r="S34" i="7"/>
  <c r="T34" i="7" s="1"/>
  <c r="AI34" i="7" s="1"/>
  <c r="X38" i="7"/>
  <c r="AS9" i="2"/>
  <c r="AT9" i="2"/>
  <c r="AC50" i="11"/>
  <c r="AA160" i="11" s="1"/>
  <c r="W105" i="11"/>
  <c r="AC105" i="11" s="1"/>
  <c r="S21" i="3"/>
  <c r="AI21" i="3"/>
  <c r="AA15" i="2"/>
  <c r="G32" i="2"/>
  <c r="Z13" i="2"/>
  <c r="T13" i="2"/>
  <c r="AC43" i="9"/>
  <c r="AA153" i="9" s="1"/>
  <c r="W98" i="9"/>
  <c r="AC98" i="9" s="1"/>
  <c r="B19" i="10" s="1"/>
  <c r="G19" i="10" s="1"/>
  <c r="AC25" i="15" s="1"/>
  <c r="X48" i="2"/>
  <c r="W111" i="11"/>
  <c r="AC111" i="11" s="1"/>
  <c r="AC56" i="11"/>
  <c r="AA166" i="11" s="1"/>
  <c r="AA15" i="1"/>
  <c r="AC33" i="5"/>
  <c r="T34" i="5"/>
  <c r="W99" i="9"/>
  <c r="AC99" i="9" s="1"/>
  <c r="B20" i="10" s="1"/>
  <c r="G20" i="10" s="1"/>
  <c r="AC26" i="15" s="1"/>
  <c r="AC44" i="9"/>
  <c r="AA154" i="9" s="1"/>
  <c r="Z12" i="2"/>
  <c r="AA12" i="2" s="1"/>
  <c r="T12" i="2"/>
  <c r="J45" i="2"/>
  <c r="AT49" i="1"/>
  <c r="AS10" i="2"/>
  <c r="AJ15" i="9"/>
  <c r="AC15" i="9"/>
  <c r="H20" i="10" s="1"/>
  <c r="L20" i="10" s="1"/>
  <c r="AD26" i="1" s="1"/>
  <c r="S15" i="9"/>
  <c r="S15" i="11" s="1"/>
  <c r="BK29" i="1"/>
  <c r="C23" i="2"/>
  <c r="S36" i="5"/>
  <c r="D29" i="1"/>
  <c r="BD20" i="2"/>
  <c r="V48" i="9"/>
  <c r="V103" i="9" s="1"/>
  <c r="P103" i="9"/>
  <c r="CH34" i="5"/>
  <c r="CI34" i="5"/>
  <c r="AC46" i="11"/>
  <c r="AA156" i="11" s="1"/>
  <c r="W101" i="11"/>
  <c r="AC101" i="11" s="1"/>
  <c r="H19" i="2"/>
  <c r="AT19" i="2" s="1"/>
  <c r="S53" i="1"/>
  <c r="S41" i="5"/>
  <c r="D34" i="1"/>
  <c r="BK34" i="1"/>
  <c r="C28" i="2"/>
  <c r="R15" i="3"/>
  <c r="BE49" i="4"/>
  <c r="BE48" i="4"/>
  <c r="S51" i="1"/>
  <c r="EN24" i="1"/>
  <c r="BT24" i="1"/>
  <c r="CX24" i="1" s="1"/>
  <c r="AC46" i="9"/>
  <c r="AA156" i="9" s="1"/>
  <c r="W101" i="9"/>
  <c r="AC101" i="9" s="1"/>
  <c r="B22" i="10" s="1"/>
  <c r="G22" i="10" s="1"/>
  <c r="AC28" i="15" s="1"/>
  <c r="C8" i="2"/>
  <c r="S21" i="5"/>
  <c r="BK14" i="1"/>
  <c r="AV13" i="2"/>
  <c r="BT44" i="1"/>
  <c r="CX44" i="1" s="1"/>
  <c r="AI29" i="3"/>
  <c r="EO17" i="1"/>
  <c r="EG17" i="1"/>
  <c r="Z23" i="2"/>
  <c r="AA23" i="2" s="1"/>
  <c r="T23" i="2"/>
  <c r="AV10" i="2"/>
  <c r="AA13" i="2"/>
  <c r="Z17" i="2"/>
  <c r="AA17" i="2" s="1"/>
  <c r="T17" i="2"/>
  <c r="AC44" i="11"/>
  <c r="AA154" i="11" s="1"/>
  <c r="W99" i="11"/>
  <c r="AC99" i="11" s="1"/>
  <c r="BT62" i="1"/>
  <c r="AA21" i="2"/>
  <c r="AS28" i="2"/>
  <c r="H28" i="2"/>
  <c r="AT28" i="2" s="1"/>
  <c r="BD17" i="2"/>
  <c r="Z91" i="9"/>
  <c r="AA89" i="9"/>
  <c r="Z117" i="9"/>
  <c r="ET36" i="1"/>
  <c r="AU36" i="1"/>
  <c r="C36" i="1"/>
  <c r="U104" i="9"/>
  <c r="W49" i="9"/>
  <c r="R18" i="3"/>
  <c r="Z7" i="2"/>
  <c r="S84" i="1"/>
  <c r="I40" i="10"/>
  <c r="K40" i="10" s="1"/>
  <c r="L40" i="10" s="1"/>
  <c r="AD46" i="1" s="1"/>
  <c r="AC35" i="11"/>
  <c r="AC149" i="11" s="1"/>
  <c r="X44" i="2"/>
  <c r="CT30" i="5"/>
  <c r="CY30" i="5" s="1"/>
  <c r="CJ30" i="5"/>
  <c r="R8" i="3"/>
  <c r="AD31" i="3"/>
  <c r="R31" i="3"/>
  <c r="P102" i="9"/>
  <c r="V47" i="9"/>
  <c r="V102" i="9" s="1"/>
  <c r="H12" i="2"/>
  <c r="AW61" i="5"/>
  <c r="AC27" i="1"/>
  <c r="R28" i="3"/>
  <c r="K20" i="2"/>
  <c r="AT20" i="2"/>
  <c r="S54" i="1"/>
  <c r="D16" i="13" l="1"/>
  <c r="CA19" i="1"/>
  <c r="AS49" i="1"/>
  <c r="R25" i="3"/>
  <c r="AD25" i="3"/>
  <c r="C23" i="17"/>
  <c r="BK30" i="15"/>
  <c r="D30" i="15"/>
  <c r="AS24" i="2"/>
  <c r="H24" i="2"/>
  <c r="BW62" i="1"/>
  <c r="AU18" i="1"/>
  <c r="BK13" i="1"/>
  <c r="C7" i="2"/>
  <c r="J49" i="1"/>
  <c r="C30" i="13"/>
  <c r="AU30" i="13"/>
  <c r="BV73" i="13"/>
  <c r="BU73" i="13"/>
  <c r="BT73" i="13"/>
  <c r="BW73" i="13"/>
  <c r="ET30" i="13"/>
  <c r="AD13" i="3"/>
  <c r="R13" i="3"/>
  <c r="AI13" i="3" s="1"/>
  <c r="BT73" i="1"/>
  <c r="BV73" i="1"/>
  <c r="AU30" i="1"/>
  <c r="C30" i="1"/>
  <c r="ET30" i="1"/>
  <c r="BW73" i="1"/>
  <c r="Z38" i="1"/>
  <c r="BT38" i="1" s="1"/>
  <c r="CX38" i="1" s="1"/>
  <c r="AS26" i="2"/>
  <c r="R17" i="3"/>
  <c r="ET18" i="1"/>
  <c r="H26" i="2"/>
  <c r="BK14" i="15"/>
  <c r="C7" i="17"/>
  <c r="BX19" i="15"/>
  <c r="BW63" i="15"/>
  <c r="ET19" i="15"/>
  <c r="BV63" i="15"/>
  <c r="BT63" i="15"/>
  <c r="C19" i="15"/>
  <c r="AU19" i="15"/>
  <c r="BU62" i="1"/>
  <c r="Z33" i="3"/>
  <c r="AA33" i="3" s="1"/>
  <c r="R33" i="3" s="1"/>
  <c r="C18" i="1"/>
  <c r="C84" i="1" s="1"/>
  <c r="AS38" i="1"/>
  <c r="BT19" i="15"/>
  <c r="EN19" i="15"/>
  <c r="AA19" i="15"/>
  <c r="AD22" i="3"/>
  <c r="R22" i="3"/>
  <c r="AI22" i="3" s="1"/>
  <c r="BT15" i="15"/>
  <c r="BX15" i="15" s="1"/>
  <c r="EN15" i="15"/>
  <c r="AA15" i="15"/>
  <c r="BT40" i="15"/>
  <c r="CX40" i="15" s="1"/>
  <c r="EN40" i="15"/>
  <c r="EN31" i="15"/>
  <c r="BT31" i="15"/>
  <c r="CX31" i="15" s="1"/>
  <c r="AA31" i="15"/>
  <c r="BU58" i="13"/>
  <c r="BT58" i="13"/>
  <c r="J49" i="13"/>
  <c r="AU13" i="13"/>
  <c r="C13" i="13"/>
  <c r="ET13" i="13"/>
  <c r="BW58" i="13"/>
  <c r="BV58" i="13"/>
  <c r="J84" i="13"/>
  <c r="AE49" i="15"/>
  <c r="EO14" i="15"/>
  <c r="EG14" i="15"/>
  <c r="ET34" i="13"/>
  <c r="AU34" i="13"/>
  <c r="C34" i="13"/>
  <c r="BK23" i="15"/>
  <c r="D23" i="15"/>
  <c r="EN25" i="15"/>
  <c r="BT25" i="15"/>
  <c r="CX25" i="15" s="1"/>
  <c r="AA25" i="15"/>
  <c r="BT14" i="15"/>
  <c r="BX14" i="15" s="1"/>
  <c r="EN14" i="15"/>
  <c r="AA14" i="15"/>
  <c r="T24" i="2"/>
  <c r="Z24" i="2"/>
  <c r="AA24" i="2" s="1"/>
  <c r="EN30" i="15"/>
  <c r="BT30" i="15"/>
  <c r="CX30" i="15" s="1"/>
  <c r="AA30" i="15"/>
  <c r="AE26" i="15"/>
  <c r="BS26" i="15"/>
  <c r="BW64" i="15"/>
  <c r="C20" i="15"/>
  <c r="C13" i="17" s="1"/>
  <c r="BV64" i="15"/>
  <c r="ET20" i="15"/>
  <c r="AU20" i="15"/>
  <c r="BT64" i="15"/>
  <c r="T49" i="15"/>
  <c r="T84" i="15"/>
  <c r="AU37" i="13"/>
  <c r="C37" i="13"/>
  <c r="ET37" i="13"/>
  <c r="T84" i="1"/>
  <c r="BK16" i="13"/>
  <c r="BT20" i="15"/>
  <c r="BX20" i="15" s="1"/>
  <c r="EN20" i="15"/>
  <c r="AA20" i="15"/>
  <c r="C45" i="13"/>
  <c r="AU45" i="13"/>
  <c r="C34" i="15"/>
  <c r="C27" i="17" s="1"/>
  <c r="ET34" i="15"/>
  <c r="AU34" i="15"/>
  <c r="EG19" i="1"/>
  <c r="EO19" i="1"/>
  <c r="T25" i="2"/>
  <c r="Z25" i="2"/>
  <c r="AA25" i="2" s="1"/>
  <c r="AU32" i="15"/>
  <c r="ET32" i="15"/>
  <c r="C32" i="15"/>
  <c r="C25" i="17" s="1"/>
  <c r="AA35" i="15"/>
  <c r="BT35" i="15"/>
  <c r="CX35" i="15" s="1"/>
  <c r="EN35" i="15"/>
  <c r="BU64" i="15"/>
  <c r="C21" i="15"/>
  <c r="C14" i="17" s="1"/>
  <c r="BT65" i="15"/>
  <c r="BW65" i="15"/>
  <c r="BV65" i="15"/>
  <c r="AU21" i="15"/>
  <c r="ET21" i="15"/>
  <c r="BT32" i="15"/>
  <c r="CX32" i="15" s="1"/>
  <c r="EN32" i="15"/>
  <c r="AA32" i="15"/>
  <c r="BT34" i="15"/>
  <c r="CX34" i="15" s="1"/>
  <c r="EN34" i="15"/>
  <c r="AA34" i="15"/>
  <c r="EN16" i="15"/>
  <c r="BT16" i="15"/>
  <c r="BX16" i="15" s="1"/>
  <c r="AA16" i="15"/>
  <c r="ET15" i="1"/>
  <c r="AU15" i="1"/>
  <c r="C15" i="1"/>
  <c r="C32" i="13"/>
  <c r="AU32" i="13"/>
  <c r="ET32" i="13"/>
  <c r="EN21" i="15"/>
  <c r="BT21" i="15"/>
  <c r="CX21" i="15" s="1"/>
  <c r="AA21" i="15"/>
  <c r="C36" i="13"/>
  <c r="ET36" i="13"/>
  <c r="AU36" i="13"/>
  <c r="BV68" i="1"/>
  <c r="C25" i="1"/>
  <c r="ET25" i="1"/>
  <c r="BW68" i="1"/>
  <c r="AU25" i="1"/>
  <c r="AU50" i="1" s="1"/>
  <c r="BT68" i="1"/>
  <c r="AS31" i="2"/>
  <c r="BV74" i="13"/>
  <c r="C31" i="13"/>
  <c r="BT74" i="13"/>
  <c r="BW74" i="13"/>
  <c r="AU31" i="13"/>
  <c r="ET31" i="13"/>
  <c r="BW62" i="15"/>
  <c r="BV62" i="15"/>
  <c r="ET18" i="15"/>
  <c r="AU18" i="15"/>
  <c r="C18" i="15"/>
  <c r="C11" i="17" s="1"/>
  <c r="BT62" i="15"/>
  <c r="AU22" i="15"/>
  <c r="C22" i="15"/>
  <c r="C15" i="17" s="1"/>
  <c r="ET22" i="15"/>
  <c r="C22" i="13"/>
  <c r="ET22" i="13"/>
  <c r="AU22" i="13"/>
  <c r="BT27" i="15"/>
  <c r="CX27" i="15" s="1"/>
  <c r="EN27" i="15"/>
  <c r="AA27" i="15"/>
  <c r="EO15" i="1"/>
  <c r="EG15" i="1"/>
  <c r="I46" i="1"/>
  <c r="I46" i="15"/>
  <c r="I50" i="15" s="1"/>
  <c r="I46" i="13"/>
  <c r="I50" i="13" s="1"/>
  <c r="ED27" i="15"/>
  <c r="EO27" i="15"/>
  <c r="EG27" i="15"/>
  <c r="G43" i="2"/>
  <c r="D20" i="1"/>
  <c r="I84" i="15"/>
  <c r="ET36" i="15"/>
  <c r="AU36" i="15"/>
  <c r="C36" i="15"/>
  <c r="C29" i="17" s="1"/>
  <c r="C15" i="13"/>
  <c r="ET15" i="13"/>
  <c r="AU15" i="13"/>
  <c r="BV70" i="15"/>
  <c r="C27" i="15"/>
  <c r="C20" i="17" s="1"/>
  <c r="BT70" i="15"/>
  <c r="ET27" i="15"/>
  <c r="BW70" i="15"/>
  <c r="AU27" i="15"/>
  <c r="AU37" i="15"/>
  <c r="ET37" i="15"/>
  <c r="C37" i="15"/>
  <c r="C30" i="17" s="1"/>
  <c r="J28" i="13"/>
  <c r="AS28" i="13"/>
  <c r="AS49" i="13" s="1"/>
  <c r="BU71" i="13"/>
  <c r="S48" i="2"/>
  <c r="BS24" i="15"/>
  <c r="AE24" i="15"/>
  <c r="S27" i="5"/>
  <c r="AA37" i="15"/>
  <c r="BT37" i="15"/>
  <c r="CX37" i="15" s="1"/>
  <c r="EN37" i="15"/>
  <c r="Z41" i="15"/>
  <c r="AS41" i="15"/>
  <c r="BV67" i="15"/>
  <c r="BT67" i="15"/>
  <c r="BW67" i="15"/>
  <c r="AU24" i="15"/>
  <c r="C24" i="15"/>
  <c r="C17" i="17" s="1"/>
  <c r="ET24" i="15"/>
  <c r="AS16" i="2"/>
  <c r="H16" i="2"/>
  <c r="BT26" i="15"/>
  <c r="CX26" i="15" s="1"/>
  <c r="EN26" i="15"/>
  <c r="AA26" i="15"/>
  <c r="CQ33" i="13"/>
  <c r="DS33" i="13"/>
  <c r="DU33" i="13" s="1"/>
  <c r="DH33" i="13"/>
  <c r="EJ33" i="13"/>
  <c r="EM33" i="13"/>
  <c r="CK33" i="13"/>
  <c r="EO15" i="15"/>
  <c r="EG15" i="15"/>
  <c r="AS38" i="15"/>
  <c r="Z38" i="15"/>
  <c r="J38" i="15"/>
  <c r="C20" i="13"/>
  <c r="BT64" i="13"/>
  <c r="BW64" i="13"/>
  <c r="AU20" i="13"/>
  <c r="BV64" i="13"/>
  <c r="ET20" i="13"/>
  <c r="BK29" i="15"/>
  <c r="D29" i="15"/>
  <c r="BT39" i="15"/>
  <c r="CX39" i="15" s="1"/>
  <c r="EN39" i="15"/>
  <c r="BT62" i="13"/>
  <c r="BV62" i="13"/>
  <c r="C18" i="13"/>
  <c r="AU18" i="13"/>
  <c r="ET18" i="13"/>
  <c r="BW62" i="13"/>
  <c r="C13" i="15"/>
  <c r="C6" i="17" s="1"/>
  <c r="BV58" i="15"/>
  <c r="J49" i="15"/>
  <c r="BT58" i="15"/>
  <c r="ET13" i="15"/>
  <c r="AU13" i="15"/>
  <c r="BW58" i="15"/>
  <c r="AU21" i="13"/>
  <c r="ET21" i="13"/>
  <c r="BT65" i="13"/>
  <c r="C21" i="13"/>
  <c r="BU65" i="13"/>
  <c r="BV65" i="13"/>
  <c r="BW65" i="13"/>
  <c r="AE8" i="2"/>
  <c r="AE43" i="2" s="1"/>
  <c r="AC43" i="2"/>
  <c r="BT67" i="13"/>
  <c r="BV67" i="13"/>
  <c r="BW67" i="13"/>
  <c r="AU24" i="13"/>
  <c r="C24" i="13"/>
  <c r="ET24" i="13"/>
  <c r="AS38" i="13"/>
  <c r="J38" i="13"/>
  <c r="C22" i="1"/>
  <c r="ET22" i="1"/>
  <c r="AU22" i="1"/>
  <c r="BU64" i="13"/>
  <c r="BS22" i="15"/>
  <c r="AE22" i="15"/>
  <c r="EN23" i="15"/>
  <c r="BT23" i="15"/>
  <c r="CX23" i="15" s="1"/>
  <c r="AA23" i="15"/>
  <c r="BT22" i="15"/>
  <c r="CX22" i="15" s="1"/>
  <c r="EN22" i="15"/>
  <c r="AA22" i="15"/>
  <c r="Z14" i="2"/>
  <c r="AA14" i="2" s="1"/>
  <c r="BK20" i="1"/>
  <c r="BS23" i="15"/>
  <c r="AE23" i="15"/>
  <c r="EC23" i="15"/>
  <c r="H33" i="7"/>
  <c r="AS41" i="1"/>
  <c r="Z36" i="3"/>
  <c r="G35" i="2"/>
  <c r="Z35" i="2" s="1"/>
  <c r="Z41" i="1"/>
  <c r="EN36" i="15"/>
  <c r="BT36" i="15"/>
  <c r="CX36" i="15" s="1"/>
  <c r="AA36" i="15"/>
  <c r="T10" i="2"/>
  <c r="T43" i="2" s="1"/>
  <c r="AT14" i="2"/>
  <c r="C15" i="15"/>
  <c r="C8" i="17" s="1"/>
  <c r="ET15" i="15"/>
  <c r="AU15" i="15"/>
  <c r="C45" i="15"/>
  <c r="AU45" i="15"/>
  <c r="BT74" i="15"/>
  <c r="C31" i="15"/>
  <c r="C24" i="17" s="1"/>
  <c r="BW74" i="15"/>
  <c r="AU31" i="15"/>
  <c r="ET31" i="15"/>
  <c r="BU74" i="15"/>
  <c r="BV74" i="15"/>
  <c r="EO14" i="1"/>
  <c r="EG14" i="1"/>
  <c r="BT68" i="15"/>
  <c r="BW68" i="15"/>
  <c r="BV68" i="15"/>
  <c r="AU25" i="15"/>
  <c r="ET25" i="15"/>
  <c r="C25" i="15"/>
  <c r="C18" i="17" s="1"/>
  <c r="BU76" i="1"/>
  <c r="Z49" i="15"/>
  <c r="EN18" i="15"/>
  <c r="AA18" i="15"/>
  <c r="AA49" i="15" s="1"/>
  <c r="BT18" i="15"/>
  <c r="BX18" i="15" s="1"/>
  <c r="AS51" i="1"/>
  <c r="EG19" i="15"/>
  <c r="EO19" i="15"/>
  <c r="Z28" i="15"/>
  <c r="J28" i="15"/>
  <c r="J84" i="15" s="1"/>
  <c r="AS28" i="15"/>
  <c r="AS51" i="15" s="1"/>
  <c r="BS25" i="15"/>
  <c r="BX25" i="15" s="1"/>
  <c r="AE25" i="15"/>
  <c r="AE32" i="15"/>
  <c r="BS32" i="15"/>
  <c r="BV70" i="13"/>
  <c r="BW70" i="13"/>
  <c r="ET27" i="13"/>
  <c r="AU27" i="13"/>
  <c r="C27" i="13"/>
  <c r="BT70" i="13"/>
  <c r="Z42" i="15"/>
  <c r="AS42" i="15"/>
  <c r="BT24" i="15"/>
  <c r="CX24" i="15" s="1"/>
  <c r="EN24" i="15"/>
  <c r="AA24" i="15"/>
  <c r="Z37" i="3"/>
  <c r="AS42" i="1"/>
  <c r="H34" i="7"/>
  <c r="G36" i="2"/>
  <c r="Z36" i="2" s="1"/>
  <c r="Z42" i="1"/>
  <c r="R20" i="3"/>
  <c r="AI20" i="3" s="1"/>
  <c r="S43" i="2"/>
  <c r="BS28" i="15"/>
  <c r="AE28" i="15"/>
  <c r="H14" i="2"/>
  <c r="AA30" i="1"/>
  <c r="BT30" i="1"/>
  <c r="CX30" i="1" s="1"/>
  <c r="EN30" i="1"/>
  <c r="BT13" i="15"/>
  <c r="BX13" i="15" s="1"/>
  <c r="AA13" i="15"/>
  <c r="EN13" i="15"/>
  <c r="BU68" i="15"/>
  <c r="BV68" i="13"/>
  <c r="ET25" i="13"/>
  <c r="AU25" i="13"/>
  <c r="BU68" i="13"/>
  <c r="C25" i="13"/>
  <c r="BW68" i="13"/>
  <c r="BT68" i="13"/>
  <c r="EW20" i="15"/>
  <c r="CB20" i="15"/>
  <c r="CA20" i="15"/>
  <c r="D51" i="14"/>
  <c r="D53" i="14"/>
  <c r="D49" i="14"/>
  <c r="BZ67" i="13"/>
  <c r="CA67" i="13" s="1"/>
  <c r="DH23" i="13"/>
  <c r="CK23" i="13"/>
  <c r="EM23" i="13"/>
  <c r="CQ23" i="13"/>
  <c r="EJ23" i="13"/>
  <c r="DS23" i="13"/>
  <c r="DU23" i="13" s="1"/>
  <c r="BZ70" i="13"/>
  <c r="CA70" i="13" s="1"/>
  <c r="DS26" i="13"/>
  <c r="DU26" i="13" s="1"/>
  <c r="CQ26" i="13"/>
  <c r="EM26" i="13"/>
  <c r="CK26" i="13"/>
  <c r="DH26" i="13"/>
  <c r="EJ26" i="13"/>
  <c r="BZ63" i="13"/>
  <c r="CA63" i="13" s="1"/>
  <c r="EJ19" i="13"/>
  <c r="CK19" i="13"/>
  <c r="DS19" i="13"/>
  <c r="DU19" i="13" s="1"/>
  <c r="EM19" i="13"/>
  <c r="DH19" i="13"/>
  <c r="BZ60" i="13"/>
  <c r="CA60" i="13" s="1"/>
  <c r="EM16" i="13"/>
  <c r="CK16" i="13"/>
  <c r="DS16" i="13"/>
  <c r="DU16" i="13" s="1"/>
  <c r="DH16" i="13"/>
  <c r="EJ16" i="13"/>
  <c r="BZ73" i="13"/>
  <c r="CA73" i="13" s="1"/>
  <c r="EM29" i="13"/>
  <c r="CQ29" i="13"/>
  <c r="DS29" i="13"/>
  <c r="DU29" i="13" s="1"/>
  <c r="CK29" i="13"/>
  <c r="DH29" i="13"/>
  <c r="EJ29" i="13"/>
  <c r="CQ35" i="13"/>
  <c r="DS35" i="13"/>
  <c r="DU35" i="13" s="1"/>
  <c r="EM35" i="13"/>
  <c r="CK35" i="13"/>
  <c r="EJ35" i="13"/>
  <c r="DH35" i="13"/>
  <c r="BZ58" i="13"/>
  <c r="CA58" i="13" s="1"/>
  <c r="EM14" i="13"/>
  <c r="CK14" i="13"/>
  <c r="DS14" i="13"/>
  <c r="DU14" i="13" s="1"/>
  <c r="DH14" i="13"/>
  <c r="EJ14" i="13"/>
  <c r="CB16" i="1"/>
  <c r="EW16" i="1"/>
  <c r="CA16" i="1"/>
  <c r="K12" i="2"/>
  <c r="AU12" i="2"/>
  <c r="AV12" i="2"/>
  <c r="AC34" i="5"/>
  <c r="R108" i="9"/>
  <c r="S53" i="9"/>
  <c r="G33" i="7"/>
  <c r="X36" i="3" s="1"/>
  <c r="AH33" i="7"/>
  <c r="P106" i="9"/>
  <c r="V51" i="9"/>
  <c r="V106" i="9" s="1"/>
  <c r="CA17" i="1"/>
  <c r="EW17" i="1"/>
  <c r="CB17" i="1"/>
  <c r="AC24" i="9"/>
  <c r="S24" i="9"/>
  <c r="S24" i="11" s="1"/>
  <c r="AJ24" i="9"/>
  <c r="Y43" i="5"/>
  <c r="BY43" i="5" s="1"/>
  <c r="CE43" i="5" s="1"/>
  <c r="Y37" i="5"/>
  <c r="Y46" i="5"/>
  <c r="BY46" i="5" s="1"/>
  <c r="CE46" i="5" s="1"/>
  <c r="Y28" i="5"/>
  <c r="Y52" i="5"/>
  <c r="X52" i="5" s="1"/>
  <c r="Y53" i="5"/>
  <c r="Y39" i="5"/>
  <c r="Y35" i="5"/>
  <c r="Y51" i="5"/>
  <c r="X51" i="5" s="1"/>
  <c r="Y38" i="5"/>
  <c r="BY38" i="5" s="1"/>
  <c r="CE38" i="5" s="1"/>
  <c r="Y20" i="5"/>
  <c r="Y24" i="5"/>
  <c r="Y44" i="5"/>
  <c r="Y26" i="5"/>
  <c r="Y22" i="5"/>
  <c r="Y47" i="5"/>
  <c r="BY47" i="5" s="1"/>
  <c r="CE47" i="5" s="1"/>
  <c r="Y45" i="5"/>
  <c r="Y36" i="5"/>
  <c r="Y27" i="5"/>
  <c r="Y42" i="5"/>
  <c r="BY42" i="5" s="1"/>
  <c r="CE42" i="5" s="1"/>
  <c r="Y40" i="5"/>
  <c r="BY40" i="5" s="1"/>
  <c r="CE40" i="5" s="1"/>
  <c r="Y29" i="5"/>
  <c r="Y23" i="5"/>
  <c r="Y41" i="5"/>
  <c r="BY41" i="5" s="1"/>
  <c r="CE41" i="5" s="1"/>
  <c r="Y49" i="5"/>
  <c r="Y21" i="5"/>
  <c r="Y25" i="5"/>
  <c r="Y50" i="5"/>
  <c r="BW50" i="5" s="1"/>
  <c r="CC50" i="5" s="1"/>
  <c r="CG50" i="5" s="1"/>
  <c r="Y48" i="5"/>
  <c r="EN22" i="1"/>
  <c r="BT22" i="1"/>
  <c r="CX22" i="1" s="1"/>
  <c r="AA22" i="1"/>
  <c r="W37" i="3"/>
  <c r="EN36" i="1"/>
  <c r="BT36" i="1"/>
  <c r="CX36" i="1" s="1"/>
  <c r="AA36" i="1"/>
  <c r="U108" i="9"/>
  <c r="W53" i="9"/>
  <c r="AC32" i="5"/>
  <c r="G35" i="7"/>
  <c r="X38" i="3" s="1"/>
  <c r="Z41" i="3"/>
  <c r="AS46" i="1"/>
  <c r="Z46" i="1"/>
  <c r="H38" i="7"/>
  <c r="G40" i="2"/>
  <c r="I54" i="1"/>
  <c r="I53" i="1"/>
  <c r="B15" i="10"/>
  <c r="G15" i="10" s="1"/>
  <c r="AC21" i="15" s="1"/>
  <c r="AI14" i="3"/>
  <c r="S14" i="3"/>
  <c r="K26" i="2"/>
  <c r="AU26" i="2"/>
  <c r="AV26" i="2"/>
  <c r="AT26" i="2"/>
  <c r="Z30" i="2"/>
  <c r="AA30" i="2" s="1"/>
  <c r="T30" i="2"/>
  <c r="Y26" i="10"/>
  <c r="AC32" i="1"/>
  <c r="Z16" i="2"/>
  <c r="T16" i="2"/>
  <c r="S45" i="2"/>
  <c r="AC22" i="1"/>
  <c r="Y16" i="10"/>
  <c r="C36" i="7"/>
  <c r="W39" i="3"/>
  <c r="AF39" i="3" s="1"/>
  <c r="AA7" i="2"/>
  <c r="Y19" i="10"/>
  <c r="AC25" i="1"/>
  <c r="BD10" i="2"/>
  <c r="AI18" i="3"/>
  <c r="S18" i="3"/>
  <c r="Y20" i="10"/>
  <c r="AC26" i="1"/>
  <c r="AC36" i="2"/>
  <c r="AE36" i="2" s="1"/>
  <c r="BS42" i="1"/>
  <c r="AE42" i="1"/>
  <c r="CB18" i="1"/>
  <c r="CA18" i="1"/>
  <c r="EW18" i="1"/>
  <c r="AD21" i="2"/>
  <c r="ED27" i="1"/>
  <c r="BV27" i="1"/>
  <c r="T36" i="7"/>
  <c r="AI36" i="7" s="1"/>
  <c r="BD7" i="2"/>
  <c r="S8" i="3"/>
  <c r="AI8" i="3"/>
  <c r="BD25" i="2"/>
  <c r="Z84" i="1"/>
  <c r="BD8" i="2"/>
  <c r="CB13" i="1"/>
  <c r="CA13" i="1"/>
  <c r="EW13" i="1"/>
  <c r="G31" i="7"/>
  <c r="X34" i="3" s="1"/>
  <c r="AH31" i="7"/>
  <c r="K30" i="2"/>
  <c r="AV30" i="2"/>
  <c r="AU30" i="2"/>
  <c r="CB15" i="1"/>
  <c r="CA15" i="1"/>
  <c r="EW15" i="1"/>
  <c r="EN38" i="1"/>
  <c r="K31" i="2"/>
  <c r="AV31" i="2"/>
  <c r="AU31" i="2"/>
  <c r="R103" i="9"/>
  <c r="S48" i="9"/>
  <c r="S11" i="3"/>
  <c r="S43" i="5"/>
  <c r="D36" i="1"/>
  <c r="C30" i="2"/>
  <c r="S31" i="3" s="1"/>
  <c r="BK36" i="1"/>
  <c r="Y22" i="10"/>
  <c r="AC28" i="1"/>
  <c r="BV28" i="1"/>
  <c r="AD22" i="2"/>
  <c r="W34" i="3"/>
  <c r="AT30" i="2"/>
  <c r="AC21" i="2"/>
  <c r="BS27" i="1"/>
  <c r="AE27" i="1"/>
  <c r="AD20" i="2"/>
  <c r="BV26" i="1"/>
  <c r="AU38" i="1"/>
  <c r="ET38" i="1"/>
  <c r="C38" i="1"/>
  <c r="BX31" i="5"/>
  <c r="CD31" i="5" s="1"/>
  <c r="BY31" i="5"/>
  <c r="CE31" i="5" s="1"/>
  <c r="DL31" i="5" s="1"/>
  <c r="DM31" i="5" s="1"/>
  <c r="X30" i="5"/>
  <c r="U103" i="9"/>
  <c r="W48" i="9"/>
  <c r="R51" i="9"/>
  <c r="R102" i="9"/>
  <c r="S47" i="9"/>
  <c r="AV15" i="2"/>
  <c r="K15" i="2"/>
  <c r="AU15" i="2"/>
  <c r="Y34" i="7"/>
  <c r="AS32" i="2"/>
  <c r="H32" i="2"/>
  <c r="AT32" i="2" s="1"/>
  <c r="Z32" i="2"/>
  <c r="AA32" i="2" s="1"/>
  <c r="U106" i="9"/>
  <c r="AA9" i="2"/>
  <c r="AC116" i="9"/>
  <c r="B37" i="10" s="1"/>
  <c r="G37" i="10" s="1"/>
  <c r="AC43" i="15" s="1"/>
  <c r="K25" i="2"/>
  <c r="AU25" i="2"/>
  <c r="AV25" i="2"/>
  <c r="BD29" i="2"/>
  <c r="S30" i="3"/>
  <c r="EW14" i="1"/>
  <c r="CB14" i="1"/>
  <c r="CA14" i="1"/>
  <c r="W36" i="3"/>
  <c r="G45" i="2"/>
  <c r="AI10" i="3"/>
  <c r="O111" i="9"/>
  <c r="U56" i="9"/>
  <c r="R56" i="9"/>
  <c r="AS22" i="2"/>
  <c r="Z22" i="2"/>
  <c r="AA22" i="2" s="1"/>
  <c r="H22" i="2"/>
  <c r="AD40" i="2"/>
  <c r="BV46" i="1"/>
  <c r="BD13" i="2"/>
  <c r="W109" i="9"/>
  <c r="AC109" i="9" s="1"/>
  <c r="B30" i="10" s="1"/>
  <c r="G30" i="10" s="1"/>
  <c r="AC36" i="15" s="1"/>
  <c r="AC54" i="9"/>
  <c r="AA164" i="9" s="1"/>
  <c r="CT32" i="5"/>
  <c r="AA49" i="1"/>
  <c r="U110" i="9"/>
  <c r="W55" i="9"/>
  <c r="AD84" i="1"/>
  <c r="BV21" i="1"/>
  <c r="AD15" i="2"/>
  <c r="AT12" i="2"/>
  <c r="W35" i="3"/>
  <c r="AI26" i="3"/>
  <c r="S26" i="3"/>
  <c r="BD26" i="2"/>
  <c r="K28" i="2"/>
  <c r="AV28" i="2"/>
  <c r="AU28" i="2"/>
  <c r="K7" i="2"/>
  <c r="H43" i="2"/>
  <c r="AV7" i="2"/>
  <c r="AU7" i="2"/>
  <c r="S31" i="5"/>
  <c r="D24" i="1"/>
  <c r="C18" i="2"/>
  <c r="BK24" i="1"/>
  <c r="Y18" i="10"/>
  <c r="AC24" i="1"/>
  <c r="W38" i="3"/>
  <c r="AT7" i="2"/>
  <c r="J62" i="2"/>
  <c r="J60" i="2"/>
  <c r="J61" i="2" s="1"/>
  <c r="AI31" i="3"/>
  <c r="AI15" i="3"/>
  <c r="S15" i="3"/>
  <c r="D37" i="1"/>
  <c r="S44" i="5"/>
  <c r="C31" i="2"/>
  <c r="BK37" i="1"/>
  <c r="T35" i="7"/>
  <c r="AI35" i="7" s="1"/>
  <c r="AH32" i="7"/>
  <c r="G32" i="7"/>
  <c r="X35" i="3" s="1"/>
  <c r="EW20" i="1"/>
  <c r="CB20" i="1"/>
  <c r="CA20" i="1"/>
  <c r="C21" i="2"/>
  <c r="S34" i="5"/>
  <c r="D27" i="1"/>
  <c r="BK27" i="1"/>
  <c r="BD28" i="2"/>
  <c r="O107" i="9"/>
  <c r="U52" i="9"/>
  <c r="R52" i="9"/>
  <c r="F7" i="7"/>
  <c r="F6" i="7"/>
  <c r="F8" i="7"/>
  <c r="F12" i="7"/>
  <c r="F11" i="7"/>
  <c r="F5" i="7"/>
  <c r="F10" i="7"/>
  <c r="F9" i="7"/>
  <c r="BD27" i="2"/>
  <c r="W104" i="9"/>
  <c r="AC104" i="9" s="1"/>
  <c r="B25" i="10" s="1"/>
  <c r="G25" i="10" s="1"/>
  <c r="AC31" i="15" s="1"/>
  <c r="AC49" i="9"/>
  <c r="AA159" i="9" s="1"/>
  <c r="BV34" i="1"/>
  <c r="AD28" i="2"/>
  <c r="W41" i="3"/>
  <c r="AV18" i="2"/>
  <c r="K18" i="2"/>
  <c r="AU18" i="2"/>
  <c r="S44" i="2"/>
  <c r="T20" i="5"/>
  <c r="BD23" i="2"/>
  <c r="S24" i="3"/>
  <c r="S27" i="3"/>
  <c r="AI27" i="3"/>
  <c r="I50" i="1"/>
  <c r="K14" i="2"/>
  <c r="AU14" i="2"/>
  <c r="AV14" i="2"/>
  <c r="Y17" i="10"/>
  <c r="AC23" i="1"/>
  <c r="I51" i="1"/>
  <c r="Y33" i="7"/>
  <c r="X33" i="5"/>
  <c r="AD27" i="2"/>
  <c r="BV33" i="1"/>
  <c r="AH38" i="7"/>
  <c r="G38" i="7"/>
  <c r="X41" i="3" s="1"/>
  <c r="S28" i="5"/>
  <c r="C15" i="2"/>
  <c r="D21" i="1"/>
  <c r="BK21" i="1"/>
  <c r="S28" i="3"/>
  <c r="AI28" i="3"/>
  <c r="DC30" i="5"/>
  <c r="AT31" i="2"/>
  <c r="U102" i="9"/>
  <c r="W47" i="9"/>
  <c r="BW71" i="1"/>
  <c r="BW76" i="1" s="1"/>
  <c r="AU28" i="1"/>
  <c r="ET28" i="1"/>
  <c r="BT71" i="1"/>
  <c r="BT76" i="1" s="1"/>
  <c r="C28" i="1"/>
  <c r="BV71" i="1"/>
  <c r="AV19" i="2"/>
  <c r="K19" i="2"/>
  <c r="AU19" i="2"/>
  <c r="AI19" i="3"/>
  <c r="S19" i="3"/>
  <c r="Z53" i="1"/>
  <c r="BD14" i="2"/>
  <c r="BT28" i="1"/>
  <c r="CX28" i="1" s="1"/>
  <c r="EN28" i="1"/>
  <c r="AA28" i="1"/>
  <c r="S47" i="2"/>
  <c r="Y21" i="10"/>
  <c r="AC51" i="11"/>
  <c r="AA161" i="11" s="1"/>
  <c r="W106" i="11"/>
  <c r="AC106" i="11" s="1"/>
  <c r="AC52" i="11"/>
  <c r="AA162" i="11" s="1"/>
  <c r="W107" i="11"/>
  <c r="AC107" i="11" s="1"/>
  <c r="AT15" i="2"/>
  <c r="J84" i="1"/>
  <c r="AD33" i="3"/>
  <c r="AI17" i="3"/>
  <c r="CY33" i="5"/>
  <c r="DC33" i="5" s="1"/>
  <c r="AA117" i="9"/>
  <c r="AC117" i="9" s="1"/>
  <c r="B38" i="10" s="1"/>
  <c r="G38" i="10" s="1"/>
  <c r="AC44" i="15" s="1"/>
  <c r="AC89" i="9"/>
  <c r="Z119" i="9"/>
  <c r="AA91" i="9"/>
  <c r="E4" i="10"/>
  <c r="AS50" i="1"/>
  <c r="S29" i="3"/>
  <c r="CT34" i="5"/>
  <c r="G34" i="7"/>
  <c r="X37" i="3" s="1"/>
  <c r="AH34" i="7"/>
  <c r="P107" i="9"/>
  <c r="V52" i="9"/>
  <c r="V107" i="9" s="1"/>
  <c r="S55" i="9"/>
  <c r="R110" i="9"/>
  <c r="T33" i="7"/>
  <c r="AI33" i="7" s="1"/>
  <c r="AT25" i="2"/>
  <c r="BD11" i="2"/>
  <c r="R23" i="3"/>
  <c r="AD23" i="3"/>
  <c r="EW19" i="15" l="1"/>
  <c r="CA19" i="15"/>
  <c r="CB19" i="15"/>
  <c r="AU49" i="1"/>
  <c r="S25" i="5"/>
  <c r="C12" i="2"/>
  <c r="BU71" i="15"/>
  <c r="BU76" i="15" s="1"/>
  <c r="AS50" i="13"/>
  <c r="BK18" i="1"/>
  <c r="D18" i="1"/>
  <c r="C12" i="17"/>
  <c r="D19" i="15"/>
  <c r="BK19" i="15"/>
  <c r="BK30" i="1"/>
  <c r="S37" i="5"/>
  <c r="D30" i="1"/>
  <c r="C24" i="2"/>
  <c r="BD24" i="2" s="1"/>
  <c r="AI25" i="3"/>
  <c r="C38" i="7"/>
  <c r="H46" i="15" s="1"/>
  <c r="D45" i="15"/>
  <c r="C38" i="17"/>
  <c r="AX2" i="1"/>
  <c r="BV76" i="1"/>
  <c r="AA38" i="1"/>
  <c r="BX24" i="15"/>
  <c r="AT24" i="2"/>
  <c r="AV24" i="2"/>
  <c r="K24" i="2"/>
  <c r="AU24" i="2"/>
  <c r="D30" i="13"/>
  <c r="V30" i="13"/>
  <c r="BK30" i="13"/>
  <c r="AS49" i="15"/>
  <c r="D37" i="15"/>
  <c r="BK37" i="15"/>
  <c r="ED26" i="15"/>
  <c r="EO26" i="15"/>
  <c r="EG26" i="15"/>
  <c r="EC26" i="15"/>
  <c r="H46" i="13"/>
  <c r="BT42" i="15"/>
  <c r="CX42" i="15" s="1"/>
  <c r="EN42" i="15"/>
  <c r="D32" i="15"/>
  <c r="AR62" i="15"/>
  <c r="BK32" i="15"/>
  <c r="EN28" i="15"/>
  <c r="BT28" i="15"/>
  <c r="CX28" i="15" s="1"/>
  <c r="AA28" i="15"/>
  <c r="AA84" i="15" s="1"/>
  <c r="Z84" i="15"/>
  <c r="D36" i="13"/>
  <c r="V36" i="13"/>
  <c r="BK36" i="13"/>
  <c r="BX27" i="15"/>
  <c r="BK24" i="13"/>
  <c r="D24" i="13"/>
  <c r="V24" i="13"/>
  <c r="BK27" i="13"/>
  <c r="V27" i="13"/>
  <c r="D27" i="13"/>
  <c r="EC28" i="15"/>
  <c r="EO28" i="15"/>
  <c r="ED28" i="15"/>
  <c r="EG28" i="15"/>
  <c r="D37" i="13"/>
  <c r="V37" i="13"/>
  <c r="BK37" i="13"/>
  <c r="D25" i="13"/>
  <c r="V25" i="13"/>
  <c r="BK25" i="13"/>
  <c r="EN41" i="15"/>
  <c r="BT41" i="15"/>
  <c r="CX41" i="15" s="1"/>
  <c r="Z43" i="2"/>
  <c r="BX28" i="15"/>
  <c r="BK36" i="15"/>
  <c r="D36" i="15"/>
  <c r="AX2" i="15"/>
  <c r="CB18" i="15"/>
  <c r="CA18" i="15"/>
  <c r="EW18" i="15"/>
  <c r="CS33" i="13"/>
  <c r="CR33" i="13"/>
  <c r="CU33" i="13" s="1"/>
  <c r="V31" i="13"/>
  <c r="BK31" i="13"/>
  <c r="D31" i="13"/>
  <c r="EN41" i="1"/>
  <c r="BT41" i="1"/>
  <c r="CX41" i="1" s="1"/>
  <c r="EC22" i="15"/>
  <c r="ED22" i="15"/>
  <c r="EG22" i="15"/>
  <c r="EO22" i="15"/>
  <c r="H44" i="15"/>
  <c r="H44" i="13"/>
  <c r="BS21" i="15"/>
  <c r="BX21" i="15" s="1"/>
  <c r="AE21" i="15"/>
  <c r="EC21" i="15" s="1"/>
  <c r="BT42" i="1"/>
  <c r="CX42" i="1" s="1"/>
  <c r="EN42" i="1"/>
  <c r="BX32" i="15"/>
  <c r="D31" i="15"/>
  <c r="BK31" i="15"/>
  <c r="BX22" i="15"/>
  <c r="BK13" i="15"/>
  <c r="V20" i="13"/>
  <c r="D20" i="13"/>
  <c r="BK20" i="13"/>
  <c r="D27" i="15"/>
  <c r="BK27" i="15"/>
  <c r="EW14" i="15"/>
  <c r="CB14" i="15"/>
  <c r="CA14" i="15"/>
  <c r="V22" i="13"/>
  <c r="D22" i="13"/>
  <c r="BK22" i="13"/>
  <c r="EO32" i="15"/>
  <c r="ED32" i="15"/>
  <c r="EG32" i="15"/>
  <c r="BU76" i="13"/>
  <c r="ET38" i="15"/>
  <c r="AU38" i="15"/>
  <c r="C38" i="15"/>
  <c r="C31" i="17" s="1"/>
  <c r="K16" i="2"/>
  <c r="AU16" i="2"/>
  <c r="AV16" i="2"/>
  <c r="BK22" i="15"/>
  <c r="D22" i="15"/>
  <c r="V32" i="13"/>
  <c r="AR62" i="13"/>
  <c r="BK32" i="13"/>
  <c r="D32" i="13"/>
  <c r="EC32" i="15"/>
  <c r="BK25" i="15"/>
  <c r="D25" i="15"/>
  <c r="V21" i="13"/>
  <c r="BK21" i="13"/>
  <c r="D21" i="13"/>
  <c r="AA38" i="15"/>
  <c r="BT38" i="15"/>
  <c r="CX38" i="15" s="1"/>
  <c r="EN38" i="15"/>
  <c r="EC24" i="15"/>
  <c r="EG24" i="15"/>
  <c r="ED24" i="15"/>
  <c r="EO24" i="15"/>
  <c r="AS50" i="15"/>
  <c r="AU51" i="15"/>
  <c r="C9" i="2"/>
  <c r="S22" i="5"/>
  <c r="BK15" i="1"/>
  <c r="C49" i="1"/>
  <c r="D15" i="1"/>
  <c r="D49" i="1" s="1"/>
  <c r="D34" i="15"/>
  <c r="BK34" i="15"/>
  <c r="EW15" i="15"/>
  <c r="CB15" i="15"/>
  <c r="CA15" i="15"/>
  <c r="BS36" i="15"/>
  <c r="BX36" i="15" s="1"/>
  <c r="AE36" i="15"/>
  <c r="C34" i="7"/>
  <c r="H42" i="1" s="1"/>
  <c r="EC25" i="15"/>
  <c r="EO25" i="15"/>
  <c r="ED25" i="15"/>
  <c r="EG25" i="15"/>
  <c r="AT16" i="2"/>
  <c r="EW24" i="15"/>
  <c r="CA24" i="15"/>
  <c r="CB24" i="15"/>
  <c r="I53" i="15"/>
  <c r="D21" i="15"/>
  <c r="BK21" i="15"/>
  <c r="AS45" i="2"/>
  <c r="AA84" i="1"/>
  <c r="CC25" i="15"/>
  <c r="CA25" i="15"/>
  <c r="EW25" i="15"/>
  <c r="CB25" i="15"/>
  <c r="BK22" i="1"/>
  <c r="D22" i="1"/>
  <c r="S29" i="5"/>
  <c r="C16" i="2"/>
  <c r="V18" i="13"/>
  <c r="D18" i="13"/>
  <c r="BK18" i="13"/>
  <c r="AS46" i="13"/>
  <c r="I51" i="13"/>
  <c r="I53" i="13"/>
  <c r="D20" i="15"/>
  <c r="BK20" i="15"/>
  <c r="V13" i="13"/>
  <c r="BK13" i="13"/>
  <c r="C49" i="13"/>
  <c r="AF37" i="3"/>
  <c r="Z54" i="1"/>
  <c r="AU51" i="1"/>
  <c r="AS51" i="13"/>
  <c r="ED23" i="15"/>
  <c r="EO23" i="15"/>
  <c r="EG23" i="15"/>
  <c r="C38" i="13"/>
  <c r="ET38" i="13"/>
  <c r="AU38" i="13"/>
  <c r="D24" i="15"/>
  <c r="BK24" i="15"/>
  <c r="AS46" i="15"/>
  <c r="Z46" i="15"/>
  <c r="BT46" i="15" s="1"/>
  <c r="CX46" i="15" s="1"/>
  <c r="I51" i="15"/>
  <c r="D18" i="15"/>
  <c r="BK18" i="15"/>
  <c r="S32" i="5"/>
  <c r="C19" i="2"/>
  <c r="BD19" i="2" s="1"/>
  <c r="D25" i="1"/>
  <c r="BK25" i="1"/>
  <c r="D45" i="13"/>
  <c r="V45" i="13"/>
  <c r="CK45" i="13" s="1"/>
  <c r="I54" i="13"/>
  <c r="AE43" i="15"/>
  <c r="BS43" i="15"/>
  <c r="EW13" i="15"/>
  <c r="CB13" i="15"/>
  <c r="CA13" i="15"/>
  <c r="C49" i="15"/>
  <c r="D15" i="15"/>
  <c r="BK15" i="15"/>
  <c r="BX23" i="15"/>
  <c r="V15" i="13"/>
  <c r="BK15" i="13"/>
  <c r="D15" i="13"/>
  <c r="CB16" i="15"/>
  <c r="CA16" i="15"/>
  <c r="EW16" i="15"/>
  <c r="V34" i="13"/>
  <c r="BK34" i="13"/>
  <c r="D34" i="13"/>
  <c r="I54" i="15"/>
  <c r="BS31" i="15"/>
  <c r="BX31" i="15" s="1"/>
  <c r="AE31" i="15"/>
  <c r="EC31" i="15"/>
  <c r="AE44" i="15"/>
  <c r="BS44" i="15"/>
  <c r="Y35" i="7"/>
  <c r="Y36" i="7" s="1"/>
  <c r="DN31" i="5"/>
  <c r="BV71" i="15"/>
  <c r="BV76" i="15" s="1"/>
  <c r="AU28" i="15"/>
  <c r="AU49" i="15" s="1"/>
  <c r="BT71" i="15"/>
  <c r="BT76" i="15" s="1"/>
  <c r="BW71" i="15"/>
  <c r="BW76" i="15" s="1"/>
  <c r="C28" i="15"/>
  <c r="C21" i="17" s="1"/>
  <c r="ET28" i="15"/>
  <c r="BV71" i="13"/>
  <c r="BV76" i="13" s="1"/>
  <c r="BT71" i="13"/>
  <c r="BT76" i="13" s="1"/>
  <c r="BW71" i="13"/>
  <c r="BW76" i="13" s="1"/>
  <c r="ET28" i="13"/>
  <c r="AU28" i="13"/>
  <c r="AU50" i="13" s="1"/>
  <c r="C28" i="13"/>
  <c r="C78" i="13" s="1"/>
  <c r="BX26" i="15"/>
  <c r="CR29" i="13"/>
  <c r="CS29" i="13"/>
  <c r="CS26" i="13"/>
  <c r="CR26" i="13"/>
  <c r="CS23" i="13"/>
  <c r="CR23" i="13"/>
  <c r="CS35" i="13"/>
  <c r="CR35" i="13"/>
  <c r="AC47" i="9"/>
  <c r="AA157" i="9" s="1"/>
  <c r="W102" i="9"/>
  <c r="AC102" i="9" s="1"/>
  <c r="H46" i="1"/>
  <c r="W14" i="3"/>
  <c r="AF14" i="3" s="1"/>
  <c r="AG14" i="3" s="1"/>
  <c r="I11" i="7"/>
  <c r="K11" i="7" s="1"/>
  <c r="AE24" i="1"/>
  <c r="AC18" i="2"/>
  <c r="AE18" i="2" s="1"/>
  <c r="BS24" i="1"/>
  <c r="BX24" i="1" s="1"/>
  <c r="EC24" i="1"/>
  <c r="Y15" i="10"/>
  <c r="AC21" i="1"/>
  <c r="BZ25" i="5"/>
  <c r="CF25" i="5" s="1"/>
  <c r="BY25" i="5"/>
  <c r="CE25" i="5" s="1"/>
  <c r="BW20" i="5"/>
  <c r="CC20" i="5" s="1"/>
  <c r="BY20" i="5"/>
  <c r="CE20" i="5" s="1"/>
  <c r="BZ20" i="5"/>
  <c r="CF20" i="5" s="1"/>
  <c r="BX20" i="5"/>
  <c r="CD20" i="5" s="1"/>
  <c r="AB20" i="5"/>
  <c r="X34" i="5"/>
  <c r="I12" i="7"/>
  <c r="K12" i="7" s="1"/>
  <c r="W15" i="3"/>
  <c r="AF15" i="3" s="1"/>
  <c r="AG15" i="3" s="1"/>
  <c r="CG31" i="5"/>
  <c r="BD30" i="2"/>
  <c r="AC26" i="2"/>
  <c r="AE26" i="2" s="1"/>
  <c r="AE32" i="1"/>
  <c r="BS32" i="1"/>
  <c r="BX32" i="1" s="1"/>
  <c r="EC32" i="1"/>
  <c r="BY21" i="5"/>
  <c r="CE21" i="5" s="1"/>
  <c r="BW21" i="5"/>
  <c r="CC21" i="5" s="1"/>
  <c r="BZ21" i="5"/>
  <c r="CF21" i="5" s="1"/>
  <c r="DL38" i="5"/>
  <c r="DM38" i="5" s="1"/>
  <c r="DN38" i="5" s="1"/>
  <c r="CG38" i="5"/>
  <c r="AA119" i="9"/>
  <c r="AC119" i="9" s="1"/>
  <c r="B40" i="10" s="1"/>
  <c r="G40" i="10" s="1"/>
  <c r="AC46" i="15" s="1"/>
  <c r="AC91" i="9"/>
  <c r="W11" i="3"/>
  <c r="AF11" i="3" s="1"/>
  <c r="AG11" i="3" s="1"/>
  <c r="I8" i="7"/>
  <c r="K8" i="7" s="1"/>
  <c r="D38" i="1"/>
  <c r="S45" i="5"/>
  <c r="C32" i="2"/>
  <c r="S33" i="3" s="1"/>
  <c r="BK38" i="1"/>
  <c r="BY49" i="5"/>
  <c r="CE49" i="5" s="1"/>
  <c r="DL49" i="5" s="1"/>
  <c r="DM49" i="5" s="1"/>
  <c r="BW49" i="5"/>
  <c r="CC49" i="5" s="1"/>
  <c r="CG49" i="5" s="1"/>
  <c r="W9" i="3"/>
  <c r="AF9" i="3" s="1"/>
  <c r="AG9" i="3" s="1"/>
  <c r="I6" i="7"/>
  <c r="K6" i="7" s="1"/>
  <c r="BD18" i="2"/>
  <c r="AC20" i="2"/>
  <c r="AE20" i="2" s="1"/>
  <c r="AE26" i="1"/>
  <c r="BS26" i="1"/>
  <c r="BX26" i="1" s="1"/>
  <c r="Z40" i="2"/>
  <c r="G44" i="2"/>
  <c r="G48" i="2"/>
  <c r="G47" i="2"/>
  <c r="DL41" i="5"/>
  <c r="DM41" i="5" s="1"/>
  <c r="DN41" i="5" s="1"/>
  <c r="CG41" i="5"/>
  <c r="D35" i="5"/>
  <c r="BY35" i="5"/>
  <c r="CE35" i="5" s="1"/>
  <c r="DL35" i="5" s="1"/>
  <c r="DM35" i="5" s="1"/>
  <c r="W10" i="3"/>
  <c r="AF10" i="3" s="1"/>
  <c r="AG10" i="3" s="1"/>
  <c r="I7" i="7"/>
  <c r="K7" i="7" s="1"/>
  <c r="BD12" i="2"/>
  <c r="S13" i="3"/>
  <c r="BX23" i="5"/>
  <c r="CD23" i="5" s="1"/>
  <c r="BW23" i="5"/>
  <c r="CC23" i="5" s="1"/>
  <c r="BY23" i="5"/>
  <c r="CE23" i="5" s="1"/>
  <c r="DL23" i="5" s="1"/>
  <c r="DM23" i="5" s="1"/>
  <c r="DN23" i="5" s="1"/>
  <c r="BZ23" i="5"/>
  <c r="CF23" i="5" s="1"/>
  <c r="R107" i="9"/>
  <c r="S52" i="9"/>
  <c r="AC43" i="1"/>
  <c r="Y37" i="10"/>
  <c r="AF34" i="3"/>
  <c r="BT46" i="1"/>
  <c r="CX46" i="1" s="1"/>
  <c r="D29" i="5"/>
  <c r="BZ29" i="5"/>
  <c r="CF29" i="5" s="1"/>
  <c r="BY29" i="5"/>
  <c r="CE29" i="5" s="1"/>
  <c r="DL29" i="5" s="1"/>
  <c r="DM29" i="5" s="1"/>
  <c r="DN29" i="5" s="1"/>
  <c r="BX53" i="5"/>
  <c r="CD53" i="5" s="1"/>
  <c r="BW53" i="5"/>
  <c r="CC53" i="5" s="1"/>
  <c r="CG53" i="5" s="1"/>
  <c r="Z50" i="1"/>
  <c r="AI33" i="3"/>
  <c r="U20" i="5"/>
  <c r="U107" i="9"/>
  <c r="W52" i="9"/>
  <c r="AC55" i="9"/>
  <c r="AA165" i="9" s="1"/>
  <c r="W110" i="9"/>
  <c r="AC110" i="9" s="1"/>
  <c r="B31" i="10" s="1"/>
  <c r="G31" i="10" s="1"/>
  <c r="AC37" i="15" s="1"/>
  <c r="C33" i="7"/>
  <c r="C31" i="7"/>
  <c r="X32" i="5"/>
  <c r="DL40" i="5"/>
  <c r="DM40" i="5" s="1"/>
  <c r="DN40" i="5" s="1"/>
  <c r="CG40" i="5"/>
  <c r="AF36" i="3"/>
  <c r="H44" i="1"/>
  <c r="DL42" i="5"/>
  <c r="DM42" i="5" s="1"/>
  <c r="DN42" i="5" s="1"/>
  <c r="CG42" i="5"/>
  <c r="BY28" i="5"/>
  <c r="CE28" i="5" s="1"/>
  <c r="BZ28" i="5"/>
  <c r="CF28" i="5" s="1"/>
  <c r="AE23" i="1"/>
  <c r="EC23" i="1" s="1"/>
  <c r="BS23" i="1"/>
  <c r="BX23" i="1" s="1"/>
  <c r="AC17" i="2"/>
  <c r="AE17" i="2" s="1"/>
  <c r="K22" i="2"/>
  <c r="AV22" i="2"/>
  <c r="AU22" i="2"/>
  <c r="Y38" i="7"/>
  <c r="W108" i="9"/>
  <c r="AC108" i="9" s="1"/>
  <c r="B29" i="10" s="1"/>
  <c r="G29" i="10" s="1"/>
  <c r="AC35" i="15" s="1"/>
  <c r="AC53" i="9"/>
  <c r="AA163" i="9" s="1"/>
  <c r="BZ27" i="5"/>
  <c r="CF27" i="5" s="1"/>
  <c r="BY27" i="5"/>
  <c r="CE27" i="5" s="1"/>
  <c r="DL27" i="5" s="1"/>
  <c r="DM27" i="5" s="1"/>
  <c r="DN27" i="5" s="1"/>
  <c r="BW27" i="5"/>
  <c r="CC27" i="5" s="1"/>
  <c r="CG27" i="5" s="1"/>
  <c r="DL46" i="5"/>
  <c r="DM46" i="5" s="1"/>
  <c r="CG46" i="5"/>
  <c r="AI23" i="3"/>
  <c r="Y38" i="10"/>
  <c r="AC44" i="1"/>
  <c r="Z51" i="1"/>
  <c r="AC31" i="1"/>
  <c r="Y25" i="10"/>
  <c r="C32" i="7"/>
  <c r="D36" i="5"/>
  <c r="BY36" i="5"/>
  <c r="CE36" i="5" s="1"/>
  <c r="DL36" i="5" s="1"/>
  <c r="DM36" i="5" s="1"/>
  <c r="DN36" i="5" s="1"/>
  <c r="BY37" i="5"/>
  <c r="CE37" i="5" s="1"/>
  <c r="DL37" i="5" s="1"/>
  <c r="DM37" i="5" s="1"/>
  <c r="DN37" i="5" s="1"/>
  <c r="BX37" i="5"/>
  <c r="CD37" i="5" s="1"/>
  <c r="CG37" i="5" s="1"/>
  <c r="C22" i="2"/>
  <c r="D28" i="1"/>
  <c r="S35" i="5"/>
  <c r="BK28" i="1"/>
  <c r="C78" i="1"/>
  <c r="AF35" i="3"/>
  <c r="W51" i="9"/>
  <c r="S51" i="9"/>
  <c r="R106" i="9"/>
  <c r="BS22" i="1"/>
  <c r="BX22" i="1" s="1"/>
  <c r="AC16" i="2"/>
  <c r="AE16" i="2" s="1"/>
  <c r="AE22" i="1"/>
  <c r="EC22" i="1" s="1"/>
  <c r="DL43" i="5"/>
  <c r="DM43" i="5" s="1"/>
  <c r="DN43" i="5" s="1"/>
  <c r="CG43" i="5"/>
  <c r="BD31" i="2"/>
  <c r="S32" i="3"/>
  <c r="AW8" i="2"/>
  <c r="AT22" i="2"/>
  <c r="W103" i="9"/>
  <c r="AC103" i="9" s="1"/>
  <c r="B24" i="10" s="1"/>
  <c r="G24" i="10" s="1"/>
  <c r="AC30" i="15" s="1"/>
  <c r="AC48" i="9"/>
  <c r="AA158" i="9" s="1"/>
  <c r="EO27" i="1"/>
  <c r="EG27" i="1"/>
  <c r="DL47" i="5"/>
  <c r="DM47" i="5" s="1"/>
  <c r="CG47" i="5"/>
  <c r="BD15" i="2"/>
  <c r="S16" i="3"/>
  <c r="CY34" i="5"/>
  <c r="DC34" i="5" s="1"/>
  <c r="DN34" i="5"/>
  <c r="K43" i="2"/>
  <c r="R111" i="9"/>
  <c r="S56" i="9"/>
  <c r="BW22" i="5"/>
  <c r="CC22" i="5" s="1"/>
  <c r="BY22" i="5"/>
  <c r="CE22" i="5" s="1"/>
  <c r="DL22" i="5" s="1"/>
  <c r="DM22" i="5" s="1"/>
  <c r="DN22" i="5" s="1"/>
  <c r="BX22" i="5"/>
  <c r="CD22" i="5" s="1"/>
  <c r="BZ22" i="5"/>
  <c r="CF22" i="5" s="1"/>
  <c r="W12" i="3"/>
  <c r="AF12" i="3" s="1"/>
  <c r="AG12" i="3" s="1"/>
  <c r="I9" i="7"/>
  <c r="K9" i="7" s="1"/>
  <c r="BD21" i="2"/>
  <c r="S22" i="3"/>
  <c r="C35" i="7"/>
  <c r="U111" i="9"/>
  <c r="W56" i="9"/>
  <c r="EC27" i="1"/>
  <c r="AE25" i="1"/>
  <c r="BS25" i="1"/>
  <c r="BX25" i="1" s="1"/>
  <c r="AC19" i="2"/>
  <c r="AE19" i="2" s="1"/>
  <c r="AH35" i="7"/>
  <c r="BY26" i="5"/>
  <c r="CE26" i="5" s="1"/>
  <c r="DL26" i="5" s="1"/>
  <c r="DM26" i="5" s="1"/>
  <c r="DN26" i="5" s="1"/>
  <c r="BW26" i="5"/>
  <c r="CC26" i="5" s="1"/>
  <c r="BZ26" i="5"/>
  <c r="CF26" i="5" s="1"/>
  <c r="H29" i="10"/>
  <c r="L29" i="10" s="1"/>
  <c r="AD35" i="1" s="1"/>
  <c r="AC149" i="9"/>
  <c r="W13" i="3"/>
  <c r="AF13" i="3" s="1"/>
  <c r="AG13" i="3" s="1"/>
  <c r="I10" i="7"/>
  <c r="K10" i="7" s="1"/>
  <c r="AF38" i="3"/>
  <c r="AC36" i="1"/>
  <c r="Y30" i="10"/>
  <c r="BX27" i="1"/>
  <c r="AE28" i="1"/>
  <c r="EC28" i="1" s="1"/>
  <c r="BS28" i="1"/>
  <c r="BX28" i="1" s="1"/>
  <c r="AC22" i="2"/>
  <c r="AE22" i="2" s="1"/>
  <c r="AA16" i="2"/>
  <c r="BY48" i="5"/>
  <c r="CE48" i="5" s="1"/>
  <c r="DL48" i="5" s="1"/>
  <c r="DM48" i="5" s="1"/>
  <c r="BW48" i="5"/>
  <c r="CC48" i="5" s="1"/>
  <c r="CG48" i="5" s="1"/>
  <c r="AF41" i="3"/>
  <c r="W8" i="3"/>
  <c r="AF8" i="3" s="1"/>
  <c r="AG8" i="3" s="1"/>
  <c r="I5" i="7"/>
  <c r="K5" i="7" s="1"/>
  <c r="K32" i="2"/>
  <c r="AV32" i="2"/>
  <c r="AU32" i="2"/>
  <c r="AE21" i="2"/>
  <c r="AA43" i="2"/>
  <c r="CH50" i="5"/>
  <c r="AC50" i="5" s="1"/>
  <c r="CI50" i="5"/>
  <c r="CT50" i="5" s="1"/>
  <c r="BZ24" i="5"/>
  <c r="CF24" i="5" s="1"/>
  <c r="BY24" i="5"/>
  <c r="CE24" i="5" s="1"/>
  <c r="DL24" i="5" s="1"/>
  <c r="DM24" i="5" s="1"/>
  <c r="DN24" i="5" s="1"/>
  <c r="BW24" i="5"/>
  <c r="CC24" i="5" s="1"/>
  <c r="BX24" i="5"/>
  <c r="CD24" i="5" s="1"/>
  <c r="S25" i="3" l="1"/>
  <c r="AU51" i="13"/>
  <c r="EM30" i="13"/>
  <c r="CQ30" i="13"/>
  <c r="EJ30" i="13"/>
  <c r="DS30" i="13"/>
  <c r="DU30" i="13" s="1"/>
  <c r="DH30" i="13"/>
  <c r="CK30" i="13"/>
  <c r="BZ74" i="13"/>
  <c r="CA74" i="13" s="1"/>
  <c r="AR58" i="13" s="1"/>
  <c r="AR60" i="13" s="1"/>
  <c r="AR61" i="13" s="1"/>
  <c r="AR63" i="13" s="1"/>
  <c r="AR64" i="13" s="1"/>
  <c r="S20" i="3"/>
  <c r="CA31" i="15"/>
  <c r="EW31" i="15"/>
  <c r="CC31" i="15"/>
  <c r="CB31" i="15"/>
  <c r="BS46" i="15"/>
  <c r="AE46" i="15"/>
  <c r="D49" i="15"/>
  <c r="DH21" i="13"/>
  <c r="BZ65" i="13"/>
  <c r="CK21" i="13"/>
  <c r="EM21" i="13"/>
  <c r="CQ21" i="13"/>
  <c r="DS21" i="13"/>
  <c r="DU21" i="13" s="1"/>
  <c r="EJ21" i="13"/>
  <c r="EM24" i="13"/>
  <c r="BZ68" i="13"/>
  <c r="CA68" i="13" s="1"/>
  <c r="DS24" i="13"/>
  <c r="DU24" i="13" s="1"/>
  <c r="DH24" i="13"/>
  <c r="CQ24" i="13"/>
  <c r="CK24" i="13"/>
  <c r="EJ24" i="13"/>
  <c r="EC30" i="15"/>
  <c r="BS30" i="15"/>
  <c r="BX30" i="15" s="1"/>
  <c r="AE30" i="15"/>
  <c r="C78" i="15"/>
  <c r="DN32" i="5"/>
  <c r="CY32" i="5"/>
  <c r="DC32" i="5" s="1"/>
  <c r="BZ64" i="13"/>
  <c r="CA64" i="13" s="1"/>
  <c r="DS20" i="13"/>
  <c r="DU20" i="13" s="1"/>
  <c r="EM20" i="13"/>
  <c r="CK20" i="13"/>
  <c r="EJ20" i="13"/>
  <c r="DH20" i="13"/>
  <c r="EJ31" i="13"/>
  <c r="EJ53" i="13" s="1"/>
  <c r="EI57" i="13" s="1"/>
  <c r="DS31" i="13"/>
  <c r="DU31" i="13" s="1"/>
  <c r="EM31" i="13"/>
  <c r="CQ31" i="13"/>
  <c r="DH31" i="13"/>
  <c r="CK31" i="13"/>
  <c r="BZ69" i="13"/>
  <c r="CA69" i="13" s="1"/>
  <c r="EM25" i="13"/>
  <c r="EJ25" i="13"/>
  <c r="CQ25" i="13"/>
  <c r="DS25" i="13"/>
  <c r="DU25" i="13" s="1"/>
  <c r="CK25" i="13"/>
  <c r="DH25" i="13"/>
  <c r="CB27" i="15"/>
  <c r="CC27" i="15"/>
  <c r="CA27" i="15"/>
  <c r="EW27" i="15"/>
  <c r="ED21" i="15"/>
  <c r="EG21" i="15"/>
  <c r="EO21" i="15"/>
  <c r="CA26" i="15"/>
  <c r="CC26" i="15"/>
  <c r="CB26" i="15"/>
  <c r="EW26" i="15"/>
  <c r="EW21" i="15"/>
  <c r="CB21" i="15"/>
  <c r="CA21" i="15"/>
  <c r="DS36" i="13"/>
  <c r="DU36" i="13" s="1"/>
  <c r="EJ36" i="13"/>
  <c r="CQ36" i="13"/>
  <c r="CK36" i="13"/>
  <c r="EM36" i="13"/>
  <c r="DH36" i="13"/>
  <c r="AT46" i="13"/>
  <c r="J46" i="13"/>
  <c r="M46" i="13"/>
  <c r="AE35" i="15"/>
  <c r="BS35" i="15"/>
  <c r="BX35" i="15" s="1"/>
  <c r="BK28" i="13"/>
  <c r="D28" i="13"/>
  <c r="V28" i="13"/>
  <c r="BZ66" i="13"/>
  <c r="CA66" i="13" s="1"/>
  <c r="DS22" i="13"/>
  <c r="DU22" i="13" s="1"/>
  <c r="CK22" i="13"/>
  <c r="CQ22" i="13"/>
  <c r="EM22" i="13"/>
  <c r="DH22" i="13"/>
  <c r="EJ22" i="13"/>
  <c r="AT44" i="13"/>
  <c r="J44" i="13"/>
  <c r="M46" i="15"/>
  <c r="J46" i="15"/>
  <c r="AT46" i="15"/>
  <c r="EJ18" i="13"/>
  <c r="DH18" i="13"/>
  <c r="DS18" i="13"/>
  <c r="DU18" i="13" s="1"/>
  <c r="CK18" i="13"/>
  <c r="BZ62" i="13"/>
  <c r="CA62" i="13" s="1"/>
  <c r="EM18" i="13"/>
  <c r="H42" i="15"/>
  <c r="H42" i="13"/>
  <c r="DS32" i="13"/>
  <c r="DU32" i="13" s="1"/>
  <c r="CQ32" i="13"/>
  <c r="EM32" i="13"/>
  <c r="AR65" i="13"/>
  <c r="CK32" i="13"/>
  <c r="EJ32" i="13"/>
  <c r="DH32" i="13"/>
  <c r="CA22" i="15"/>
  <c r="CB22" i="15"/>
  <c r="EW22" i="15"/>
  <c r="J44" i="15"/>
  <c r="AT44" i="15"/>
  <c r="Z50" i="15"/>
  <c r="BD16" i="2"/>
  <c r="S17" i="3"/>
  <c r="EO36" i="15"/>
  <c r="EG36" i="15"/>
  <c r="AU50" i="15"/>
  <c r="EW36" i="15"/>
  <c r="CC36" i="15"/>
  <c r="CB36" i="15"/>
  <c r="CA36" i="15"/>
  <c r="Z54" i="15"/>
  <c r="H40" i="13"/>
  <c r="H40" i="15"/>
  <c r="H39" i="15"/>
  <c r="H39" i="13"/>
  <c r="D49" i="13"/>
  <c r="AU49" i="13"/>
  <c r="CC32" i="15"/>
  <c r="EW32" i="15"/>
  <c r="CB32" i="15"/>
  <c r="CA32" i="15"/>
  <c r="Z53" i="15"/>
  <c r="H41" i="15"/>
  <c r="H41" i="13"/>
  <c r="DS13" i="13"/>
  <c r="DU13" i="13" s="1"/>
  <c r="CK13" i="13"/>
  <c r="EJ13" i="13"/>
  <c r="DH13" i="13"/>
  <c r="V84" i="13"/>
  <c r="BZ57" i="13"/>
  <c r="CA57" i="13" s="1"/>
  <c r="EM13" i="13"/>
  <c r="V49" i="13"/>
  <c r="CB28" i="15"/>
  <c r="CC28" i="15"/>
  <c r="EW28" i="15"/>
  <c r="CA28" i="15"/>
  <c r="BZ71" i="13"/>
  <c r="CA71" i="13" s="1"/>
  <c r="CK27" i="13"/>
  <c r="EM27" i="13"/>
  <c r="EJ27" i="13"/>
  <c r="DS27" i="13"/>
  <c r="DU27" i="13" s="1"/>
  <c r="CQ27" i="13"/>
  <c r="DH27" i="13"/>
  <c r="Z51" i="15"/>
  <c r="DS34" i="13"/>
  <c r="DU34" i="13" s="1"/>
  <c r="CQ34" i="13"/>
  <c r="EM34" i="13"/>
  <c r="CK34" i="13"/>
  <c r="EJ34" i="13"/>
  <c r="DH34" i="13"/>
  <c r="H43" i="13"/>
  <c r="H43" i="15"/>
  <c r="BS37" i="15"/>
  <c r="BX37" i="15" s="1"/>
  <c r="AE37" i="15"/>
  <c r="EJ15" i="13"/>
  <c r="BZ59" i="13"/>
  <c r="CA59" i="13" s="1"/>
  <c r="DH15" i="13"/>
  <c r="EM15" i="13"/>
  <c r="DS15" i="13"/>
  <c r="DU15" i="13" s="1"/>
  <c r="CK15" i="13"/>
  <c r="C84" i="13"/>
  <c r="D28" i="15"/>
  <c r="BK28" i="15"/>
  <c r="BD9" i="2"/>
  <c r="C43" i="2"/>
  <c r="S10" i="3"/>
  <c r="C84" i="15"/>
  <c r="DH37" i="13"/>
  <c r="DS37" i="13"/>
  <c r="DU37" i="13" s="1"/>
  <c r="CK37" i="13"/>
  <c r="EM37" i="13"/>
  <c r="EJ37" i="13"/>
  <c r="CQ37" i="13"/>
  <c r="ED31" i="15"/>
  <c r="EG31" i="15"/>
  <c r="EO31" i="15"/>
  <c r="EW23" i="15"/>
  <c r="CB23" i="15"/>
  <c r="CA23" i="15"/>
  <c r="D38" i="13"/>
  <c r="V38" i="13"/>
  <c r="BK38" i="13"/>
  <c r="BK38" i="15"/>
  <c r="D38" i="15"/>
  <c r="AE31" i="1"/>
  <c r="EC31" i="1" s="1"/>
  <c r="AC25" i="2"/>
  <c r="AE25" i="2" s="1"/>
  <c r="BS31" i="1"/>
  <c r="BX31" i="1" s="1"/>
  <c r="DL28" i="5"/>
  <c r="DM28" i="5" s="1"/>
  <c r="DN28" i="5" s="1"/>
  <c r="CG28" i="5"/>
  <c r="H41" i="1"/>
  <c r="CI41" i="5"/>
  <c r="CH41" i="5"/>
  <c r="CH42" i="5"/>
  <c r="CI42" i="5"/>
  <c r="Y31" i="10"/>
  <c r="AC37" i="1"/>
  <c r="CH31" i="5"/>
  <c r="CI31" i="5"/>
  <c r="CA24" i="1"/>
  <c r="CB24" i="1"/>
  <c r="EW24" i="1"/>
  <c r="AC56" i="9"/>
  <c r="AA166" i="9" s="1"/>
  <c r="W111" i="9"/>
  <c r="AC111" i="9" s="1"/>
  <c r="B32" i="10" s="1"/>
  <c r="G32" i="10" s="1"/>
  <c r="AC38" i="15" s="1"/>
  <c r="CH43" i="5"/>
  <c r="CI43" i="5"/>
  <c r="AD29" i="2"/>
  <c r="BV35" i="1"/>
  <c r="AD51" i="1"/>
  <c r="AZ2" i="1"/>
  <c r="AD50" i="1"/>
  <c r="AD54" i="1"/>
  <c r="AD53" i="1"/>
  <c r="W107" i="9"/>
  <c r="AC107" i="9" s="1"/>
  <c r="B28" i="10" s="1"/>
  <c r="G28" i="10" s="1"/>
  <c r="AC34" i="15" s="1"/>
  <c r="AC52" i="9"/>
  <c r="AA162" i="9" s="1"/>
  <c r="Y40" i="10"/>
  <c r="AC46" i="1"/>
  <c r="CG24" i="5"/>
  <c r="EW28" i="1"/>
  <c r="CC28" i="1"/>
  <c r="CB28" i="1"/>
  <c r="CA28" i="1"/>
  <c r="BD22" i="2"/>
  <c r="BS44" i="1"/>
  <c r="AE44" i="1"/>
  <c r="AC38" i="2"/>
  <c r="AE38" i="2" s="1"/>
  <c r="CH38" i="5"/>
  <c r="CI38" i="5"/>
  <c r="EG28" i="1"/>
  <c r="EO28" i="1"/>
  <c r="ED28" i="1"/>
  <c r="CG26" i="5"/>
  <c r="CD59" i="5"/>
  <c r="Y24" i="10"/>
  <c r="AC30" i="1"/>
  <c r="AT44" i="1"/>
  <c r="Y39" i="3"/>
  <c r="F38" i="2"/>
  <c r="H38" i="2" s="1"/>
  <c r="K38" i="2" s="1"/>
  <c r="J44" i="1"/>
  <c r="Z47" i="2"/>
  <c r="Z48" i="2"/>
  <c r="EO24" i="1"/>
  <c r="EG24" i="1"/>
  <c r="ED24" i="1"/>
  <c r="ED22" i="1"/>
  <c r="EO22" i="1"/>
  <c r="EG22" i="1"/>
  <c r="CH37" i="5"/>
  <c r="CI37" i="5"/>
  <c r="V20" i="5"/>
  <c r="CC26" i="1"/>
  <c r="CA26" i="1"/>
  <c r="CB26" i="1"/>
  <c r="EW26" i="1"/>
  <c r="CH49" i="5"/>
  <c r="AC49" i="5" s="1"/>
  <c r="CI49" i="5"/>
  <c r="CT49" i="5" s="1"/>
  <c r="CF59" i="5"/>
  <c r="BM20" i="5"/>
  <c r="CK20" i="5"/>
  <c r="EW27" i="1"/>
  <c r="CC27" i="1"/>
  <c r="CB27" i="1"/>
  <c r="CA27" i="1"/>
  <c r="CG22" i="5"/>
  <c r="S23" i="3"/>
  <c r="AC37" i="2"/>
  <c r="AE37" i="2" s="1"/>
  <c r="BS43" i="1"/>
  <c r="AE43" i="1"/>
  <c r="CG21" i="5"/>
  <c r="CC59" i="5"/>
  <c r="CC61" i="5" s="1"/>
  <c r="CD60" i="5"/>
  <c r="X50" i="5"/>
  <c r="EG26" i="1"/>
  <c r="EO26" i="1"/>
  <c r="ED26" i="1"/>
  <c r="CE59" i="5"/>
  <c r="CE61" i="5" s="1"/>
  <c r="DL21" i="5"/>
  <c r="DM21" i="5" s="1"/>
  <c r="DN21" i="5" s="1"/>
  <c r="CF60" i="5"/>
  <c r="CF58" i="5"/>
  <c r="CH48" i="5"/>
  <c r="AC48" i="5" s="1"/>
  <c r="CI48" i="5"/>
  <c r="CT48" i="5" s="1"/>
  <c r="H43" i="1"/>
  <c r="CB22" i="1"/>
  <c r="CA22" i="1"/>
  <c r="EW22" i="1"/>
  <c r="G36" i="5"/>
  <c r="R36" i="5"/>
  <c r="BR36" i="5"/>
  <c r="BX36" i="5" s="1"/>
  <c r="CD36" i="5" s="1"/>
  <c r="CG36" i="5" s="1"/>
  <c r="CI46" i="5"/>
  <c r="CH46" i="5"/>
  <c r="AC46" i="5" s="1"/>
  <c r="CB23" i="1"/>
  <c r="CA23" i="1"/>
  <c r="EW23" i="1"/>
  <c r="CI40" i="5"/>
  <c r="CH40" i="5"/>
  <c r="EC26" i="1"/>
  <c r="CE58" i="5"/>
  <c r="DL20" i="5"/>
  <c r="DM20" i="5" s="1"/>
  <c r="DN20" i="5" s="1"/>
  <c r="CE60" i="5"/>
  <c r="F40" i="2"/>
  <c r="H40" i="2" s="1"/>
  <c r="K40" i="2" s="1"/>
  <c r="Y41" i="3"/>
  <c r="AT46" i="1"/>
  <c r="M46" i="1"/>
  <c r="J46" i="1"/>
  <c r="BS36" i="1"/>
  <c r="BX36" i="1" s="1"/>
  <c r="AC30" i="2"/>
  <c r="AE30" i="2" s="1"/>
  <c r="AE36" i="1"/>
  <c r="Z44" i="2"/>
  <c r="Y37" i="3"/>
  <c r="AT42" i="1"/>
  <c r="F36" i="2"/>
  <c r="H36" i="2" s="1"/>
  <c r="K36" i="2" s="1"/>
  <c r="EY42" i="1"/>
  <c r="M42" i="1"/>
  <c r="J42" i="1"/>
  <c r="EG23" i="1"/>
  <c r="EO23" i="1"/>
  <c r="ED23" i="1"/>
  <c r="CI53" i="5"/>
  <c r="CH53" i="5"/>
  <c r="AC53" i="5" s="1"/>
  <c r="CC60" i="5"/>
  <c r="CC58" i="5"/>
  <c r="CG20" i="5"/>
  <c r="B23" i="10"/>
  <c r="G23" i="10" s="1"/>
  <c r="AC29" i="15" s="1"/>
  <c r="CB25" i="1"/>
  <c r="CA25" i="1"/>
  <c r="EW25" i="1"/>
  <c r="CC25" i="1"/>
  <c r="CI27" i="5"/>
  <c r="CH27" i="5"/>
  <c r="CC32" i="1"/>
  <c r="EW32" i="1"/>
  <c r="CB32" i="1"/>
  <c r="CA32" i="1"/>
  <c r="DL25" i="5"/>
  <c r="DM25" i="5" s="1"/>
  <c r="DN25" i="5" s="1"/>
  <c r="CG25" i="5"/>
  <c r="EO25" i="1"/>
  <c r="ED25" i="1"/>
  <c r="EG25" i="1"/>
  <c r="EG32" i="1"/>
  <c r="ED32" i="1"/>
  <c r="EO32" i="1"/>
  <c r="W106" i="9"/>
  <c r="AC106" i="9" s="1"/>
  <c r="B27" i="10" s="1"/>
  <c r="G27" i="10" s="1"/>
  <c r="AC33" i="15" s="1"/>
  <c r="AC51" i="9"/>
  <c r="AA161" i="9" s="1"/>
  <c r="H40" i="1"/>
  <c r="H39" i="1"/>
  <c r="BD32" i="2"/>
  <c r="AC15" i="2"/>
  <c r="BS21" i="1"/>
  <c r="BX21" i="1" s="1"/>
  <c r="AE21" i="1"/>
  <c r="Z45" i="2"/>
  <c r="EC25" i="1"/>
  <c r="C70" i="5"/>
  <c r="E65" i="5"/>
  <c r="F61" i="5"/>
  <c r="D65" i="5"/>
  <c r="E60" i="5"/>
  <c r="G29" i="5"/>
  <c r="C72" i="5"/>
  <c r="E63" i="5"/>
  <c r="B71" i="5"/>
  <c r="F69" i="5"/>
  <c r="B68" i="5"/>
  <c r="B65" i="5"/>
  <c r="F63" i="5"/>
  <c r="F62" i="5"/>
  <c r="B55" i="5"/>
  <c r="E69" i="5"/>
  <c r="D63" i="5"/>
  <c r="E62" i="5"/>
  <c r="F56" i="5"/>
  <c r="N9" i="6" s="1"/>
  <c r="D9" i="6" s="1"/>
  <c r="D72" i="5"/>
  <c r="D70" i="5"/>
  <c r="C67" i="5"/>
  <c r="D62" i="5"/>
  <c r="E61" i="5"/>
  <c r="D60" i="5"/>
  <c r="E55" i="5"/>
  <c r="B72" i="5"/>
  <c r="J72" i="5" s="1"/>
  <c r="B70" i="5"/>
  <c r="V70" i="5" s="1"/>
  <c r="B67" i="5"/>
  <c r="F65" i="5"/>
  <c r="C62" i="5"/>
  <c r="D61" i="5"/>
  <c r="C60" i="5"/>
  <c r="D55" i="5"/>
  <c r="E72" i="5"/>
  <c r="D68" i="5"/>
  <c r="B64" i="5"/>
  <c r="C56" i="5"/>
  <c r="BR29" i="5"/>
  <c r="BX29" i="5" s="1"/>
  <c r="CD29" i="5" s="1"/>
  <c r="CG29" i="5" s="1"/>
  <c r="C68" i="5"/>
  <c r="B56" i="5"/>
  <c r="N5" i="6" s="1"/>
  <c r="F71" i="5"/>
  <c r="C69" i="5"/>
  <c r="D71" i="5"/>
  <c r="E67" i="5"/>
  <c r="C55" i="5"/>
  <c r="C71" i="5"/>
  <c r="F64" i="5"/>
  <c r="B60" i="5"/>
  <c r="E64" i="5"/>
  <c r="E71" i="5"/>
  <c r="B69" i="5"/>
  <c r="F67" i="5"/>
  <c r="C65" i="5"/>
  <c r="F55" i="5"/>
  <c r="F60" i="5"/>
  <c r="D67" i="5"/>
  <c r="E66" i="5"/>
  <c r="B63" i="5"/>
  <c r="B61" i="5"/>
  <c r="E68" i="5"/>
  <c r="E56" i="5"/>
  <c r="D56" i="5"/>
  <c r="N7" i="6" s="1"/>
  <c r="D6" i="6" s="1"/>
  <c r="R29" i="5"/>
  <c r="F68" i="5"/>
  <c r="D66" i="5"/>
  <c r="C66" i="5"/>
  <c r="B66" i="5"/>
  <c r="F70" i="5"/>
  <c r="D64" i="5"/>
  <c r="E70" i="5"/>
  <c r="F66" i="5"/>
  <c r="D69" i="5"/>
  <c r="B62" i="5"/>
  <c r="D76" i="5"/>
  <c r="C64" i="5"/>
  <c r="C61" i="5"/>
  <c r="F72" i="5"/>
  <c r="J74" i="5" s="1"/>
  <c r="C63" i="5"/>
  <c r="DN35" i="5"/>
  <c r="CH47" i="5"/>
  <c r="AC47" i="5" s="1"/>
  <c r="CI47" i="5"/>
  <c r="Y29" i="10"/>
  <c r="AC35" i="1"/>
  <c r="CG23" i="5"/>
  <c r="R35" i="5"/>
  <c r="G35" i="5"/>
  <c r="BR35" i="5"/>
  <c r="BX35" i="5" s="1"/>
  <c r="CD35" i="5" s="1"/>
  <c r="CG35" i="5" s="1"/>
  <c r="CR30" i="13" l="1"/>
  <c r="CS30" i="13"/>
  <c r="EM38" i="13"/>
  <c r="CK38" i="13"/>
  <c r="DS38" i="13"/>
  <c r="DU38" i="13" s="1"/>
  <c r="CQ38" i="13"/>
  <c r="DH38" i="13"/>
  <c r="EJ38" i="13"/>
  <c r="CS31" i="13"/>
  <c r="CR31" i="13"/>
  <c r="DS28" i="13"/>
  <c r="DU28" i="13" s="1"/>
  <c r="CK28" i="13"/>
  <c r="DH28" i="13"/>
  <c r="EJ28" i="13"/>
  <c r="EM28" i="13"/>
  <c r="CQ28" i="13"/>
  <c r="BZ72" i="13"/>
  <c r="CA72" i="13" s="1"/>
  <c r="AE33" i="15"/>
  <c r="BS33" i="15"/>
  <c r="BX33" i="15" s="1"/>
  <c r="EJ57" i="13"/>
  <c r="EK57" i="13"/>
  <c r="CR24" i="13"/>
  <c r="CS24" i="13"/>
  <c r="CB35" i="15"/>
  <c r="CA35" i="15"/>
  <c r="CC35" i="15"/>
  <c r="EW35" i="15"/>
  <c r="AU46" i="15"/>
  <c r="C46" i="15"/>
  <c r="C39" i="17" s="1"/>
  <c r="CS32" i="13"/>
  <c r="CR32" i="13"/>
  <c r="CS37" i="13"/>
  <c r="CR37" i="13"/>
  <c r="CR27" i="13"/>
  <c r="CS27" i="13"/>
  <c r="AU44" i="13"/>
  <c r="C44" i="13"/>
  <c r="AU46" i="13"/>
  <c r="C46" i="13"/>
  <c r="BS34" i="15"/>
  <c r="BX34" i="15" s="1"/>
  <c r="AE34" i="15"/>
  <c r="J39" i="13"/>
  <c r="EY39" i="13"/>
  <c r="H54" i="13"/>
  <c r="H50" i="13"/>
  <c r="H51" i="13"/>
  <c r="H53" i="13"/>
  <c r="M39" i="13"/>
  <c r="AT39" i="13"/>
  <c r="J39" i="15"/>
  <c r="AT39" i="15"/>
  <c r="H54" i="15"/>
  <c r="M39" i="15"/>
  <c r="H50" i="15"/>
  <c r="EY39" i="15"/>
  <c r="H53" i="15"/>
  <c r="H51" i="15"/>
  <c r="J42" i="13"/>
  <c r="AT42" i="13"/>
  <c r="M42" i="13"/>
  <c r="EY42" i="13"/>
  <c r="CS25" i="13"/>
  <c r="CR25" i="13"/>
  <c r="CS21" i="13"/>
  <c r="CR21" i="13"/>
  <c r="EY40" i="15"/>
  <c r="AT40" i="15"/>
  <c r="M40" i="15"/>
  <c r="J40" i="15"/>
  <c r="EY42" i="15"/>
  <c r="AT42" i="15"/>
  <c r="M42" i="15"/>
  <c r="J42" i="15"/>
  <c r="EO37" i="15"/>
  <c r="EG37" i="15"/>
  <c r="EY41" i="13"/>
  <c r="AT41" i="13"/>
  <c r="M41" i="13"/>
  <c r="J41" i="13"/>
  <c r="J40" i="13"/>
  <c r="AT40" i="13"/>
  <c r="EY40" i="13"/>
  <c r="M40" i="13"/>
  <c r="EY41" i="15"/>
  <c r="J41" i="15"/>
  <c r="AT41" i="15"/>
  <c r="M41" i="15"/>
  <c r="AU44" i="15"/>
  <c r="C44" i="15"/>
  <c r="CR22" i="13"/>
  <c r="CS22" i="13"/>
  <c r="CR36" i="13"/>
  <c r="CS36" i="13"/>
  <c r="BZ76" i="13"/>
  <c r="CA76" i="13" s="1"/>
  <c r="CA65" i="13"/>
  <c r="CS34" i="13"/>
  <c r="CR34" i="13"/>
  <c r="CU34" i="13" s="1"/>
  <c r="BS29" i="15"/>
  <c r="BX29" i="15" s="1"/>
  <c r="AE29" i="15"/>
  <c r="AY2" i="15"/>
  <c r="BB2" i="15" s="1"/>
  <c r="AC50" i="15"/>
  <c r="AC53" i="15"/>
  <c r="AC54" i="15"/>
  <c r="AC51" i="15"/>
  <c r="AC84" i="15"/>
  <c r="EG35" i="15"/>
  <c r="EO35" i="15"/>
  <c r="EW37" i="15"/>
  <c r="CB37" i="15"/>
  <c r="CA37" i="15"/>
  <c r="CC37" i="15"/>
  <c r="AE38" i="15"/>
  <c r="BS38" i="15"/>
  <c r="BX38" i="15" s="1"/>
  <c r="J43" i="15"/>
  <c r="AT43" i="15"/>
  <c r="M43" i="15"/>
  <c r="ED30" i="15"/>
  <c r="EO30" i="15"/>
  <c r="EG30" i="15"/>
  <c r="M43" i="13"/>
  <c r="AT43" i="13"/>
  <c r="J43" i="13"/>
  <c r="CC30" i="15"/>
  <c r="CB30" i="15"/>
  <c r="CA30" i="15"/>
  <c r="EW30" i="15"/>
  <c r="H30" i="5"/>
  <c r="I30" i="5" s="1"/>
  <c r="J30" i="5" s="1"/>
  <c r="H25" i="5"/>
  <c r="I25" i="5" s="1"/>
  <c r="J25" i="5" s="1"/>
  <c r="H40" i="5"/>
  <c r="I40" i="5" s="1"/>
  <c r="J40" i="5" s="1"/>
  <c r="H37" i="5"/>
  <c r="I37" i="5" s="1"/>
  <c r="J37" i="5" s="1"/>
  <c r="H42" i="5"/>
  <c r="I42" i="5" s="1"/>
  <c r="J42" i="5" s="1"/>
  <c r="H31" i="5"/>
  <c r="I31" i="5" s="1"/>
  <c r="J31" i="5" s="1"/>
  <c r="H46" i="5"/>
  <c r="I46" i="5" s="1"/>
  <c r="J46" i="5" s="1"/>
  <c r="H43" i="5"/>
  <c r="I43" i="5" s="1"/>
  <c r="J43" i="5" s="1"/>
  <c r="H41" i="5"/>
  <c r="I41" i="5" s="1"/>
  <c r="J41" i="5" s="1"/>
  <c r="H38" i="5"/>
  <c r="I38" i="5" s="1"/>
  <c r="J38" i="5" s="1"/>
  <c r="H28" i="5"/>
  <c r="I28" i="5" s="1"/>
  <c r="J28" i="5" s="1"/>
  <c r="H32" i="5"/>
  <c r="I32" i="5" s="1"/>
  <c r="J32" i="5" s="1"/>
  <c r="H35" i="5"/>
  <c r="H47" i="5"/>
  <c r="I47" i="5" s="1"/>
  <c r="J47" i="5" s="1"/>
  <c r="H34" i="5"/>
  <c r="I34" i="5" s="1"/>
  <c r="J34" i="5" s="1"/>
  <c r="H29" i="5"/>
  <c r="H33" i="5"/>
  <c r="I33" i="5" s="1"/>
  <c r="J33" i="5" s="1"/>
  <c r="H36" i="5"/>
  <c r="I36" i="5" s="1"/>
  <c r="J36" i="5" s="1"/>
  <c r="F33" i="2"/>
  <c r="J39" i="1"/>
  <c r="Y34" i="3"/>
  <c r="AT39" i="1"/>
  <c r="M39" i="1"/>
  <c r="EY39" i="1"/>
  <c r="H50" i="1"/>
  <c r="H54" i="1"/>
  <c r="H51" i="1"/>
  <c r="H53" i="1"/>
  <c r="CT43" i="5"/>
  <c r="AC40" i="2"/>
  <c r="AE40" i="2" s="1"/>
  <c r="AE46" i="1"/>
  <c r="BS46" i="1"/>
  <c r="Y32" i="10"/>
  <c r="AC38" i="1"/>
  <c r="CI23" i="5"/>
  <c r="CH23" i="5"/>
  <c r="AT41" i="1"/>
  <c r="Y36" i="3"/>
  <c r="EY41" i="1"/>
  <c r="M41" i="1"/>
  <c r="F35" i="2"/>
  <c r="H35" i="2" s="1"/>
  <c r="K35" i="2" s="1"/>
  <c r="J41" i="1"/>
  <c r="H26" i="5"/>
  <c r="I26" i="5" s="1"/>
  <c r="J26" i="5" s="1"/>
  <c r="H17" i="5"/>
  <c r="I17" i="5" s="1"/>
  <c r="J17" i="5" s="1"/>
  <c r="BH17" i="5" s="1"/>
  <c r="H15" i="5"/>
  <c r="H27" i="5"/>
  <c r="I27" i="5" s="1"/>
  <c r="J27" i="5" s="1"/>
  <c r="H21" i="5"/>
  <c r="I21" i="5" s="1"/>
  <c r="J21" i="5" s="1"/>
  <c r="H23" i="5"/>
  <c r="I23" i="5" s="1"/>
  <c r="J23" i="5" s="1"/>
  <c r="H8" i="5"/>
  <c r="I8" i="5" s="1"/>
  <c r="J8" i="5" s="1"/>
  <c r="BH8" i="5" s="1"/>
  <c r="H24" i="5"/>
  <c r="I24" i="5" s="1"/>
  <c r="J24" i="5" s="1"/>
  <c r="H22" i="5"/>
  <c r="I22" i="5" s="1"/>
  <c r="J22" i="5" s="1"/>
  <c r="H19" i="5"/>
  <c r="I19" i="5" s="1"/>
  <c r="J19" i="5" s="1"/>
  <c r="BH19" i="5" s="1"/>
  <c r="H11" i="5"/>
  <c r="I11" i="5" s="1"/>
  <c r="J11" i="5" s="1"/>
  <c r="BH11" i="5" s="1"/>
  <c r="H13" i="5"/>
  <c r="I13" i="5" s="1"/>
  <c r="J13" i="5" s="1"/>
  <c r="BH13" i="5" s="1"/>
  <c r="H16" i="5"/>
  <c r="I16" i="5" s="1"/>
  <c r="J16" i="5" s="1"/>
  <c r="BH16" i="5" s="1"/>
  <c r="CC36" i="1"/>
  <c r="CB36" i="1"/>
  <c r="CA36" i="1"/>
  <c r="EW36" i="1"/>
  <c r="CG59" i="5"/>
  <c r="CG61" i="5" s="1"/>
  <c r="CH21" i="5"/>
  <c r="CI21" i="5"/>
  <c r="AQ37" i="5"/>
  <c r="BB36" i="5"/>
  <c r="DF20" i="5"/>
  <c r="DO20" i="5"/>
  <c r="BS30" i="1"/>
  <c r="BX30" i="1" s="1"/>
  <c r="EC30" i="1"/>
  <c r="AC24" i="2"/>
  <c r="AE24" i="2" s="1"/>
  <c r="AE30" i="1"/>
  <c r="AQ34" i="5"/>
  <c r="Y35" i="3"/>
  <c r="F34" i="2"/>
  <c r="H34" i="2" s="1"/>
  <c r="K34" i="2" s="1"/>
  <c r="AT40" i="1"/>
  <c r="M40" i="1"/>
  <c r="EY40" i="1"/>
  <c r="J40" i="1"/>
  <c r="AU46" i="1"/>
  <c r="C46" i="1"/>
  <c r="P7" i="6"/>
  <c r="P10" i="6" s="1"/>
  <c r="G76" i="5"/>
  <c r="AC34" i="1"/>
  <c r="Y28" i="10"/>
  <c r="CI36" i="5"/>
  <c r="CH36" i="5"/>
  <c r="AC38" i="5"/>
  <c r="AI20" i="5"/>
  <c r="AL20" i="5" s="1"/>
  <c r="AA20" i="5"/>
  <c r="P13" i="15" s="1"/>
  <c r="CT42" i="5"/>
  <c r="X53" i="5"/>
  <c r="AC40" i="5"/>
  <c r="AT43" i="1"/>
  <c r="Y38" i="3"/>
  <c r="M43" i="1"/>
  <c r="J43" i="1"/>
  <c r="F37" i="2"/>
  <c r="H37" i="2" s="1"/>
  <c r="K37" i="2" s="1"/>
  <c r="CT37" i="5"/>
  <c r="AU44" i="1"/>
  <c r="C44" i="1"/>
  <c r="AD45" i="2"/>
  <c r="AD48" i="2"/>
  <c r="AD47" i="2"/>
  <c r="AD44" i="2"/>
  <c r="AC42" i="5"/>
  <c r="T35" i="5"/>
  <c r="X48" i="5"/>
  <c r="AG39" i="3"/>
  <c r="AA39" i="3"/>
  <c r="CT41" i="5"/>
  <c r="CI24" i="5"/>
  <c r="CH24" i="5"/>
  <c r="H53" i="5"/>
  <c r="N8" i="6"/>
  <c r="D7" i="6" s="1"/>
  <c r="CF63" i="5"/>
  <c r="CF62" i="5"/>
  <c r="AC43" i="5"/>
  <c r="CH25" i="5"/>
  <c r="CI25" i="5"/>
  <c r="CH28" i="5"/>
  <c r="CI28" i="5"/>
  <c r="AR30" i="5"/>
  <c r="C42" i="1"/>
  <c r="AU42" i="1"/>
  <c r="ET42" i="1"/>
  <c r="X46" i="5"/>
  <c r="AE35" i="1"/>
  <c r="BS35" i="1"/>
  <c r="BX35" i="1" s="1"/>
  <c r="AC29" i="2"/>
  <c r="AE29" i="2" s="1"/>
  <c r="AQ38" i="5"/>
  <c r="CT46" i="5"/>
  <c r="CF61" i="5"/>
  <c r="CD61" i="5"/>
  <c r="CI26" i="5"/>
  <c r="CH26" i="5"/>
  <c r="CT47" i="5"/>
  <c r="O7" i="6"/>
  <c r="D5" i="6"/>
  <c r="D10" i="6" s="1"/>
  <c r="N10" i="6"/>
  <c r="Y27" i="10"/>
  <c r="AC33" i="1"/>
  <c r="T36" i="5"/>
  <c r="X49" i="5"/>
  <c r="EW31" i="1"/>
  <c r="CC31" i="1"/>
  <c r="CA31" i="1"/>
  <c r="CB31" i="1"/>
  <c r="X47" i="5"/>
  <c r="AC150" i="9"/>
  <c r="AG41" i="3"/>
  <c r="AA41" i="3"/>
  <c r="CI29" i="5"/>
  <c r="CH29" i="5"/>
  <c r="EG21" i="1"/>
  <c r="EO21" i="1"/>
  <c r="ED21" i="1"/>
  <c r="AC29" i="1"/>
  <c r="Y23" i="10"/>
  <c r="CJ31" i="5"/>
  <c r="CT31" i="5"/>
  <c r="ED31" i="1"/>
  <c r="EG31" i="1"/>
  <c r="EO31" i="1"/>
  <c r="H51" i="5"/>
  <c r="I51" i="5" s="1"/>
  <c r="J51" i="5" s="1"/>
  <c r="H49" i="5"/>
  <c r="I49" i="5" s="1"/>
  <c r="J49" i="5" s="1"/>
  <c r="N6" i="6"/>
  <c r="D8" i="6" s="1"/>
  <c r="H50" i="5"/>
  <c r="I50" i="5" s="1"/>
  <c r="J50" i="5" s="1"/>
  <c r="H48" i="5"/>
  <c r="I48" i="5" s="1"/>
  <c r="J48" i="5" s="1"/>
  <c r="H52" i="5"/>
  <c r="I52" i="5" s="1"/>
  <c r="J52" i="5" s="1"/>
  <c r="I29" i="5"/>
  <c r="J29" i="5" s="1"/>
  <c r="G64" i="5"/>
  <c r="G62" i="5"/>
  <c r="G66" i="5"/>
  <c r="G60" i="5"/>
  <c r="G67" i="5"/>
  <c r="G61" i="5"/>
  <c r="G72" i="5"/>
  <c r="G65" i="5"/>
  <c r="G68" i="5"/>
  <c r="G63" i="5"/>
  <c r="G69" i="5"/>
  <c r="G73" i="5"/>
  <c r="G71" i="5"/>
  <c r="G70" i="5"/>
  <c r="EW21" i="1"/>
  <c r="CB21" i="1"/>
  <c r="CA21" i="1"/>
  <c r="CG58" i="5"/>
  <c r="CI20" i="5"/>
  <c r="CH20" i="5"/>
  <c r="CG60" i="5"/>
  <c r="AG37" i="3"/>
  <c r="AA37" i="3"/>
  <c r="CH22" i="5"/>
  <c r="CI22" i="5"/>
  <c r="CN31" i="5"/>
  <c r="AC31" i="5"/>
  <c r="DE31" i="5"/>
  <c r="AQ33" i="5"/>
  <c r="EC21" i="1"/>
  <c r="CC62" i="5"/>
  <c r="CC63" i="5"/>
  <c r="CT38" i="5"/>
  <c r="AC31" i="2"/>
  <c r="AE31" i="2" s="1"/>
  <c r="AE37" i="1"/>
  <c r="BS37" i="1"/>
  <c r="BX37" i="1" s="1"/>
  <c r="AQ35" i="5"/>
  <c r="AQ36" i="5"/>
  <c r="CN27" i="5"/>
  <c r="CJ27" i="5" s="1"/>
  <c r="AC27" i="5"/>
  <c r="DE27" i="5"/>
  <c r="DH27" i="5" s="1"/>
  <c r="CE62" i="5"/>
  <c r="CE63" i="5"/>
  <c r="AE15" i="2"/>
  <c r="CI35" i="5"/>
  <c r="CH35" i="5"/>
  <c r="I35" i="5"/>
  <c r="J35" i="5" s="1"/>
  <c r="AR29" i="5"/>
  <c r="BH39" i="5"/>
  <c r="BH14" i="5"/>
  <c r="BH45" i="5"/>
  <c r="BH12" i="5"/>
  <c r="BH20" i="5"/>
  <c r="BH44" i="5"/>
  <c r="BH10" i="5"/>
  <c r="BH18" i="5"/>
  <c r="BH9" i="5"/>
  <c r="CT53" i="5"/>
  <c r="EO36" i="1"/>
  <c r="EG36" i="1"/>
  <c r="CT40" i="5"/>
  <c r="CD58" i="5"/>
  <c r="AC37" i="5"/>
  <c r="AC41" i="5"/>
  <c r="D44" i="15" l="1"/>
  <c r="C37" i="17"/>
  <c r="ET41" i="13"/>
  <c r="C41" i="13"/>
  <c r="AU41" i="13"/>
  <c r="CC34" i="15"/>
  <c r="EW34" i="15"/>
  <c r="CB34" i="15"/>
  <c r="CA34" i="15"/>
  <c r="C40" i="13"/>
  <c r="ET40" i="13"/>
  <c r="AU40" i="13"/>
  <c r="BK46" i="13"/>
  <c r="D46" i="13"/>
  <c r="V46" i="13"/>
  <c r="ET39" i="15"/>
  <c r="AU39" i="15"/>
  <c r="C39" i="15"/>
  <c r="C32" i="17" s="1"/>
  <c r="J54" i="15"/>
  <c r="J53" i="15"/>
  <c r="J50" i="15"/>
  <c r="J51" i="15"/>
  <c r="EI13" i="15"/>
  <c r="O13" i="15"/>
  <c r="BY57" i="15"/>
  <c r="FC13" i="15"/>
  <c r="V13" i="15"/>
  <c r="EJ13" i="15" s="1"/>
  <c r="AU43" i="15"/>
  <c r="C43" i="15"/>
  <c r="C36" i="17" s="1"/>
  <c r="D46" i="15"/>
  <c r="BK46" i="15"/>
  <c r="P13" i="1"/>
  <c r="V13" i="1" s="1"/>
  <c r="P13" i="14"/>
  <c r="AU42" i="15"/>
  <c r="C42" i="15"/>
  <c r="C35" i="17" s="1"/>
  <c r="ET42" i="15"/>
  <c r="ET42" i="13"/>
  <c r="C42" i="13"/>
  <c r="AU42" i="13"/>
  <c r="CS38" i="13"/>
  <c r="CR38" i="13"/>
  <c r="CU38" i="13" s="1"/>
  <c r="D44" i="13"/>
  <c r="V44" i="13"/>
  <c r="CC38" i="15"/>
  <c r="CA38" i="15"/>
  <c r="EW38" i="15"/>
  <c r="CB38" i="15"/>
  <c r="EC29" i="15"/>
  <c r="EC48" i="15" s="1"/>
  <c r="EO29" i="15"/>
  <c r="EG29" i="15"/>
  <c r="ED29" i="15"/>
  <c r="AE50" i="15"/>
  <c r="AE51" i="15"/>
  <c r="AE53" i="15"/>
  <c r="AE54" i="15"/>
  <c r="AE84" i="15"/>
  <c r="EG38" i="15"/>
  <c r="EO38" i="15"/>
  <c r="EW29" i="15"/>
  <c r="CC29" i="15"/>
  <c r="CA29" i="15"/>
  <c r="CB29" i="15"/>
  <c r="AU41" i="15"/>
  <c r="ET41" i="15"/>
  <c r="C41" i="15"/>
  <c r="C34" i="17" s="1"/>
  <c r="EW33" i="15"/>
  <c r="CC33" i="15"/>
  <c r="CB33" i="15"/>
  <c r="CA33" i="15"/>
  <c r="C39" i="13"/>
  <c r="AU39" i="13"/>
  <c r="ET39" i="13"/>
  <c r="J50" i="13"/>
  <c r="J54" i="13"/>
  <c r="J53" i="13"/>
  <c r="J51" i="13"/>
  <c r="EO33" i="15"/>
  <c r="EG33" i="15"/>
  <c r="AU43" i="13"/>
  <c r="C43" i="13"/>
  <c r="C40" i="15"/>
  <c r="C33" i="17" s="1"/>
  <c r="AU40" i="15"/>
  <c r="ET40" i="15"/>
  <c r="EG34" i="15"/>
  <c r="EO34" i="15"/>
  <c r="CS28" i="13"/>
  <c r="CR28" i="13"/>
  <c r="BH36" i="5"/>
  <c r="W36" i="5"/>
  <c r="AB36" i="5" s="1"/>
  <c r="CK36" i="5" s="1"/>
  <c r="N29" i="1"/>
  <c r="BA36" i="5"/>
  <c r="AC20" i="5"/>
  <c r="DE20" i="5"/>
  <c r="CH58" i="5"/>
  <c r="CH60" i="5"/>
  <c r="CN20" i="5"/>
  <c r="W32" i="5"/>
  <c r="AB32" i="5" s="1"/>
  <c r="CK32" i="5" s="1"/>
  <c r="N25" i="1"/>
  <c r="BH32" i="5"/>
  <c r="BA32" i="5"/>
  <c r="CI58" i="5"/>
  <c r="BH28" i="5"/>
  <c r="W28" i="5"/>
  <c r="AB28" i="5" s="1"/>
  <c r="CK28" i="5" s="1"/>
  <c r="N21" i="1"/>
  <c r="T28" i="5"/>
  <c r="U28" i="5" s="1"/>
  <c r="CL27" i="5" s="1"/>
  <c r="CG62" i="5"/>
  <c r="CG63" i="5"/>
  <c r="AE29" i="1"/>
  <c r="BS29" i="1"/>
  <c r="BX29" i="1" s="1"/>
  <c r="AC23" i="2"/>
  <c r="AY2" i="1"/>
  <c r="BB2" i="1" s="1"/>
  <c r="AC50" i="1"/>
  <c r="AC84" i="1"/>
  <c r="AC51" i="1"/>
  <c r="AC53" i="1"/>
  <c r="AC54" i="1"/>
  <c r="W38" i="5"/>
  <c r="AB38" i="5" s="1"/>
  <c r="CK38" i="5" s="1"/>
  <c r="BH38" i="5"/>
  <c r="N31" i="1"/>
  <c r="BA38" i="5"/>
  <c r="E10" i="6"/>
  <c r="F10" i="6" s="1"/>
  <c r="H10" i="6" s="1"/>
  <c r="I53" i="5"/>
  <c r="J53" i="5" s="1"/>
  <c r="W29" i="5"/>
  <c r="AB29" i="5" s="1"/>
  <c r="BH29" i="5"/>
  <c r="AN29" i="5" s="1"/>
  <c r="N22" i="1"/>
  <c r="W31" i="5"/>
  <c r="AB31" i="5" s="1"/>
  <c r="CK31" i="5" s="1"/>
  <c r="N24" i="1"/>
  <c r="BH31" i="5"/>
  <c r="BA31" i="5"/>
  <c r="BH48" i="5"/>
  <c r="W48" i="5"/>
  <c r="AB48" i="5" s="1"/>
  <c r="CK48" i="5" s="1"/>
  <c r="N41" i="1"/>
  <c r="BA48" i="5"/>
  <c r="CY41" i="5"/>
  <c r="AK20" i="5"/>
  <c r="AG34" i="3"/>
  <c r="AA34" i="3"/>
  <c r="CD63" i="5"/>
  <c r="CD62" i="5"/>
  <c r="X31" i="5"/>
  <c r="W50" i="5"/>
  <c r="AB50" i="5" s="1"/>
  <c r="CK50" i="5" s="1"/>
  <c r="BH50" i="5"/>
  <c r="N43" i="1"/>
  <c r="BA50" i="5"/>
  <c r="S49" i="5"/>
  <c r="D42" i="1"/>
  <c r="C36" i="2"/>
  <c r="BK42" i="1"/>
  <c r="CY37" i="5"/>
  <c r="DC37" i="5" s="1"/>
  <c r="W37" i="5"/>
  <c r="AB37" i="5" s="1"/>
  <c r="CK37" i="5" s="1"/>
  <c r="N30" i="1"/>
  <c r="BH37" i="5"/>
  <c r="BA37" i="5"/>
  <c r="CJ21" i="5"/>
  <c r="CI59" i="5"/>
  <c r="BH40" i="5"/>
  <c r="W40" i="5"/>
  <c r="AB40" i="5" s="1"/>
  <c r="CK40" i="5" s="1"/>
  <c r="V62" i="5"/>
  <c r="N33" i="1"/>
  <c r="BA40" i="5"/>
  <c r="W49" i="5"/>
  <c r="AB49" i="5" s="1"/>
  <c r="CK49" i="5" s="1"/>
  <c r="BH49" i="5"/>
  <c r="N42" i="1"/>
  <c r="BA49" i="5"/>
  <c r="AU43" i="1"/>
  <c r="C43" i="1"/>
  <c r="AG35" i="3"/>
  <c r="AA35" i="3"/>
  <c r="W27" i="5"/>
  <c r="AB27" i="5" s="1"/>
  <c r="CK27" i="5" s="1"/>
  <c r="N20" i="1"/>
  <c r="BH27" i="5"/>
  <c r="T27" i="5"/>
  <c r="I15" i="5"/>
  <c r="J15" i="5" s="1"/>
  <c r="BH15" i="5" s="1"/>
  <c r="H76" i="5"/>
  <c r="W33" i="5"/>
  <c r="AB33" i="5" s="1"/>
  <c r="CK33" i="5" s="1"/>
  <c r="N26" i="1"/>
  <c r="BH33" i="5"/>
  <c r="BA33" i="5"/>
  <c r="W35" i="5"/>
  <c r="AB35" i="5" s="1"/>
  <c r="CK35" i="5" s="1"/>
  <c r="BH35" i="5"/>
  <c r="N28" i="1"/>
  <c r="BA35" i="5"/>
  <c r="CT29" i="5"/>
  <c r="CJ29" i="5"/>
  <c r="AG38" i="3"/>
  <c r="AA38" i="3"/>
  <c r="EO30" i="1"/>
  <c r="ED30" i="1"/>
  <c r="EG30" i="1"/>
  <c r="W34" i="5"/>
  <c r="AB34" i="5" s="1"/>
  <c r="CK34" i="5" s="1"/>
  <c r="N27" i="1"/>
  <c r="BH34" i="5"/>
  <c r="BA34" i="5"/>
  <c r="X43" i="5"/>
  <c r="ET41" i="1"/>
  <c r="AU41" i="1"/>
  <c r="C41" i="1"/>
  <c r="CY43" i="5"/>
  <c r="W47" i="5"/>
  <c r="AB47" i="5" s="1"/>
  <c r="CK47" i="5" s="1"/>
  <c r="N40" i="1"/>
  <c r="BH47" i="5"/>
  <c r="BA47" i="5"/>
  <c r="T29" i="5"/>
  <c r="U29" i="5" s="1"/>
  <c r="CL28" i="5" s="1"/>
  <c r="X40" i="5"/>
  <c r="CA35" i="1"/>
  <c r="CC35" i="1"/>
  <c r="CB35" i="1"/>
  <c r="EW35" i="1"/>
  <c r="EW30" i="1"/>
  <c r="CB30" i="1"/>
  <c r="CC30" i="1"/>
  <c r="CA30" i="1"/>
  <c r="CY38" i="5"/>
  <c r="EO35" i="1"/>
  <c r="EG35" i="1"/>
  <c r="C40" i="2"/>
  <c r="S53" i="5"/>
  <c r="D46" i="1"/>
  <c r="BK46" i="1"/>
  <c r="AG36" i="3"/>
  <c r="AA36" i="3"/>
  <c r="BH41" i="5"/>
  <c r="W41" i="5"/>
  <c r="AB41" i="5" s="1"/>
  <c r="CK41" i="5" s="1"/>
  <c r="N34" i="1"/>
  <c r="BA41" i="5"/>
  <c r="X41" i="5"/>
  <c r="DE24" i="5"/>
  <c r="DH24" i="5" s="1"/>
  <c r="CN24" i="5"/>
  <c r="CJ24" i="5" s="1"/>
  <c r="AC24" i="5"/>
  <c r="CY42" i="5"/>
  <c r="AU40" i="1"/>
  <c r="ET40" i="1"/>
  <c r="C40" i="1"/>
  <c r="N36" i="1"/>
  <c r="BH43" i="5"/>
  <c r="W43" i="5"/>
  <c r="AB43" i="5" s="1"/>
  <c r="CK43" i="5" s="1"/>
  <c r="BA43" i="5"/>
  <c r="AC26" i="5"/>
  <c r="CN26" i="5"/>
  <c r="DE26" i="5"/>
  <c r="DH26" i="5" s="1"/>
  <c r="C38" i="2"/>
  <c r="S51" i="5"/>
  <c r="T51" i="5" s="1"/>
  <c r="U51" i="5" s="1"/>
  <c r="D44" i="1"/>
  <c r="W22" i="5"/>
  <c r="AB22" i="5" s="1"/>
  <c r="BH22" i="5"/>
  <c r="N15" i="1"/>
  <c r="T22" i="5"/>
  <c r="CN23" i="5"/>
  <c r="CJ23" i="5" s="1"/>
  <c r="DE23" i="5"/>
  <c r="DH23" i="5" s="1"/>
  <c r="AC23" i="5"/>
  <c r="W46" i="5"/>
  <c r="AB46" i="5" s="1"/>
  <c r="CK46" i="5" s="1"/>
  <c r="BH46" i="5"/>
  <c r="N39" i="1"/>
  <c r="BA46" i="5"/>
  <c r="X37" i="5"/>
  <c r="W52" i="5"/>
  <c r="AB52" i="5" s="1"/>
  <c r="U52" i="5"/>
  <c r="V52" i="5" s="1"/>
  <c r="N45" i="1"/>
  <c r="BH24" i="5"/>
  <c r="N17" i="1"/>
  <c r="W24" i="5"/>
  <c r="AB24" i="5" s="1"/>
  <c r="T24" i="5"/>
  <c r="AE38" i="1"/>
  <c r="AC32" i="2"/>
  <c r="AE32" i="2" s="1"/>
  <c r="BS38" i="1"/>
  <c r="BX38" i="1" s="1"/>
  <c r="W42" i="5"/>
  <c r="AB42" i="5" s="1"/>
  <c r="CK42" i="5" s="1"/>
  <c r="BH42" i="5"/>
  <c r="N35" i="1"/>
  <c r="BA42" i="5"/>
  <c r="AD39" i="3"/>
  <c r="R39" i="3"/>
  <c r="X38" i="5"/>
  <c r="W23" i="5"/>
  <c r="AB23" i="5" s="1"/>
  <c r="N16" i="1"/>
  <c r="BH23" i="5"/>
  <c r="T23" i="5"/>
  <c r="AU39" i="1"/>
  <c r="ET39" i="1"/>
  <c r="C39" i="1"/>
  <c r="J51" i="1"/>
  <c r="J53" i="1"/>
  <c r="J50" i="1"/>
  <c r="J54" i="1"/>
  <c r="X27" i="5"/>
  <c r="W21" i="5"/>
  <c r="N14" i="1"/>
  <c r="BH21" i="5"/>
  <c r="T21" i="5"/>
  <c r="H33" i="2"/>
  <c r="AU33" i="2" s="1"/>
  <c r="AU45" i="2" s="1"/>
  <c r="AU53" i="2" s="1"/>
  <c r="F45" i="2"/>
  <c r="F48" i="2"/>
  <c r="F44" i="2"/>
  <c r="F47" i="2"/>
  <c r="CT28" i="5"/>
  <c r="AC36" i="5"/>
  <c r="AC21" i="5"/>
  <c r="CH59" i="5"/>
  <c r="DE21" i="5"/>
  <c r="DH21" i="5" s="1"/>
  <c r="CN21" i="5"/>
  <c r="BH25" i="5"/>
  <c r="W25" i="5"/>
  <c r="AB25" i="5" s="1"/>
  <c r="CK25" i="5" s="1"/>
  <c r="N18" i="1"/>
  <c r="CI55" i="5"/>
  <c r="CI60" i="5" s="1"/>
  <c r="CJ22" i="5"/>
  <c r="BA51" i="5"/>
  <c r="W51" i="5"/>
  <c r="AB51" i="5" s="1"/>
  <c r="N44" i="1"/>
  <c r="CN29" i="5"/>
  <c r="AC29" i="5"/>
  <c r="DE29" i="5"/>
  <c r="DE28" i="5"/>
  <c r="DH28" i="5" s="1"/>
  <c r="AC28" i="5"/>
  <c r="CN28" i="5"/>
  <c r="CJ28" i="5" s="1"/>
  <c r="CT36" i="5"/>
  <c r="N23" i="1"/>
  <c r="BA30" i="5"/>
  <c r="BH30" i="5"/>
  <c r="W30" i="5"/>
  <c r="AB30" i="5" s="1"/>
  <c r="CK30" i="5" s="1"/>
  <c r="CY40" i="5"/>
  <c r="DE22" i="5"/>
  <c r="DH22" i="5" s="1"/>
  <c r="AC22" i="5"/>
  <c r="CH55" i="5"/>
  <c r="CN22" i="5"/>
  <c r="AC35" i="5"/>
  <c r="AD37" i="3"/>
  <c r="R37" i="3"/>
  <c r="AC25" i="5"/>
  <c r="DE25" i="5"/>
  <c r="DH25" i="5" s="1"/>
  <c r="CN25" i="5"/>
  <c r="BS34" i="1"/>
  <c r="BX34" i="1" s="1"/>
  <c r="AE34" i="1"/>
  <c r="AC28" i="2"/>
  <c r="AE28" i="2" s="1"/>
  <c r="BH26" i="5"/>
  <c r="W26" i="5"/>
  <c r="AB26" i="5" s="1"/>
  <c r="CK26" i="5" s="1"/>
  <c r="N19" i="1"/>
  <c r="T26" i="5"/>
  <c r="CT35" i="5"/>
  <c r="CB37" i="1"/>
  <c r="CA37" i="1"/>
  <c r="EW37" i="1"/>
  <c r="CC37" i="1"/>
  <c r="AC27" i="2"/>
  <c r="AE27" i="2" s="1"/>
  <c r="AE33" i="1"/>
  <c r="BS33" i="1"/>
  <c r="BX33" i="1" s="1"/>
  <c r="EG37" i="1"/>
  <c r="EO37" i="1"/>
  <c r="CY31" i="5"/>
  <c r="AD41" i="3"/>
  <c r="R41" i="3"/>
  <c r="X42" i="5"/>
  <c r="FC13" i="1" l="1"/>
  <c r="U56" i="5"/>
  <c r="U50" i="5" s="1"/>
  <c r="Y6" i="17"/>
  <c r="AI6" i="17" s="1"/>
  <c r="BY57" i="1"/>
  <c r="O13" i="1"/>
  <c r="P7" i="2"/>
  <c r="Q13" i="14"/>
  <c r="DH13" i="1"/>
  <c r="D42" i="13"/>
  <c r="BK42" i="13"/>
  <c r="V42" i="13"/>
  <c r="DH46" i="13"/>
  <c r="CQ46" i="13"/>
  <c r="CK46" i="13"/>
  <c r="EI13" i="1"/>
  <c r="D43" i="13"/>
  <c r="V43" i="13"/>
  <c r="BK43" i="13"/>
  <c r="D42" i="15"/>
  <c r="BK42" i="15"/>
  <c r="D40" i="15"/>
  <c r="BK40" i="15"/>
  <c r="EJ13" i="1"/>
  <c r="D40" i="13"/>
  <c r="V40" i="13"/>
  <c r="BK40" i="13"/>
  <c r="EJ13" i="14"/>
  <c r="BZ57" i="14"/>
  <c r="O13" i="14"/>
  <c r="FD13" i="14"/>
  <c r="V13" i="14"/>
  <c r="DI13" i="14" s="1"/>
  <c r="EK13" i="14"/>
  <c r="EC14" i="15"/>
  <c r="EC19" i="15"/>
  <c r="EC17" i="15"/>
  <c r="ED17" i="15" s="1"/>
  <c r="EE17" i="15" s="1"/>
  <c r="EC18" i="15"/>
  <c r="ED18" i="15" s="1"/>
  <c r="EE18" i="15" s="1"/>
  <c r="EC13" i="15"/>
  <c r="EC16" i="15"/>
  <c r="ED16" i="15" s="1"/>
  <c r="EE16" i="15" s="1"/>
  <c r="EC20" i="15"/>
  <c r="ED20" i="15" s="1"/>
  <c r="EE20" i="15" s="1"/>
  <c r="EC15" i="15"/>
  <c r="D43" i="15"/>
  <c r="BK43" i="15"/>
  <c r="ET57" i="13"/>
  <c r="ET51" i="13"/>
  <c r="ET50" i="13"/>
  <c r="ET54" i="13"/>
  <c r="ET49" i="13"/>
  <c r="ET53" i="13"/>
  <c r="ET56" i="13"/>
  <c r="CQ44" i="13"/>
  <c r="CK44" i="13"/>
  <c r="DH13" i="15"/>
  <c r="D39" i="15"/>
  <c r="BK39" i="15"/>
  <c r="C50" i="15"/>
  <c r="C53" i="15"/>
  <c r="C51" i="15"/>
  <c r="C54" i="15"/>
  <c r="D41" i="13"/>
  <c r="V41" i="13"/>
  <c r="BK41" i="13"/>
  <c r="D41" i="15"/>
  <c r="BK41" i="15"/>
  <c r="D39" i="13"/>
  <c r="BK39" i="13"/>
  <c r="V39" i="13"/>
  <c r="C53" i="13"/>
  <c r="C51" i="13"/>
  <c r="C50" i="13"/>
  <c r="C54" i="13"/>
  <c r="ET51" i="15"/>
  <c r="ET57" i="15"/>
  <c r="ET54" i="15"/>
  <c r="ET49" i="15"/>
  <c r="ET56" i="15"/>
  <c r="ET50" i="15"/>
  <c r="ET53" i="15"/>
  <c r="CK13" i="15"/>
  <c r="AJ13" i="15"/>
  <c r="BZ57" i="15"/>
  <c r="CA57" i="15" s="1"/>
  <c r="EM13" i="15"/>
  <c r="DS13" i="15"/>
  <c r="DU13" i="15" s="1"/>
  <c r="DK13" i="15"/>
  <c r="AC13" i="14"/>
  <c r="AD13" i="14"/>
  <c r="CP27" i="5"/>
  <c r="DP27" i="5"/>
  <c r="DI27" i="5"/>
  <c r="CT58" i="5"/>
  <c r="CT59" i="5"/>
  <c r="CT56" i="5"/>
  <c r="CY35" i="5"/>
  <c r="DC35" i="5" s="1"/>
  <c r="CU41" i="5"/>
  <c r="CW41" i="5" s="1"/>
  <c r="DO41" i="5"/>
  <c r="DF41" i="5"/>
  <c r="W53" i="5"/>
  <c r="AB53" i="5" s="1"/>
  <c r="CK53" i="5" s="1"/>
  <c r="BH53" i="5"/>
  <c r="N46" i="1"/>
  <c r="BA53" i="5"/>
  <c r="DF32" i="5"/>
  <c r="DO32" i="5"/>
  <c r="CU32" i="5"/>
  <c r="AD38" i="3"/>
  <c r="R38" i="3"/>
  <c r="DO40" i="5"/>
  <c r="DF40" i="5"/>
  <c r="CU40" i="5"/>
  <c r="CW40" i="5" s="1"/>
  <c r="CY49" i="5"/>
  <c r="DN49" i="5"/>
  <c r="DP28" i="5"/>
  <c r="CP28" i="5"/>
  <c r="CS28" i="5"/>
  <c r="CV28" i="5" s="1"/>
  <c r="ET51" i="1"/>
  <c r="ET50" i="1"/>
  <c r="ET54" i="1"/>
  <c r="ET53" i="1"/>
  <c r="ET56" i="1"/>
  <c r="ET57" i="1"/>
  <c r="CN2" i="5"/>
  <c r="AI37" i="3"/>
  <c r="S37" i="3"/>
  <c r="EG38" i="1"/>
  <c r="EO38" i="1"/>
  <c r="X26" i="5"/>
  <c r="DC31" i="5"/>
  <c r="CI61" i="5"/>
  <c r="CI62" i="5" s="1"/>
  <c r="CU48" i="5"/>
  <c r="CW48" i="5" s="1"/>
  <c r="DO48" i="5"/>
  <c r="CH62" i="5"/>
  <c r="CH63" i="5"/>
  <c r="CY36" i="5"/>
  <c r="DC36" i="5" s="1"/>
  <c r="CO27" i="5"/>
  <c r="DF27" i="5"/>
  <c r="DO27" i="5"/>
  <c r="X20" i="5"/>
  <c r="BN20" i="5"/>
  <c r="CC33" i="1"/>
  <c r="EW33" i="1"/>
  <c r="CB33" i="1"/>
  <c r="CA33" i="1"/>
  <c r="X28" i="5"/>
  <c r="U21" i="5"/>
  <c r="U24" i="5"/>
  <c r="CL23" i="5" s="1"/>
  <c r="EO33" i="1"/>
  <c r="EG33" i="1"/>
  <c r="EO34" i="1"/>
  <c r="EG34" i="1"/>
  <c r="N84" i="1"/>
  <c r="CU37" i="5"/>
  <c r="CW37" i="5" s="1"/>
  <c r="DF37" i="5"/>
  <c r="DO37" i="5"/>
  <c r="X22" i="5"/>
  <c r="BN22" i="5"/>
  <c r="CC34" i="1"/>
  <c r="CB34" i="1"/>
  <c r="EW34" i="1"/>
  <c r="CA34" i="1"/>
  <c r="S39" i="3"/>
  <c r="AI39" i="3"/>
  <c r="CU30" i="5"/>
  <c r="CW30" i="5" s="1"/>
  <c r="DF30" i="5"/>
  <c r="DO30" i="5"/>
  <c r="CU42" i="5"/>
  <c r="CW42" i="5" s="1"/>
  <c r="DO42" i="5"/>
  <c r="DF42" i="5"/>
  <c r="BD38" i="2"/>
  <c r="X24" i="5"/>
  <c r="BN24" i="5"/>
  <c r="CB29" i="1"/>
  <c r="CC29" i="1"/>
  <c r="EW29" i="1"/>
  <c r="CA29" i="1"/>
  <c r="S46" i="5"/>
  <c r="DF46" i="5" s="1"/>
  <c r="C33" i="2"/>
  <c r="BK39" i="1"/>
  <c r="D39" i="1"/>
  <c r="C50" i="1"/>
  <c r="C54" i="1"/>
  <c r="C53" i="1"/>
  <c r="C51" i="1"/>
  <c r="CB38" i="1"/>
  <c r="CA38" i="1"/>
  <c r="EW38" i="1"/>
  <c r="CC38" i="1"/>
  <c r="EG29" i="1"/>
  <c r="EO29" i="1"/>
  <c r="ED29" i="1"/>
  <c r="AE50" i="1"/>
  <c r="AE51" i="1"/>
  <c r="AE84" i="1"/>
  <c r="AE54" i="1"/>
  <c r="AE53" i="1"/>
  <c r="AD36" i="3"/>
  <c r="R36" i="3"/>
  <c r="DO46" i="5"/>
  <c r="CU46" i="5"/>
  <c r="CW46" i="5" s="1"/>
  <c r="DC43" i="5"/>
  <c r="U27" i="5"/>
  <c r="CL26" i="5" s="1"/>
  <c r="U26" i="5"/>
  <c r="CL25" i="5" s="1"/>
  <c r="K33" i="2"/>
  <c r="AV33" i="2"/>
  <c r="AV45" i="2" s="1"/>
  <c r="AV53" i="2" s="1"/>
  <c r="AT33" i="2"/>
  <c r="AT45" i="2" s="1"/>
  <c r="AT53" i="2" s="1"/>
  <c r="H45" i="2"/>
  <c r="H44" i="2"/>
  <c r="H47" i="2"/>
  <c r="H48" i="2"/>
  <c r="X23" i="5"/>
  <c r="BN23" i="5"/>
  <c r="S48" i="5"/>
  <c r="DF48" i="5" s="1"/>
  <c r="C35" i="2"/>
  <c r="D41" i="1"/>
  <c r="BK41" i="1"/>
  <c r="V28" i="5"/>
  <c r="DO25" i="5"/>
  <c r="DF25" i="5"/>
  <c r="U23" i="5"/>
  <c r="CL22" i="5" s="1"/>
  <c r="CY29" i="5"/>
  <c r="DO50" i="5"/>
  <c r="CU50" i="5"/>
  <c r="CW50" i="5" s="1"/>
  <c r="DO38" i="5"/>
  <c r="DF38" i="5"/>
  <c r="CU38" i="5"/>
  <c r="CW38" i="5" s="1"/>
  <c r="DE58" i="5"/>
  <c r="DH20" i="5"/>
  <c r="DE59" i="5"/>
  <c r="DO26" i="5"/>
  <c r="DF26" i="5"/>
  <c r="X35" i="5"/>
  <c r="DI28" i="5"/>
  <c r="BM24" i="5"/>
  <c r="CK24" i="5"/>
  <c r="DF43" i="5"/>
  <c r="CU43" i="5"/>
  <c r="CW43" i="5" s="1"/>
  <c r="DO43" i="5"/>
  <c r="CY53" i="5"/>
  <c r="DN53" i="5"/>
  <c r="T53" i="5"/>
  <c r="AD35" i="3"/>
  <c r="R35" i="3"/>
  <c r="DF28" i="5"/>
  <c r="CU28" i="5"/>
  <c r="DO28" i="5"/>
  <c r="CO28" i="5"/>
  <c r="CK23" i="5"/>
  <c r="BM23" i="5"/>
  <c r="D43" i="1"/>
  <c r="C37" i="2"/>
  <c r="S50" i="5"/>
  <c r="BK43" i="1"/>
  <c r="CH61" i="5"/>
  <c r="U22" i="5"/>
  <c r="CL21" i="5" s="1"/>
  <c r="C34" i="2"/>
  <c r="S47" i="5"/>
  <c r="DF47" i="5" s="1"/>
  <c r="D40" i="1"/>
  <c r="BK40" i="1"/>
  <c r="DO35" i="5"/>
  <c r="CU35" i="5"/>
  <c r="CW35" i="5" s="1"/>
  <c r="DF35" i="5"/>
  <c r="DF31" i="5"/>
  <c r="DO31" i="5"/>
  <c r="CU31" i="5"/>
  <c r="CW31" i="5" s="1"/>
  <c r="V7" i="2"/>
  <c r="AB21" i="5"/>
  <c r="W55" i="5"/>
  <c r="ET49" i="1"/>
  <c r="R34" i="3"/>
  <c r="AD34" i="3"/>
  <c r="CJ20" i="5"/>
  <c r="CO20" i="5" s="1"/>
  <c r="X21" i="5"/>
  <c r="V29" i="5"/>
  <c r="X29" i="5"/>
  <c r="AC58" i="5"/>
  <c r="BM52" i="5"/>
  <c r="BN52" i="5" s="1"/>
  <c r="AA52" i="5"/>
  <c r="P45" i="15" s="1"/>
  <c r="V45" i="15" s="1"/>
  <c r="AI52" i="5"/>
  <c r="BM22" i="5"/>
  <c r="CK22" i="5"/>
  <c r="DF34" i="5"/>
  <c r="DO34" i="5"/>
  <c r="CU34" i="5"/>
  <c r="CW34" i="5" s="1"/>
  <c r="AP29" i="5"/>
  <c r="AQ29" i="5" s="1"/>
  <c r="AN67" i="5"/>
  <c r="AN59" i="5"/>
  <c r="AQ59" i="5" s="1"/>
  <c r="EC29" i="1"/>
  <c r="EC48" i="1" s="1"/>
  <c r="X36" i="5"/>
  <c r="DC42" i="5"/>
  <c r="DC38" i="5"/>
  <c r="CU33" i="5"/>
  <c r="CW33" i="5" s="1"/>
  <c r="DO33" i="5"/>
  <c r="DF33" i="5"/>
  <c r="DF49" i="5"/>
  <c r="CU49" i="5"/>
  <c r="CW49" i="5" s="1"/>
  <c r="DO49" i="5"/>
  <c r="CK29" i="5"/>
  <c r="AB58" i="5"/>
  <c r="DC40" i="5"/>
  <c r="Q10" i="6"/>
  <c r="I76" i="5"/>
  <c r="R10" i="6" s="1"/>
  <c r="BZ57" i="1"/>
  <c r="AJ13" i="1"/>
  <c r="EM13" i="1"/>
  <c r="DS13" i="1"/>
  <c r="DU13" i="1" s="1"/>
  <c r="CK13" i="1"/>
  <c r="DK13" i="1"/>
  <c r="CU36" i="5"/>
  <c r="CW36" i="5" s="1"/>
  <c r="DF36" i="5"/>
  <c r="DO36" i="5"/>
  <c r="AI41" i="3"/>
  <c r="S41" i="3"/>
  <c r="X25" i="5"/>
  <c r="CW28" i="5"/>
  <c r="CY28" i="5"/>
  <c r="DC28" i="5" s="1"/>
  <c r="V51" i="5"/>
  <c r="DO47" i="5"/>
  <c r="CU47" i="5"/>
  <c r="CW47" i="5" s="1"/>
  <c r="BD36" i="2"/>
  <c r="DC41" i="5"/>
  <c r="AE23" i="2"/>
  <c r="AC44" i="2"/>
  <c r="AC47" i="2"/>
  <c r="AC48" i="2"/>
  <c r="AC45" i="2"/>
  <c r="AL36" i="2" l="1"/>
  <c r="CA57" i="1"/>
  <c r="D53" i="13"/>
  <c r="D51" i="13"/>
  <c r="D50" i="13"/>
  <c r="D54" i="13"/>
  <c r="CH13" i="15"/>
  <c r="DW13" i="15"/>
  <c r="DY13" i="15" s="1"/>
  <c r="BY13" i="15"/>
  <c r="BZ13" i="15" s="1"/>
  <c r="BL13" i="15"/>
  <c r="DT13" i="14"/>
  <c r="DV13" i="14" s="1"/>
  <c r="CA57" i="14"/>
  <c r="CB57" i="14" s="1"/>
  <c r="EN13" i="14"/>
  <c r="CL13" i="14"/>
  <c r="DH43" i="13"/>
  <c r="CQ43" i="13"/>
  <c r="CK43" i="13"/>
  <c r="EJ41" i="13"/>
  <c r="EM41" i="13"/>
  <c r="DH41" i="13"/>
  <c r="CQ41" i="13"/>
  <c r="CK41" i="13"/>
  <c r="DS41" i="13"/>
  <c r="DU41" i="13" s="1"/>
  <c r="ED15" i="15"/>
  <c r="EE15" i="15" s="1"/>
  <c r="CS46" i="13"/>
  <c r="CR46" i="13"/>
  <c r="V22" i="5"/>
  <c r="D53" i="15"/>
  <c r="D54" i="15"/>
  <c r="D51" i="15"/>
  <c r="D50" i="15"/>
  <c r="ED13" i="15"/>
  <c r="EE13" i="15" s="1"/>
  <c r="DH42" i="13"/>
  <c r="EJ42" i="13"/>
  <c r="EM42" i="13"/>
  <c r="CK42" i="13"/>
  <c r="CQ42" i="13"/>
  <c r="DS42" i="13"/>
  <c r="DU42" i="13" s="1"/>
  <c r="V26" i="5"/>
  <c r="EJ40" i="13"/>
  <c r="CQ40" i="13"/>
  <c r="DS40" i="13"/>
  <c r="DU40" i="13" s="1"/>
  <c r="DH40" i="13"/>
  <c r="EM40" i="13"/>
  <c r="CK40" i="13"/>
  <c r="AJ45" i="15"/>
  <c r="CK45" i="15"/>
  <c r="EJ39" i="13"/>
  <c r="DS39" i="13"/>
  <c r="DU39" i="13" s="1"/>
  <c r="DH39" i="13"/>
  <c r="AO1" i="13"/>
  <c r="EM39" i="13"/>
  <c r="CQ39" i="13"/>
  <c r="CK39" i="13"/>
  <c r="V54" i="13"/>
  <c r="V91" i="13"/>
  <c r="V51" i="13"/>
  <c r="V53" i="13"/>
  <c r="V90" i="13"/>
  <c r="V50" i="13"/>
  <c r="CS44" i="13"/>
  <c r="CR44" i="13"/>
  <c r="ED19" i="15"/>
  <c r="EE19" i="15"/>
  <c r="V24" i="5"/>
  <c r="ED14" i="15"/>
  <c r="EE14" i="15" s="1"/>
  <c r="BW13" i="14"/>
  <c r="AD13" i="13"/>
  <c r="AC13" i="13"/>
  <c r="BT13" i="14"/>
  <c r="AE13" i="14"/>
  <c r="AB6" i="17" s="1"/>
  <c r="AA28" i="5"/>
  <c r="P21" i="15" s="1"/>
  <c r="AI28" i="5"/>
  <c r="DO29" i="5"/>
  <c r="CU29" i="5"/>
  <c r="CW29" i="5" s="1"/>
  <c r="DF29" i="5"/>
  <c r="AI29" i="5"/>
  <c r="AA29" i="5"/>
  <c r="P22" i="15" s="1"/>
  <c r="AI24" i="5"/>
  <c r="AA24" i="5"/>
  <c r="P17" i="15" s="1"/>
  <c r="CU53" i="5"/>
  <c r="CW53" i="5" s="1"/>
  <c r="DF53" i="5"/>
  <c r="DO53" i="5"/>
  <c r="CI66" i="5"/>
  <c r="AQ61" i="5"/>
  <c r="AY29" i="5"/>
  <c r="CP23" i="5"/>
  <c r="DP23" i="5"/>
  <c r="DI23" i="5"/>
  <c r="AS61" i="5"/>
  <c r="CY50" i="5"/>
  <c r="V50" i="5"/>
  <c r="DN50" i="5"/>
  <c r="AL35" i="2"/>
  <c r="BD35" i="2"/>
  <c r="CH13" i="1"/>
  <c r="BY13" i="1"/>
  <c r="BZ13" i="1" s="1"/>
  <c r="DW13" i="1"/>
  <c r="DY13" i="1" s="1"/>
  <c r="BL13" i="1"/>
  <c r="EC17" i="1"/>
  <c r="EC18" i="1"/>
  <c r="EC15" i="1"/>
  <c r="EC13" i="1"/>
  <c r="EC14" i="1"/>
  <c r="EC20" i="1"/>
  <c r="EC19" i="1"/>
  <c r="EC16" i="1"/>
  <c r="DP26" i="5"/>
  <c r="DI26" i="5"/>
  <c r="AP67" i="5"/>
  <c r="AQ67" i="5" s="1"/>
  <c r="AN73" i="5"/>
  <c r="V27" i="5"/>
  <c r="AG7" i="2"/>
  <c r="DC53" i="5"/>
  <c r="CL20" i="5"/>
  <c r="U31" i="5"/>
  <c r="V31" i="5" s="1"/>
  <c r="U46" i="5"/>
  <c r="U49" i="5"/>
  <c r="V49" i="5" s="1"/>
  <c r="U38" i="5"/>
  <c r="V38" i="5" s="1"/>
  <c r="U42" i="5"/>
  <c r="V42" i="5" s="1"/>
  <c r="U25" i="5"/>
  <c r="U34" i="5"/>
  <c r="V34" i="5" s="1"/>
  <c r="U55" i="5"/>
  <c r="U45" i="5"/>
  <c r="V45" i="5" s="1"/>
  <c r="U43" i="5"/>
  <c r="V43" i="5" s="1"/>
  <c r="U32" i="5"/>
  <c r="V32" i="5" s="1"/>
  <c r="U40" i="5"/>
  <c r="V40" i="5" s="1"/>
  <c r="U44" i="5"/>
  <c r="V44" i="5" s="1"/>
  <c r="U37" i="5"/>
  <c r="V37" i="5" s="1"/>
  <c r="U41" i="5"/>
  <c r="V41" i="5" s="1"/>
  <c r="U30" i="5"/>
  <c r="V30" i="5" s="1"/>
  <c r="U33" i="5"/>
  <c r="V33" i="5" s="1"/>
  <c r="U47" i="5"/>
  <c r="V47" i="5" s="1"/>
  <c r="U39" i="5"/>
  <c r="V39" i="5" s="1"/>
  <c r="U48" i="5"/>
  <c r="V48" i="5" s="1"/>
  <c r="U35" i="5"/>
  <c r="V35" i="5" s="1"/>
  <c r="U36" i="5"/>
  <c r="V36" i="5" s="1"/>
  <c r="DC49" i="5"/>
  <c r="BD37" i="2"/>
  <c r="AL37" i="2"/>
  <c r="CY48" i="5"/>
  <c r="DN48" i="5"/>
  <c r="S36" i="3"/>
  <c r="AI36" i="3"/>
  <c r="DF50" i="5"/>
  <c r="AI26" i="5"/>
  <c r="AA26" i="5"/>
  <c r="P19" i="15" s="1"/>
  <c r="BM51" i="5"/>
  <c r="BN51" i="5" s="1"/>
  <c r="AI51" i="5"/>
  <c r="AA51" i="5"/>
  <c r="P44" i="15" s="1"/>
  <c r="S34" i="3"/>
  <c r="AI34" i="3"/>
  <c r="AI22" i="5"/>
  <c r="AA22" i="5"/>
  <c r="P15" i="15" s="1"/>
  <c r="CJ33" i="5"/>
  <c r="CJ34" i="5"/>
  <c r="CJ32" i="5"/>
  <c r="CJ46" i="5"/>
  <c r="CJ43" i="5"/>
  <c r="CJ37" i="5"/>
  <c r="CJ38" i="5"/>
  <c r="CJ40" i="5"/>
  <c r="CJ41" i="5"/>
  <c r="CJ42" i="5"/>
  <c r="CJ47" i="5"/>
  <c r="CJ26" i="5"/>
  <c r="CO26" i="5" s="1"/>
  <c r="CJ36" i="5"/>
  <c r="CJ35" i="5"/>
  <c r="CJ25" i="5"/>
  <c r="DO24" i="5"/>
  <c r="CO24" i="5"/>
  <c r="DF24" i="5"/>
  <c r="S38" i="3"/>
  <c r="AI38" i="3"/>
  <c r="CK55" i="5"/>
  <c r="DO22" i="5"/>
  <c r="DF22" i="5"/>
  <c r="CO22" i="5"/>
  <c r="CO23" i="5"/>
  <c r="DF23" i="5"/>
  <c r="DO23" i="5"/>
  <c r="DC29" i="5"/>
  <c r="AL38" i="2"/>
  <c r="CW32" i="5"/>
  <c r="BM21" i="5"/>
  <c r="CK21" i="5"/>
  <c r="CY47" i="5"/>
  <c r="DN47" i="5"/>
  <c r="D50" i="1"/>
  <c r="D54" i="1"/>
  <c r="D51" i="1"/>
  <c r="D53" i="1"/>
  <c r="BD34" i="2"/>
  <c r="AL34" i="2"/>
  <c r="DP22" i="5"/>
  <c r="CP22" i="5"/>
  <c r="DI22" i="5"/>
  <c r="X55" i="5"/>
  <c r="V23" i="5"/>
  <c r="R9" i="6"/>
  <c r="R7" i="6"/>
  <c r="R6" i="6"/>
  <c r="R8" i="6"/>
  <c r="R5" i="6"/>
  <c r="CI63" i="5"/>
  <c r="DP21" i="5"/>
  <c r="CP21" i="5"/>
  <c r="DI21" i="5"/>
  <c r="K48" i="2"/>
  <c r="K47" i="2"/>
  <c r="K45" i="2"/>
  <c r="K44" i="2"/>
  <c r="AL33" i="2"/>
  <c r="BD33" i="2"/>
  <c r="AL20" i="2"/>
  <c r="AL11" i="2"/>
  <c r="AL18" i="2"/>
  <c r="AL25" i="2"/>
  <c r="AL26" i="2"/>
  <c r="AL30" i="2"/>
  <c r="AL31" i="2"/>
  <c r="AL27" i="2"/>
  <c r="AL22" i="2"/>
  <c r="AL19" i="2"/>
  <c r="C55" i="2"/>
  <c r="AL24" i="2"/>
  <c r="C54" i="2"/>
  <c r="AL23" i="2"/>
  <c r="AL17" i="2"/>
  <c r="C45" i="2"/>
  <c r="C48" i="2"/>
  <c r="C53" i="2"/>
  <c r="AL8" i="2"/>
  <c r="AL12" i="2"/>
  <c r="AL29" i="2"/>
  <c r="AL16" i="2"/>
  <c r="AL14" i="2"/>
  <c r="AL32" i="2"/>
  <c r="AL15" i="2"/>
  <c r="C47" i="2"/>
  <c r="AL10" i="2"/>
  <c r="AL9" i="2"/>
  <c r="AL13" i="2"/>
  <c r="AL7" i="2"/>
  <c r="C44" i="2"/>
  <c r="AL21" i="2"/>
  <c r="AL28" i="2"/>
  <c r="V21" i="5"/>
  <c r="CX28" i="5"/>
  <c r="CZ28" i="5" s="1"/>
  <c r="DA28" i="5" s="1"/>
  <c r="AE45" i="2"/>
  <c r="AE47" i="2"/>
  <c r="AE44" i="2"/>
  <c r="AE48" i="2"/>
  <c r="AI35" i="3"/>
  <c r="S35" i="3"/>
  <c r="DP25" i="5"/>
  <c r="DI25" i="5"/>
  <c r="CY46" i="5"/>
  <c r="V46" i="5"/>
  <c r="DN46" i="5"/>
  <c r="U53" i="5"/>
  <c r="V53" i="5" s="1"/>
  <c r="CH45" i="15" l="1"/>
  <c r="BF62" i="15"/>
  <c r="CN45" i="15"/>
  <c r="BY63" i="15"/>
  <c r="EI19" i="15"/>
  <c r="FC19" i="15"/>
  <c r="O19" i="15"/>
  <c r="V19" i="15"/>
  <c r="DH19" i="15" s="1"/>
  <c r="FC17" i="15"/>
  <c r="EI17" i="15"/>
  <c r="O17" i="15"/>
  <c r="BY61" i="15"/>
  <c r="V17" i="15"/>
  <c r="DH17" i="15" s="1"/>
  <c r="CS40" i="13"/>
  <c r="CR40" i="13"/>
  <c r="BY66" i="15"/>
  <c r="EI22" i="15"/>
  <c r="O22" i="15"/>
  <c r="FC22" i="15"/>
  <c r="V22" i="15"/>
  <c r="EJ22" i="15" s="1"/>
  <c r="DH22" i="15"/>
  <c r="U22" i="15"/>
  <c r="CK53" i="13"/>
  <c r="CK51" i="13"/>
  <c r="CK50" i="13"/>
  <c r="CK54" i="13"/>
  <c r="CS43" i="13"/>
  <c r="CR43" i="13"/>
  <c r="CS39" i="13"/>
  <c r="CR39" i="13"/>
  <c r="DB28" i="5"/>
  <c r="CS41" i="13"/>
  <c r="CR41" i="13"/>
  <c r="FC15" i="15"/>
  <c r="EI15" i="15"/>
  <c r="BY59" i="15"/>
  <c r="O15" i="15"/>
  <c r="V15" i="15"/>
  <c r="EJ15" i="15"/>
  <c r="CS42" i="13"/>
  <c r="CR42" i="13"/>
  <c r="V44" i="15"/>
  <c r="DF60" i="5"/>
  <c r="DH54" i="13"/>
  <c r="DH51" i="13"/>
  <c r="DH53" i="13"/>
  <c r="EI21" i="15"/>
  <c r="DH21" i="15"/>
  <c r="FC21" i="15"/>
  <c r="V21" i="15"/>
  <c r="BY65" i="15"/>
  <c r="U21" i="15"/>
  <c r="O21" i="15"/>
  <c r="EP13" i="14"/>
  <c r="EH13" i="14"/>
  <c r="BS13" i="13"/>
  <c r="AE13" i="13"/>
  <c r="O6" i="17" s="1"/>
  <c r="AL6" i="17" s="1"/>
  <c r="BV13" i="13"/>
  <c r="BM48" i="5"/>
  <c r="BN48" i="5" s="1"/>
  <c r="AI48" i="5"/>
  <c r="AA48" i="5"/>
  <c r="P41" i="15" s="1"/>
  <c r="BM53" i="5"/>
  <c r="BN53" i="5" s="1"/>
  <c r="AA53" i="5"/>
  <c r="AA40" i="5"/>
  <c r="P33" i="15" s="1"/>
  <c r="AI40" i="5"/>
  <c r="ED19" i="1"/>
  <c r="EE19" i="1"/>
  <c r="AI21" i="5"/>
  <c r="AA21" i="5"/>
  <c r="P14" i="15" s="1"/>
  <c r="AI32" i="5"/>
  <c r="AA32" i="5"/>
  <c r="P25" i="15" s="1"/>
  <c r="AL51" i="5"/>
  <c r="AK51" i="5"/>
  <c r="AA46" i="5"/>
  <c r="P39" i="15" s="1"/>
  <c r="AI46" i="5"/>
  <c r="AI23" i="5"/>
  <c r="AA23" i="5"/>
  <c r="P16" i="15" s="1"/>
  <c r="CO42" i="5"/>
  <c r="AA45" i="5"/>
  <c r="P38" i="15" s="1"/>
  <c r="AI45" i="5"/>
  <c r="C61" i="2"/>
  <c r="C57" i="2"/>
  <c r="C58" i="2" s="1"/>
  <c r="C62" i="2"/>
  <c r="C63" i="2" s="1"/>
  <c r="DC47" i="5"/>
  <c r="BF7" i="2"/>
  <c r="ED15" i="1"/>
  <c r="EE15" i="1" s="1"/>
  <c r="CO40" i="5"/>
  <c r="ED18" i="1"/>
  <c r="EE18" i="1" s="1"/>
  <c r="CL29" i="5"/>
  <c r="BM29" i="5"/>
  <c r="BN29" i="5" s="1"/>
  <c r="AI36" i="5"/>
  <c r="AA36" i="5"/>
  <c r="P29" i="15" s="1"/>
  <c r="ED17" i="1"/>
  <c r="EE17" i="1" s="1"/>
  <c r="AK29" i="5"/>
  <c r="AL29" i="5"/>
  <c r="BN21" i="5"/>
  <c r="CO37" i="5"/>
  <c r="AA35" i="5"/>
  <c r="P28" i="15" s="1"/>
  <c r="AI35" i="5"/>
  <c r="BM26" i="5"/>
  <c r="BN26" i="5" s="1"/>
  <c r="AK26" i="5"/>
  <c r="AL26" i="5"/>
  <c r="BM49" i="5"/>
  <c r="BN49" i="5" s="1"/>
  <c r="AA49" i="5"/>
  <c r="P42" i="15" s="1"/>
  <c r="AI49" i="5"/>
  <c r="AA27" i="5"/>
  <c r="P20" i="15" s="1"/>
  <c r="AI27" i="5"/>
  <c r="CW56" i="5"/>
  <c r="CW58" i="5"/>
  <c r="CW59" i="5"/>
  <c r="AP73" i="5"/>
  <c r="AQ73" i="5" s="1"/>
  <c r="AS75" i="5"/>
  <c r="AU75" i="5" s="1"/>
  <c r="AV75" i="5" s="1"/>
  <c r="AI33" i="5"/>
  <c r="AA33" i="5"/>
  <c r="P26" i="15" s="1"/>
  <c r="AK28" i="5"/>
  <c r="AL28" i="5"/>
  <c r="DF62" i="5"/>
  <c r="AI30" i="5"/>
  <c r="AA30" i="5"/>
  <c r="P23" i="15" s="1"/>
  <c r="DF61" i="5"/>
  <c r="CP26" i="5"/>
  <c r="CJ55" i="5"/>
  <c r="AL22" i="5"/>
  <c r="AK22" i="5"/>
  <c r="AA37" i="5"/>
  <c r="P30" i="15" s="1"/>
  <c r="AI37" i="5"/>
  <c r="CO36" i="5"/>
  <c r="EE20" i="1"/>
  <c r="ED20" i="1"/>
  <c r="AA43" i="5"/>
  <c r="P36" i="15" s="1"/>
  <c r="AI43" i="5"/>
  <c r="ED14" i="1"/>
  <c r="EE14" i="1"/>
  <c r="AI47" i="5"/>
  <c r="AA47" i="5"/>
  <c r="P40" i="15" s="1"/>
  <c r="BM47" i="5"/>
  <c r="BN47" i="5" s="1"/>
  <c r="ED13" i="1"/>
  <c r="EE13" i="1" s="1"/>
  <c r="DC46" i="5"/>
  <c r="CO41" i="5"/>
  <c r="AA50" i="5"/>
  <c r="P43" i="15" s="1"/>
  <c r="BM50" i="5"/>
  <c r="BN50" i="5" s="1"/>
  <c r="AI50" i="5"/>
  <c r="AI34" i="5"/>
  <c r="AA34" i="5"/>
  <c r="P27" i="15" s="1"/>
  <c r="DC50" i="5"/>
  <c r="CO21" i="5"/>
  <c r="CO2" i="5" s="1"/>
  <c r="DF21" i="5"/>
  <c r="DO21" i="5"/>
  <c r="CK59" i="5"/>
  <c r="CK58" i="5"/>
  <c r="CK60" i="5"/>
  <c r="CO38" i="5"/>
  <c r="CL24" i="5"/>
  <c r="V25" i="5"/>
  <c r="V55" i="5" s="1"/>
  <c r="AA42" i="5"/>
  <c r="P35" i="15" s="1"/>
  <c r="AI42" i="5"/>
  <c r="AA38" i="5"/>
  <c r="P31" i="15" s="1"/>
  <c r="AI38" i="5"/>
  <c r="AI39" i="5"/>
  <c r="AA39" i="5"/>
  <c r="P32" i="15" s="1"/>
  <c r="AA31" i="5"/>
  <c r="P24" i="15" s="1"/>
  <c r="AI31" i="5"/>
  <c r="BA29" i="5"/>
  <c r="AY58" i="5"/>
  <c r="CO33" i="5"/>
  <c r="DP20" i="5"/>
  <c r="CP20" i="5"/>
  <c r="DI20" i="5"/>
  <c r="BM28" i="5"/>
  <c r="BN28" i="5" s="1"/>
  <c r="AA41" i="5"/>
  <c r="P34" i="15" s="1"/>
  <c r="AI41" i="5"/>
  <c r="CO35" i="5"/>
  <c r="DC48" i="5"/>
  <c r="AI44" i="5"/>
  <c r="AA44" i="5"/>
  <c r="P37" i="15" s="1"/>
  <c r="ED16" i="1"/>
  <c r="EE16" i="1" s="1"/>
  <c r="EJ19" i="15" l="1"/>
  <c r="O26" i="15"/>
  <c r="BY70" i="15"/>
  <c r="EI26" i="15"/>
  <c r="FC26" i="15"/>
  <c r="FB26" i="15" s="1"/>
  <c r="V26" i="15"/>
  <c r="EJ26" i="15" s="1"/>
  <c r="U26" i="15"/>
  <c r="DH26" i="15"/>
  <c r="FC27" i="15"/>
  <c r="FB27" i="15" s="1"/>
  <c r="EI27" i="15"/>
  <c r="BY71" i="15"/>
  <c r="O27" i="15"/>
  <c r="V27" i="15"/>
  <c r="U27" i="15"/>
  <c r="P19" i="1"/>
  <c r="O19" i="1" s="1"/>
  <c r="P19" i="14"/>
  <c r="AJ15" i="15"/>
  <c r="DS15" i="15"/>
  <c r="DU15" i="15" s="1"/>
  <c r="BZ59" i="15"/>
  <c r="CA59" i="15" s="1"/>
  <c r="EM15" i="15"/>
  <c r="CK15" i="15"/>
  <c r="DK15" i="15"/>
  <c r="O40" i="15"/>
  <c r="FC40" i="15"/>
  <c r="V40" i="15"/>
  <c r="DH40" i="15" s="1"/>
  <c r="EI31" i="15"/>
  <c r="O31" i="15"/>
  <c r="FC31" i="15"/>
  <c r="FB31" i="15" s="1"/>
  <c r="V31" i="15"/>
  <c r="EJ31" i="15" s="1"/>
  <c r="EJ53" i="15" s="1"/>
  <c r="EI57" i="15" s="1"/>
  <c r="EJ57" i="15" s="1"/>
  <c r="EK57" i="15" s="1"/>
  <c r="U31" i="15"/>
  <c r="DH31" i="15"/>
  <c r="P21" i="1"/>
  <c r="U21" i="1" s="1"/>
  <c r="P21" i="14"/>
  <c r="EM21" i="15"/>
  <c r="BZ65" i="15"/>
  <c r="CK21" i="15"/>
  <c r="CQ21" i="15"/>
  <c r="AJ21" i="15"/>
  <c r="DS21" i="15"/>
  <c r="DU21" i="15" s="1"/>
  <c r="BY74" i="15"/>
  <c r="EI30" i="15"/>
  <c r="O30" i="15"/>
  <c r="FC30" i="15"/>
  <c r="FB30" i="15" s="1"/>
  <c r="V30" i="15"/>
  <c r="EJ30" i="15"/>
  <c r="DH30" i="15"/>
  <c r="U30" i="15"/>
  <c r="O34" i="15"/>
  <c r="FC34" i="15"/>
  <c r="FB34" i="15" s="1"/>
  <c r="V34" i="15"/>
  <c r="DH34" i="15" s="1"/>
  <c r="U34" i="15"/>
  <c r="BY58" i="15"/>
  <c r="EI14" i="15"/>
  <c r="FC14" i="15"/>
  <c r="O14" i="15"/>
  <c r="V14" i="15"/>
  <c r="DH14" i="15"/>
  <c r="EJ14" i="15"/>
  <c r="O35" i="15"/>
  <c r="FC35" i="15"/>
  <c r="FB35" i="15" s="1"/>
  <c r="V35" i="15"/>
  <c r="U35" i="15"/>
  <c r="R39" i="15" s="1"/>
  <c r="P15" i="1"/>
  <c r="P15" i="14"/>
  <c r="FC38" i="15"/>
  <c r="FB38" i="15" s="1"/>
  <c r="U38" i="15"/>
  <c r="V38" i="15"/>
  <c r="EJ38" i="15"/>
  <c r="DH38" i="15"/>
  <c r="AJ22" i="15"/>
  <c r="CQ22" i="15"/>
  <c r="BZ66" i="15"/>
  <c r="CA66" i="15" s="1"/>
  <c r="DS22" i="15"/>
  <c r="DU22" i="15" s="1"/>
  <c r="EM22" i="15"/>
  <c r="CK22" i="15"/>
  <c r="P22" i="14"/>
  <c r="Y15" i="17" s="1"/>
  <c r="AI15" i="17" s="1"/>
  <c r="P22" i="1"/>
  <c r="EI22" i="1" s="1"/>
  <c r="CK19" i="15"/>
  <c r="DK19" i="15"/>
  <c r="EM19" i="15"/>
  <c r="BZ63" i="15"/>
  <c r="CA63" i="15" s="1"/>
  <c r="AJ19" i="15"/>
  <c r="DS19" i="15"/>
  <c r="DU19" i="15" s="1"/>
  <c r="BY73" i="15"/>
  <c r="O29" i="15"/>
  <c r="FC29" i="15"/>
  <c r="FB29" i="15" s="1"/>
  <c r="EI29" i="15"/>
  <c r="U29" i="15"/>
  <c r="V29" i="15"/>
  <c r="P46" i="1"/>
  <c r="P46" i="14"/>
  <c r="P46" i="15"/>
  <c r="BY72" i="15"/>
  <c r="O28" i="15"/>
  <c r="EI28" i="15"/>
  <c r="FC28" i="15"/>
  <c r="FB28" i="15" s="1"/>
  <c r="U28" i="15"/>
  <c r="V28" i="15"/>
  <c r="DH28" i="15"/>
  <c r="EJ28" i="15"/>
  <c r="O33" i="15"/>
  <c r="FC33" i="15"/>
  <c r="FB33" i="15" s="1"/>
  <c r="U33" i="15"/>
  <c r="V33" i="15"/>
  <c r="EJ33" i="15" s="1"/>
  <c r="FC20" i="15"/>
  <c r="BY64" i="15"/>
  <c r="V20" i="15"/>
  <c r="DH20" i="15"/>
  <c r="EI20" i="15"/>
  <c r="O20" i="15"/>
  <c r="EJ20" i="15"/>
  <c r="FC39" i="15"/>
  <c r="O39" i="15"/>
  <c r="V39" i="15"/>
  <c r="FC41" i="15"/>
  <c r="O41" i="15"/>
  <c r="V41" i="15"/>
  <c r="EJ41" i="15" s="1"/>
  <c r="CK44" i="15"/>
  <c r="CQ44" i="15"/>
  <c r="BY68" i="15"/>
  <c r="O24" i="15"/>
  <c r="FC24" i="15"/>
  <c r="EI24" i="15"/>
  <c r="U24" i="15"/>
  <c r="V24" i="15"/>
  <c r="DH24" i="15" s="1"/>
  <c r="FC36" i="15"/>
  <c r="FB36" i="15" s="1"/>
  <c r="O36" i="15"/>
  <c r="V36" i="15"/>
  <c r="EJ36" i="15" s="1"/>
  <c r="U36" i="15"/>
  <c r="DH36" i="15"/>
  <c r="EM17" i="15"/>
  <c r="DS17" i="15"/>
  <c r="DU17" i="15" s="1"/>
  <c r="BZ61" i="15"/>
  <c r="CA61" i="15" s="1"/>
  <c r="CK17" i="15"/>
  <c r="DK17" i="15"/>
  <c r="AJ17" i="15"/>
  <c r="O43" i="15"/>
  <c r="V43" i="15"/>
  <c r="FC16" i="15"/>
  <c r="EI16" i="15"/>
  <c r="BY60" i="15"/>
  <c r="O16" i="15"/>
  <c r="V16" i="15"/>
  <c r="DH16" i="15"/>
  <c r="EJ16" i="15"/>
  <c r="EI32" i="15"/>
  <c r="FC32" i="15"/>
  <c r="FB32" i="15" s="1"/>
  <c r="V32" i="15"/>
  <c r="DH32" i="15" s="1"/>
  <c r="U32" i="15"/>
  <c r="EJ32" i="15"/>
  <c r="FC42" i="15"/>
  <c r="O42" i="15"/>
  <c r="V42" i="15"/>
  <c r="EJ42" i="15" s="1"/>
  <c r="P44" i="1"/>
  <c r="P44" i="14"/>
  <c r="EJ21" i="15"/>
  <c r="FC37" i="15"/>
  <c r="FB37" i="15" s="1"/>
  <c r="U37" i="15"/>
  <c r="V37" i="15"/>
  <c r="EJ37" i="15" s="1"/>
  <c r="DH37" i="15"/>
  <c r="BY67" i="15"/>
  <c r="BY76" i="15" s="1"/>
  <c r="EI23" i="15"/>
  <c r="FC23" i="15"/>
  <c r="O23" i="15"/>
  <c r="V23" i="15"/>
  <c r="EJ23" i="15" s="1"/>
  <c r="U23" i="15"/>
  <c r="BY69" i="15"/>
  <c r="O25" i="15"/>
  <c r="EI25" i="15"/>
  <c r="FC25" i="15"/>
  <c r="FB25" i="15" s="1"/>
  <c r="V25" i="15"/>
  <c r="EJ25" i="15"/>
  <c r="U25" i="15"/>
  <c r="DH25" i="15"/>
  <c r="DH15" i="15"/>
  <c r="EJ17" i="15"/>
  <c r="EG13" i="13"/>
  <c r="EO13" i="13"/>
  <c r="CL35" i="5"/>
  <c r="BM35" i="5"/>
  <c r="BN35" i="5" s="1"/>
  <c r="CL30" i="5"/>
  <c r="BM30" i="5"/>
  <c r="BN30" i="5" s="1"/>
  <c r="AL27" i="5"/>
  <c r="AK27" i="5"/>
  <c r="BM45" i="5"/>
  <c r="CL45" i="5"/>
  <c r="CK62" i="5"/>
  <c r="CK63" i="5"/>
  <c r="CL37" i="5"/>
  <c r="BM37" i="5"/>
  <c r="BN37" i="5" s="1"/>
  <c r="AL30" i="5"/>
  <c r="AK30" i="5"/>
  <c r="CK61" i="5"/>
  <c r="AL21" i="5"/>
  <c r="AK21" i="5"/>
  <c r="CL41" i="5"/>
  <c r="BM41" i="5"/>
  <c r="BN41" i="5" s="1"/>
  <c r="AK38" i="5"/>
  <c r="AL38" i="5"/>
  <c r="DF58" i="5"/>
  <c r="DF59" i="5"/>
  <c r="AL23" i="5"/>
  <c r="AK23" i="5"/>
  <c r="CO53" i="5"/>
  <c r="CO49" i="5"/>
  <c r="CO48" i="5"/>
  <c r="CO50" i="5"/>
  <c r="CO30" i="5"/>
  <c r="CO31" i="5"/>
  <c r="CO29" i="5"/>
  <c r="CO43" i="5"/>
  <c r="CL47" i="5"/>
  <c r="AL33" i="5"/>
  <c r="AK33" i="5"/>
  <c r="BM36" i="5"/>
  <c r="BN36" i="5" s="1"/>
  <c r="CL36" i="5"/>
  <c r="AL40" i="5"/>
  <c r="AK40" i="5"/>
  <c r="AK47" i="5"/>
  <c r="AL47" i="5"/>
  <c r="CO46" i="5"/>
  <c r="CL53" i="5"/>
  <c r="AL34" i="5"/>
  <c r="AK34" i="5"/>
  <c r="AA58" i="5"/>
  <c r="BM43" i="5"/>
  <c r="BN43" i="5" s="1"/>
  <c r="CL43" i="5"/>
  <c r="DG29" i="5"/>
  <c r="CS29" i="5"/>
  <c r="DP29" i="5"/>
  <c r="DI29" i="5"/>
  <c r="CP24" i="5"/>
  <c r="DP24" i="5"/>
  <c r="DI24" i="5"/>
  <c r="AL31" i="5"/>
  <c r="AK31" i="5"/>
  <c r="CL31" i="5"/>
  <c r="BM31" i="5"/>
  <c r="BN31" i="5" s="1"/>
  <c r="BM27" i="5"/>
  <c r="BN27" i="5" s="1"/>
  <c r="BM39" i="5"/>
  <c r="CL39" i="5"/>
  <c r="AL49" i="5"/>
  <c r="AK49" i="5"/>
  <c r="AL41" i="5"/>
  <c r="AK41" i="5"/>
  <c r="CL49" i="5"/>
  <c r="CL38" i="5"/>
  <c r="BM38" i="5"/>
  <c r="BN38" i="5" s="1"/>
  <c r="CL33" i="5"/>
  <c r="BM33" i="5"/>
  <c r="BN33" i="5" s="1"/>
  <c r="CL46" i="5"/>
  <c r="BM46" i="5"/>
  <c r="BN46" i="5" s="1"/>
  <c r="CO34" i="5"/>
  <c r="AK36" i="5"/>
  <c r="AL36" i="5"/>
  <c r="BM40" i="5"/>
  <c r="BN40" i="5" s="1"/>
  <c r="CL40" i="5"/>
  <c r="CP2" i="5"/>
  <c r="CL34" i="5"/>
  <c r="BM34" i="5"/>
  <c r="BN34" i="5" s="1"/>
  <c r="AK42" i="5"/>
  <c r="AL42" i="5"/>
  <c r="AL43" i="5"/>
  <c r="AK43" i="5"/>
  <c r="EI19" i="1"/>
  <c r="CO47" i="5"/>
  <c r="CL48" i="5"/>
  <c r="CL44" i="5"/>
  <c r="BM44" i="5"/>
  <c r="BM42" i="5"/>
  <c r="BN42" i="5" s="1"/>
  <c r="CL42" i="5"/>
  <c r="AI25" i="5"/>
  <c r="AA25" i="5"/>
  <c r="P18" i="15" s="1"/>
  <c r="CL50" i="5"/>
  <c r="CO32" i="5"/>
  <c r="AK35" i="5"/>
  <c r="AL35" i="5"/>
  <c r="CL32" i="5"/>
  <c r="BM32" i="5"/>
  <c r="BN32" i="5" s="1"/>
  <c r="P13" i="2" l="1"/>
  <c r="V13" i="2" s="1"/>
  <c r="AG13" i="2" s="1"/>
  <c r="R41" i="15"/>
  <c r="Y12" i="17"/>
  <c r="AI12" i="17" s="1"/>
  <c r="Y39" i="17"/>
  <c r="AI39" i="17" s="1"/>
  <c r="R43" i="15"/>
  <c r="EJ24" i="15"/>
  <c r="Y8" i="17"/>
  <c r="AI8" i="17" s="1"/>
  <c r="Y14" i="17"/>
  <c r="AI14" i="17" s="1"/>
  <c r="EJ40" i="15"/>
  <c r="V44" i="14"/>
  <c r="CR44" i="14" s="1"/>
  <c r="Y37" i="17"/>
  <c r="AI37" i="17" s="1"/>
  <c r="EI53" i="15"/>
  <c r="BY63" i="1"/>
  <c r="V21" i="1"/>
  <c r="Q21" i="14" s="1"/>
  <c r="R21" i="14" s="1"/>
  <c r="O21" i="1"/>
  <c r="V22" i="1"/>
  <c r="Q22" i="14" s="1"/>
  <c r="BY66" i="1"/>
  <c r="V19" i="1"/>
  <c r="CK19" i="1" s="1"/>
  <c r="U22" i="1"/>
  <c r="P15" i="2"/>
  <c r="FC22" i="1"/>
  <c r="P16" i="2"/>
  <c r="V16" i="2" s="1"/>
  <c r="AG16" i="2" s="1"/>
  <c r="FC21" i="1"/>
  <c r="EI21" i="1"/>
  <c r="BY65" i="1"/>
  <c r="O22" i="1"/>
  <c r="FC19" i="1"/>
  <c r="T41" i="15"/>
  <c r="U41" i="15" s="1"/>
  <c r="Y41" i="15"/>
  <c r="EZ41" i="15"/>
  <c r="Y43" i="15"/>
  <c r="T39" i="15"/>
  <c r="U39" i="15" s="1"/>
  <c r="Y39" i="15"/>
  <c r="EZ39" i="15"/>
  <c r="CK29" i="15"/>
  <c r="AJ29" i="15"/>
  <c r="EM29" i="15"/>
  <c r="CQ29" i="15"/>
  <c r="DS29" i="15"/>
  <c r="DU29" i="15" s="1"/>
  <c r="BZ73" i="15"/>
  <c r="CA73" i="15" s="1"/>
  <c r="CQ35" i="15"/>
  <c r="AJ35" i="15"/>
  <c r="DS35" i="15"/>
  <c r="DU35" i="15" s="1"/>
  <c r="EM35" i="15"/>
  <c r="CK35" i="15"/>
  <c r="DW21" i="15"/>
  <c r="DY21" i="15" s="1"/>
  <c r="BY21" i="15"/>
  <c r="BZ21" i="15" s="1"/>
  <c r="CH21" i="15"/>
  <c r="DL21" i="15"/>
  <c r="CN21" i="15"/>
  <c r="BL21" i="15"/>
  <c r="DK21" i="15"/>
  <c r="P20" i="1"/>
  <c r="O20" i="1" s="1"/>
  <c r="P20" i="14"/>
  <c r="BY17" i="15"/>
  <c r="BZ17" i="15" s="1"/>
  <c r="DW17" i="15"/>
  <c r="DY17" i="15" s="1"/>
  <c r="CH17" i="15"/>
  <c r="BL17" i="15"/>
  <c r="CK39" i="15"/>
  <c r="CQ39" i="15"/>
  <c r="EM39" i="15"/>
  <c r="DS39" i="15"/>
  <c r="DU39" i="15" s="1"/>
  <c r="AO1" i="15"/>
  <c r="AJ34" i="15"/>
  <c r="DS34" i="15"/>
  <c r="DU34" i="15" s="1"/>
  <c r="CQ34" i="15"/>
  <c r="CK34" i="15"/>
  <c r="EM34" i="15"/>
  <c r="CR21" i="15"/>
  <c r="CS21" i="15"/>
  <c r="DH27" i="15"/>
  <c r="EM27" i="15"/>
  <c r="CQ27" i="15"/>
  <c r="AJ27" i="15"/>
  <c r="BZ71" i="15"/>
  <c r="CA71" i="15" s="1"/>
  <c r="DS27" i="15"/>
  <c r="DU27" i="15" s="1"/>
  <c r="CK27" i="15"/>
  <c r="BY62" i="15"/>
  <c r="EI18" i="15"/>
  <c r="O18" i="15"/>
  <c r="FC18" i="15"/>
  <c r="V18" i="15"/>
  <c r="V84" i="15" s="1"/>
  <c r="DS40" i="15"/>
  <c r="DU40" i="15" s="1"/>
  <c r="EM40" i="15"/>
  <c r="CQ40" i="15"/>
  <c r="CK40" i="15"/>
  <c r="P26" i="14"/>
  <c r="Y19" i="17" s="1"/>
  <c r="AI19" i="17" s="1"/>
  <c r="P26" i="1"/>
  <c r="BY70" i="1" s="1"/>
  <c r="EM37" i="15"/>
  <c r="CK37" i="15"/>
  <c r="DS37" i="15"/>
  <c r="DU37" i="15" s="1"/>
  <c r="CQ37" i="15"/>
  <c r="AJ37" i="15"/>
  <c r="CK32" i="15"/>
  <c r="EM32" i="15"/>
  <c r="DS32" i="15"/>
  <c r="DU32" i="15" s="1"/>
  <c r="CQ32" i="15"/>
  <c r="AJ32" i="15"/>
  <c r="BZ72" i="15"/>
  <c r="CA72" i="15" s="1"/>
  <c r="EM28" i="15"/>
  <c r="CQ28" i="15"/>
  <c r="AJ28" i="15"/>
  <c r="DS28" i="15"/>
  <c r="DU28" i="15" s="1"/>
  <c r="CK28" i="15"/>
  <c r="CS22" i="15"/>
  <c r="CR22" i="15"/>
  <c r="P54" i="15"/>
  <c r="CA65" i="15"/>
  <c r="AJ25" i="15"/>
  <c r="BZ69" i="15"/>
  <c r="CA69" i="15" s="1"/>
  <c r="EM25" i="15"/>
  <c r="CQ25" i="15"/>
  <c r="DS25" i="15"/>
  <c r="DU25" i="15" s="1"/>
  <c r="CK25" i="15"/>
  <c r="BY22" i="15"/>
  <c r="BZ22" i="15" s="1"/>
  <c r="DW22" i="15"/>
  <c r="DY22" i="15" s="1"/>
  <c r="CN22" i="15"/>
  <c r="CH22" i="15"/>
  <c r="BL22" i="15"/>
  <c r="DL22" i="15"/>
  <c r="DK22" i="15"/>
  <c r="P49" i="15"/>
  <c r="CR44" i="15"/>
  <c r="CS44" i="15"/>
  <c r="P53" i="15"/>
  <c r="P34" i="1"/>
  <c r="FC34" i="1" s="1"/>
  <c r="FB34" i="1" s="1"/>
  <c r="P34" i="14"/>
  <c r="Y27" i="17" s="1"/>
  <c r="AI27" i="17" s="1"/>
  <c r="P14" i="1"/>
  <c r="P14" i="14"/>
  <c r="P84" i="15"/>
  <c r="EJ21" i="14"/>
  <c r="FD21" i="14"/>
  <c r="O21" i="14"/>
  <c r="BZ65" i="14"/>
  <c r="V21" i="14"/>
  <c r="EK21" i="14" s="1"/>
  <c r="DI21" i="14"/>
  <c r="EJ27" i="15"/>
  <c r="P27" i="14"/>
  <c r="Y20" i="17" s="1"/>
  <c r="AI20" i="17" s="1"/>
  <c r="P27" i="1"/>
  <c r="FC27" i="1" s="1"/>
  <c r="FB27" i="1" s="1"/>
  <c r="CL44" i="14"/>
  <c r="BL19" i="15"/>
  <c r="BY19" i="15"/>
  <c r="BZ19" i="15" s="1"/>
  <c r="DW19" i="15"/>
  <c r="DY19" i="15" s="1"/>
  <c r="CH19" i="15"/>
  <c r="CQ38" i="15"/>
  <c r="AJ38" i="15"/>
  <c r="CK38" i="15"/>
  <c r="EM38" i="15"/>
  <c r="DS38" i="15"/>
  <c r="DU38" i="15" s="1"/>
  <c r="CQ30" i="15"/>
  <c r="CK30" i="15"/>
  <c r="BZ74" i="15"/>
  <c r="CA74" i="15" s="1"/>
  <c r="AR58" i="15" s="1"/>
  <c r="AR60" i="15" s="1"/>
  <c r="AR61" i="15" s="1"/>
  <c r="AR63" i="15" s="1"/>
  <c r="AR64" i="15" s="1"/>
  <c r="EM30" i="15"/>
  <c r="AJ30" i="15"/>
  <c r="DS30" i="15"/>
  <c r="DU30" i="15" s="1"/>
  <c r="P24" i="1"/>
  <c r="V24" i="1" s="1"/>
  <c r="Q24" i="14" s="1"/>
  <c r="P24" i="14"/>
  <c r="Y17" i="17" s="1"/>
  <c r="AI17" i="17" s="1"/>
  <c r="V44" i="1"/>
  <c r="P38" i="2"/>
  <c r="V38" i="2" s="1"/>
  <c r="EM16" i="15"/>
  <c r="DS16" i="15"/>
  <c r="DU16" i="15" s="1"/>
  <c r="AJ16" i="15"/>
  <c r="CK16" i="15"/>
  <c r="BZ60" i="15"/>
  <c r="CA60" i="15" s="1"/>
  <c r="DK16" i="15"/>
  <c r="DH41" i="15"/>
  <c r="EM20" i="15"/>
  <c r="CK20" i="15"/>
  <c r="BZ64" i="15"/>
  <c r="CA64" i="15" s="1"/>
  <c r="DS20" i="15"/>
  <c r="DU20" i="15" s="1"/>
  <c r="AJ20" i="15"/>
  <c r="DK20" i="15"/>
  <c r="P23" i="14"/>
  <c r="Y16" i="17" s="1"/>
  <c r="AI16" i="17" s="1"/>
  <c r="P23" i="1"/>
  <c r="BY67" i="1" s="1"/>
  <c r="DH42" i="15"/>
  <c r="BZ58" i="15"/>
  <c r="CA58" i="15" s="1"/>
  <c r="EM14" i="15"/>
  <c r="CK14" i="15"/>
  <c r="AJ14" i="15"/>
  <c r="DS14" i="15"/>
  <c r="DU14" i="15" s="1"/>
  <c r="DK14" i="15"/>
  <c r="V49" i="15"/>
  <c r="P36" i="1"/>
  <c r="O36" i="1" s="1"/>
  <c r="P36" i="14"/>
  <c r="Y29" i="17" s="1"/>
  <c r="AI29" i="17" s="1"/>
  <c r="P29" i="1"/>
  <c r="EI29" i="1" s="1"/>
  <c r="P29" i="14"/>
  <c r="Y22" i="17" s="1"/>
  <c r="AI22" i="17" s="1"/>
  <c r="DH23" i="15"/>
  <c r="AJ36" i="15"/>
  <c r="CK36" i="15"/>
  <c r="CQ36" i="15"/>
  <c r="DS36" i="15"/>
  <c r="DU36" i="15" s="1"/>
  <c r="EM36" i="15"/>
  <c r="O84" i="15"/>
  <c r="V51" i="15"/>
  <c r="DS26" i="15"/>
  <c r="DU26" i="15" s="1"/>
  <c r="BZ70" i="15"/>
  <c r="CA70" i="15" s="1"/>
  <c r="CK26" i="15"/>
  <c r="EM26" i="15"/>
  <c r="AJ26" i="15"/>
  <c r="CQ26" i="15"/>
  <c r="R42" i="15"/>
  <c r="CK41" i="15"/>
  <c r="CQ41" i="15"/>
  <c r="EM41" i="15"/>
  <c r="DS41" i="15"/>
  <c r="DU41" i="15" s="1"/>
  <c r="DH33" i="15"/>
  <c r="O46" i="15"/>
  <c r="R46" i="15"/>
  <c r="V46" i="15"/>
  <c r="V91" i="15" s="1"/>
  <c r="DH46" i="15"/>
  <c r="FD15" i="14"/>
  <c r="EJ15" i="14"/>
  <c r="O15" i="14"/>
  <c r="BZ59" i="14"/>
  <c r="V15" i="14"/>
  <c r="EK15" i="14" s="1"/>
  <c r="EM31" i="15"/>
  <c r="DS31" i="15"/>
  <c r="DU31" i="15" s="1"/>
  <c r="AJ31" i="15"/>
  <c r="CK31" i="15"/>
  <c r="CQ31" i="15"/>
  <c r="P31" i="1"/>
  <c r="EI31" i="1" s="1"/>
  <c r="P31" i="14"/>
  <c r="Y24" i="17" s="1"/>
  <c r="AI24" i="17" s="1"/>
  <c r="EI54" i="15"/>
  <c r="EI56" i="15"/>
  <c r="P35" i="1"/>
  <c r="P29" i="2" s="1"/>
  <c r="V29" i="2" s="1"/>
  <c r="AG29" i="2" s="1"/>
  <c r="P35" i="14"/>
  <c r="Y28" i="17" s="1"/>
  <c r="AI28" i="17" s="1"/>
  <c r="P42" i="14"/>
  <c r="Y35" i="17" s="1"/>
  <c r="AI35" i="17" s="1"/>
  <c r="P42" i="1"/>
  <c r="P40" i="1"/>
  <c r="P34" i="2" s="1"/>
  <c r="V34" i="2" s="1"/>
  <c r="P40" i="14"/>
  <c r="Y33" i="17" s="1"/>
  <c r="AI33" i="17" s="1"/>
  <c r="CK23" i="15"/>
  <c r="BZ67" i="15"/>
  <c r="CA67" i="15" s="1"/>
  <c r="EM23" i="15"/>
  <c r="CQ23" i="15"/>
  <c r="DS23" i="15"/>
  <c r="DU23" i="15" s="1"/>
  <c r="AJ23" i="15"/>
  <c r="CQ42" i="15"/>
  <c r="CK42" i="15"/>
  <c r="DS42" i="15"/>
  <c r="DU42" i="15" s="1"/>
  <c r="EM42" i="15"/>
  <c r="O46" i="14"/>
  <c r="V46" i="14"/>
  <c r="DI46" i="14" s="1"/>
  <c r="P9" i="2"/>
  <c r="V9" i="2" s="1"/>
  <c r="AG9" i="2" s="1"/>
  <c r="V15" i="1"/>
  <c r="EI15" i="1"/>
  <c r="BY59" i="1"/>
  <c r="O15" i="1"/>
  <c r="FC15" i="1"/>
  <c r="BY15" i="15"/>
  <c r="BZ15" i="15" s="1"/>
  <c r="DW15" i="15"/>
  <c r="DY15" i="15" s="1"/>
  <c r="CH15" i="15"/>
  <c r="BL15" i="15"/>
  <c r="P28" i="1"/>
  <c r="BY72" i="1" s="1"/>
  <c r="P28" i="14"/>
  <c r="Y21" i="17" s="1"/>
  <c r="AI21" i="17" s="1"/>
  <c r="CQ33" i="15"/>
  <c r="CK33" i="15"/>
  <c r="AJ33" i="15"/>
  <c r="DS33" i="15"/>
  <c r="DU33" i="15" s="1"/>
  <c r="EM33" i="15"/>
  <c r="P50" i="15"/>
  <c r="CK43" i="15"/>
  <c r="CQ43" i="15"/>
  <c r="DH39" i="15"/>
  <c r="DH29" i="15"/>
  <c r="BZ66" i="14"/>
  <c r="O22" i="14"/>
  <c r="EJ22" i="14"/>
  <c r="V22" i="14"/>
  <c r="DI22" i="14" s="1"/>
  <c r="FD22" i="14"/>
  <c r="DH35" i="15"/>
  <c r="EJ34" i="15"/>
  <c r="V50" i="15"/>
  <c r="EJ19" i="14"/>
  <c r="FD19" i="14"/>
  <c r="O19" i="14"/>
  <c r="BZ63" i="14"/>
  <c r="V19" i="14"/>
  <c r="DI19" i="14" s="1"/>
  <c r="P16" i="14"/>
  <c r="P16" i="1"/>
  <c r="P33" i="1"/>
  <c r="P27" i="2" s="1"/>
  <c r="V27" i="2" s="1"/>
  <c r="AG27" i="2" s="1"/>
  <c r="P33" i="14"/>
  <c r="Y26" i="17" s="1"/>
  <c r="AI26" i="17" s="1"/>
  <c r="AR65" i="15"/>
  <c r="DH43" i="15"/>
  <c r="BZ68" i="15"/>
  <c r="CA68" i="15" s="1"/>
  <c r="DS24" i="15"/>
  <c r="DU24" i="15" s="1"/>
  <c r="EM24" i="15"/>
  <c r="CQ24" i="15"/>
  <c r="AJ24" i="15"/>
  <c r="CK24" i="15"/>
  <c r="EJ39" i="15"/>
  <c r="EJ29" i="15"/>
  <c r="EJ35" i="15"/>
  <c r="R44" i="15"/>
  <c r="Y44" i="15" s="1"/>
  <c r="R40" i="15"/>
  <c r="R53" i="15" s="1"/>
  <c r="P51" i="15"/>
  <c r="AC21" i="14"/>
  <c r="DH22" i="1"/>
  <c r="AC22" i="14"/>
  <c r="R22" i="14"/>
  <c r="AD22" i="14"/>
  <c r="DP32" i="5"/>
  <c r="CS32" i="5"/>
  <c r="DG32" i="5"/>
  <c r="DH32" i="5" s="1"/>
  <c r="DI32" i="5"/>
  <c r="CP32" i="5"/>
  <c r="CS43" i="5"/>
  <c r="DG43" i="5"/>
  <c r="DH43" i="5" s="1"/>
  <c r="DP43" i="5"/>
  <c r="DI43" i="5"/>
  <c r="CP43" i="5"/>
  <c r="CS33" i="5"/>
  <c r="DG33" i="5"/>
  <c r="DH33" i="5" s="1"/>
  <c r="DP33" i="5"/>
  <c r="DI33" i="5"/>
  <c r="CP33" i="5"/>
  <c r="CS36" i="5"/>
  <c r="DP36" i="5"/>
  <c r="DG36" i="5"/>
  <c r="DH36" i="5" s="1"/>
  <c r="DI36" i="5"/>
  <c r="CP36" i="5"/>
  <c r="P30" i="2"/>
  <c r="V30" i="2" s="1"/>
  <c r="AG30" i="2" s="1"/>
  <c r="U36" i="1"/>
  <c r="CS45" i="5"/>
  <c r="DP45" i="5"/>
  <c r="DG45" i="5"/>
  <c r="CN48" i="5"/>
  <c r="DD48" i="5" s="1"/>
  <c r="DP48" i="5"/>
  <c r="DG48" i="5"/>
  <c r="CS48" i="5"/>
  <c r="CP48" i="5"/>
  <c r="DG38" i="5"/>
  <c r="DH38" i="5" s="1"/>
  <c r="CS38" i="5"/>
  <c r="DP38" i="5"/>
  <c r="DI38" i="5"/>
  <c r="CP38" i="5"/>
  <c r="DK19" i="1"/>
  <c r="P28" i="2"/>
  <c r="V28" i="2" s="1"/>
  <c r="AG28" i="2" s="1"/>
  <c r="V34" i="1"/>
  <c r="Q34" i="14" s="1"/>
  <c r="O34" i="1"/>
  <c r="CS47" i="5"/>
  <c r="DG47" i="5"/>
  <c r="DP47" i="5"/>
  <c r="CP47" i="5"/>
  <c r="CN47" i="5"/>
  <c r="DD47" i="5" s="1"/>
  <c r="DS21" i="1"/>
  <c r="DU21" i="1" s="1"/>
  <c r="CQ21" i="1"/>
  <c r="AJ21" i="1"/>
  <c r="EM21" i="1"/>
  <c r="BZ65" i="1"/>
  <c r="CK21" i="1"/>
  <c r="DP41" i="5"/>
  <c r="CS41" i="5"/>
  <c r="DG41" i="5"/>
  <c r="DH41" i="5" s="1"/>
  <c r="DI41" i="5"/>
  <c r="CP41" i="5"/>
  <c r="BF16" i="2"/>
  <c r="CS34" i="5"/>
  <c r="DG34" i="5"/>
  <c r="DH34" i="5" s="1"/>
  <c r="DP34" i="5"/>
  <c r="DI34" i="5"/>
  <c r="CP34" i="5"/>
  <c r="DG53" i="5"/>
  <c r="CN53" i="5"/>
  <c r="DD53" i="5" s="1"/>
  <c r="DP53" i="5"/>
  <c r="CP53" i="5"/>
  <c r="CS53" i="5"/>
  <c r="AK25" i="5"/>
  <c r="AK54" i="5" s="1"/>
  <c r="AL25" i="5"/>
  <c r="DH21" i="1"/>
  <c r="DG30" i="5"/>
  <c r="DH30" i="5" s="1"/>
  <c r="CS30" i="5"/>
  <c r="DP30" i="5"/>
  <c r="DI30" i="5"/>
  <c r="DP42" i="5"/>
  <c r="CS42" i="5"/>
  <c r="DG42" i="5"/>
  <c r="DH42" i="5" s="1"/>
  <c r="DI42" i="5"/>
  <c r="CP42" i="5"/>
  <c r="CL60" i="5"/>
  <c r="CL58" i="5"/>
  <c r="DG37" i="5"/>
  <c r="DP37" i="5"/>
  <c r="CS37" i="5"/>
  <c r="DI37" i="5"/>
  <c r="CP37" i="5"/>
  <c r="P23" i="2"/>
  <c r="V23" i="2" s="1"/>
  <c r="AG23" i="2" s="1"/>
  <c r="V29" i="1"/>
  <c r="DP44" i="5"/>
  <c r="CS44" i="5"/>
  <c r="DG44" i="5"/>
  <c r="BF13" i="2"/>
  <c r="DP46" i="5"/>
  <c r="CS46" i="5"/>
  <c r="DG46" i="5"/>
  <c r="CN46" i="5"/>
  <c r="DD46" i="5" s="1"/>
  <c r="CP46" i="5"/>
  <c r="CS50" i="5"/>
  <c r="CP50" i="5"/>
  <c r="CN50" i="5"/>
  <c r="DD50" i="5" s="1"/>
  <c r="DP50" i="5"/>
  <c r="DG50" i="5"/>
  <c r="V27" i="1"/>
  <c r="EI27" i="1"/>
  <c r="P40" i="2"/>
  <c r="V40" i="2" s="1"/>
  <c r="V46" i="1"/>
  <c r="Q46" i="14" s="1"/>
  <c r="O46" i="1"/>
  <c r="BM25" i="5"/>
  <c r="EJ21" i="1"/>
  <c r="CL59" i="5"/>
  <c r="CS40" i="5"/>
  <c r="DP40" i="5"/>
  <c r="DG40" i="5"/>
  <c r="DH40" i="5" s="1"/>
  <c r="DI40" i="5"/>
  <c r="CP40" i="5"/>
  <c r="BZ66" i="1"/>
  <c r="EM22" i="1"/>
  <c r="CQ22" i="1"/>
  <c r="CK22" i="1"/>
  <c r="DS22" i="1"/>
  <c r="DU22" i="1" s="1"/>
  <c r="AJ22" i="1"/>
  <c r="EJ22" i="1"/>
  <c r="V15" i="2"/>
  <c r="FC42" i="1"/>
  <c r="V42" i="1"/>
  <c r="Q42" i="14" s="1"/>
  <c r="O42" i="1"/>
  <c r="BY68" i="1"/>
  <c r="EI24" i="1"/>
  <c r="P18" i="2"/>
  <c r="V18" i="2" s="1"/>
  <c r="AG18" i="2" s="1"/>
  <c r="O24" i="1"/>
  <c r="DG49" i="5"/>
  <c r="CS49" i="5"/>
  <c r="CP49" i="5"/>
  <c r="DP49" i="5"/>
  <c r="CN49" i="5"/>
  <c r="DD49" i="5" s="1"/>
  <c r="CX29" i="5"/>
  <c r="CZ29" i="5" s="1"/>
  <c r="DA29" i="5" s="1"/>
  <c r="CV29" i="5"/>
  <c r="DP39" i="5"/>
  <c r="CS39" i="5"/>
  <c r="DG39" i="5"/>
  <c r="DG31" i="5"/>
  <c r="DH31" i="5" s="1"/>
  <c r="DP31" i="5"/>
  <c r="CS31" i="5"/>
  <c r="DI31" i="5"/>
  <c r="DH29" i="5"/>
  <c r="DG35" i="5"/>
  <c r="DH35" i="5" s="1"/>
  <c r="DP35" i="5"/>
  <c r="CS35" i="5"/>
  <c r="DI35" i="5"/>
  <c r="CP35" i="5"/>
  <c r="FC29" i="1" l="1"/>
  <c r="FB29" i="1" s="1"/>
  <c r="Y9" i="17"/>
  <c r="AI9" i="17" s="1"/>
  <c r="EJ18" i="15"/>
  <c r="T43" i="15"/>
  <c r="U43" i="15" s="1"/>
  <c r="CA66" i="1"/>
  <c r="BZ63" i="1"/>
  <c r="CA63" i="1" s="1"/>
  <c r="EK19" i="14"/>
  <c r="Y7" i="17"/>
  <c r="AI7" i="17" s="1"/>
  <c r="DH18" i="15"/>
  <c r="DH54" i="15" s="1"/>
  <c r="DH19" i="1"/>
  <c r="Y13" i="17"/>
  <c r="AI13" i="17" s="1"/>
  <c r="EI20" i="1"/>
  <c r="P14" i="2"/>
  <c r="V14" i="2" s="1"/>
  <c r="AG14" i="2" s="1"/>
  <c r="EM19" i="1"/>
  <c r="O27" i="1"/>
  <c r="V33" i="1"/>
  <c r="Q33" i="14" s="1"/>
  <c r="AJ19" i="1"/>
  <c r="U29" i="1"/>
  <c r="Q29" i="14"/>
  <c r="R29" i="14" s="1"/>
  <c r="DS19" i="1"/>
  <c r="DU19" i="1" s="1"/>
  <c r="R51" i="15"/>
  <c r="P21" i="2"/>
  <c r="V21" i="2" s="1"/>
  <c r="AG21" i="2" s="1"/>
  <c r="U33" i="1"/>
  <c r="BY71" i="1"/>
  <c r="BY73" i="1"/>
  <c r="U27" i="1"/>
  <c r="O29" i="1"/>
  <c r="FC33" i="1"/>
  <c r="FB33" i="1" s="1"/>
  <c r="AD21" i="14"/>
  <c r="U28" i="1"/>
  <c r="P17" i="2"/>
  <c r="V17" i="2" s="1"/>
  <c r="AG17" i="2" s="1"/>
  <c r="V28" i="1"/>
  <c r="EI28" i="1"/>
  <c r="V36" i="1"/>
  <c r="Q36" i="14" s="1"/>
  <c r="AD36" i="14" s="1"/>
  <c r="DI15" i="14"/>
  <c r="O35" i="1"/>
  <c r="V23" i="1"/>
  <c r="Q23" i="14" s="1"/>
  <c r="U31" i="1"/>
  <c r="O23" i="1"/>
  <c r="FC31" i="1"/>
  <c r="FB31" i="1" s="1"/>
  <c r="FC28" i="1"/>
  <c r="FB28" i="1" s="1"/>
  <c r="CA65" i="1"/>
  <c r="FC40" i="1"/>
  <c r="O31" i="1"/>
  <c r="FC36" i="1"/>
  <c r="FB36" i="1" s="1"/>
  <c r="Q19" i="14"/>
  <c r="EJ19" i="1"/>
  <c r="V40" i="1"/>
  <c r="V31" i="1"/>
  <c r="Q31" i="14" s="1"/>
  <c r="U24" i="1"/>
  <c r="FC20" i="1"/>
  <c r="P25" i="2"/>
  <c r="V25" i="2" s="1"/>
  <c r="AG25" i="2" s="1"/>
  <c r="P22" i="2"/>
  <c r="V22" i="2" s="1"/>
  <c r="AG22" i="2" s="1"/>
  <c r="V35" i="1"/>
  <c r="Q35" i="14" s="1"/>
  <c r="V20" i="1"/>
  <c r="Q20" i="14" s="1"/>
  <c r="U35" i="1"/>
  <c r="FC35" i="1"/>
  <c r="FB35" i="1" s="1"/>
  <c r="O28" i="1"/>
  <c r="BY64" i="1"/>
  <c r="DH42" i="1"/>
  <c r="FC24" i="1"/>
  <c r="CS24" i="15"/>
  <c r="CR24" i="15"/>
  <c r="FD27" i="14"/>
  <c r="BZ71" i="14"/>
  <c r="EJ27" i="14"/>
  <c r="O27" i="14"/>
  <c r="V27" i="14"/>
  <c r="EK27" i="14" s="1"/>
  <c r="O34" i="14"/>
  <c r="V34" i="14"/>
  <c r="FD34" i="14"/>
  <c r="DK28" i="15"/>
  <c r="DW28" i="15"/>
  <c r="DY28" i="15" s="1"/>
  <c r="CH28" i="15"/>
  <c r="AL28" i="15"/>
  <c r="BL28" i="15"/>
  <c r="BY28" i="15"/>
  <c r="BZ28" i="15" s="1"/>
  <c r="CN28" i="15"/>
  <c r="DL28" i="15"/>
  <c r="CR39" i="15"/>
  <c r="CS39" i="15"/>
  <c r="AA39" i="15"/>
  <c r="EG39" i="15"/>
  <c r="BW39" i="15"/>
  <c r="BX39" i="15" s="1"/>
  <c r="EO39" i="15"/>
  <c r="CS23" i="15"/>
  <c r="CR23" i="15"/>
  <c r="AT58" i="15"/>
  <c r="BY31" i="15"/>
  <c r="BZ31" i="15" s="1"/>
  <c r="DL31" i="15"/>
  <c r="AS58" i="15"/>
  <c r="AS60" i="15" s="1"/>
  <c r="AS61" i="15" s="1"/>
  <c r="CN31" i="15"/>
  <c r="DW31" i="15"/>
  <c r="DY31" i="15" s="1"/>
  <c r="AL31" i="15"/>
  <c r="CH31" i="15"/>
  <c r="BL31" i="15"/>
  <c r="DK31" i="15"/>
  <c r="BL14" i="15"/>
  <c r="BY14" i="15"/>
  <c r="BZ14" i="15" s="1"/>
  <c r="DW14" i="15"/>
  <c r="DY14" i="15" s="1"/>
  <c r="CH14" i="15"/>
  <c r="CR30" i="15"/>
  <c r="CS30" i="15"/>
  <c r="CR28" i="15"/>
  <c r="CS28" i="15"/>
  <c r="BZ70" i="14"/>
  <c r="O26" i="14"/>
  <c r="EJ26" i="14"/>
  <c r="FD26" i="14"/>
  <c r="V26" i="14"/>
  <c r="DI26" i="14" s="1"/>
  <c r="EK26" i="14"/>
  <c r="BY27" i="15"/>
  <c r="BZ27" i="15" s="1"/>
  <c r="CH27" i="15"/>
  <c r="BL27" i="15"/>
  <c r="AL27" i="15"/>
  <c r="CN27" i="15"/>
  <c r="DW27" i="15"/>
  <c r="DY27" i="15" s="1"/>
  <c r="DK27" i="15"/>
  <c r="DL27" i="15"/>
  <c r="R54" i="15"/>
  <c r="CS27" i="15"/>
  <c r="CR27" i="15"/>
  <c r="R50" i="15"/>
  <c r="BL33" i="15"/>
  <c r="AT62" i="15"/>
  <c r="DW33" i="15"/>
  <c r="DY33" i="15" s="1"/>
  <c r="BY33" i="15"/>
  <c r="BZ33" i="15" s="1"/>
  <c r="CN33" i="15"/>
  <c r="CH33" i="15"/>
  <c r="AL33" i="15"/>
  <c r="CS25" i="15"/>
  <c r="CR25" i="15"/>
  <c r="CR40" i="15"/>
  <c r="CS40" i="15"/>
  <c r="CR41" i="15"/>
  <c r="CS41" i="15"/>
  <c r="CS36" i="15"/>
  <c r="CR36" i="15"/>
  <c r="BY16" i="15"/>
  <c r="BZ16" i="15" s="1"/>
  <c r="CH16" i="15"/>
  <c r="BL16" i="15"/>
  <c r="DW16" i="15"/>
  <c r="DY16" i="15" s="1"/>
  <c r="BY32" i="15"/>
  <c r="BZ32" i="15" s="1"/>
  <c r="DL32" i="15"/>
  <c r="AL32" i="15"/>
  <c r="DW32" i="15"/>
  <c r="DY32" i="15" s="1"/>
  <c r="CH32" i="15"/>
  <c r="CN32" i="15"/>
  <c r="DK32" i="15"/>
  <c r="BL32" i="15"/>
  <c r="AS62" i="15"/>
  <c r="Q15" i="14"/>
  <c r="BZ59" i="1"/>
  <c r="CA59" i="1" s="1"/>
  <c r="DK15" i="1"/>
  <c r="DH15" i="1"/>
  <c r="EM15" i="1"/>
  <c r="AJ15" i="1"/>
  <c r="EJ15" i="1"/>
  <c r="CK15" i="1"/>
  <c r="DS15" i="1"/>
  <c r="DU15" i="1" s="1"/>
  <c r="CS38" i="15"/>
  <c r="CR38" i="15"/>
  <c r="CU38" i="15" s="1"/>
  <c r="CY38" i="15" s="1"/>
  <c r="U26" i="1"/>
  <c r="DH24" i="1"/>
  <c r="Q27" i="14"/>
  <c r="O40" i="1"/>
  <c r="BZ72" i="14"/>
  <c r="O28" i="14"/>
  <c r="EJ28" i="14"/>
  <c r="FD28" i="14"/>
  <c r="V28" i="14"/>
  <c r="DI28" i="14" s="1"/>
  <c r="EK28" i="14"/>
  <c r="DT15" i="14"/>
  <c r="DV15" i="14" s="1"/>
  <c r="CA59" i="14"/>
  <c r="CB59" i="14" s="1"/>
  <c r="EN15" i="14"/>
  <c r="CL15" i="14"/>
  <c r="CR26" i="15"/>
  <c r="CS26" i="15"/>
  <c r="EJ23" i="14"/>
  <c r="O23" i="14"/>
  <c r="FD23" i="14"/>
  <c r="BZ67" i="14"/>
  <c r="V23" i="14"/>
  <c r="EK23" i="14" s="1"/>
  <c r="BL35" i="15"/>
  <c r="CN35" i="15"/>
  <c r="CH35" i="15"/>
  <c r="AV62" i="15"/>
  <c r="AL35" i="15"/>
  <c r="DW35" i="15"/>
  <c r="DY35" i="15" s="1"/>
  <c r="BY35" i="15"/>
  <c r="BZ35" i="15" s="1"/>
  <c r="DH53" i="15"/>
  <c r="EI16" i="1"/>
  <c r="V16" i="1"/>
  <c r="EJ16" i="1" s="1"/>
  <c r="BY60" i="1"/>
  <c r="O16" i="1"/>
  <c r="P10" i="2"/>
  <c r="V10" i="2" s="1"/>
  <c r="AG10" i="2" s="1"/>
  <c r="BF10" i="2" s="1"/>
  <c r="FC16" i="1"/>
  <c r="CR46" i="14"/>
  <c r="CL46" i="14"/>
  <c r="O42" i="14"/>
  <c r="FD42" i="14"/>
  <c r="V42" i="14"/>
  <c r="DI42" i="14" s="1"/>
  <c r="BY26" i="15"/>
  <c r="BZ26" i="15" s="1"/>
  <c r="DW26" i="15"/>
  <c r="DY26" i="15" s="1"/>
  <c r="CN26" i="15"/>
  <c r="CH26" i="15"/>
  <c r="AL26" i="15"/>
  <c r="DL26" i="15"/>
  <c r="BL26" i="15"/>
  <c r="DK26" i="15"/>
  <c r="BZ73" i="14"/>
  <c r="O29" i="14"/>
  <c r="EJ29" i="14"/>
  <c r="FD29" i="14"/>
  <c r="V29" i="14"/>
  <c r="EK29" i="14" s="1"/>
  <c r="DI29" i="14"/>
  <c r="DH51" i="15"/>
  <c r="Q44" i="14"/>
  <c r="CK44" i="1"/>
  <c r="CQ44" i="1"/>
  <c r="EJ20" i="14"/>
  <c r="O20" i="14"/>
  <c r="FD20" i="14"/>
  <c r="BZ64" i="14"/>
  <c r="V20" i="14"/>
  <c r="DI20" i="14" s="1"/>
  <c r="CR35" i="15"/>
  <c r="CS35" i="15"/>
  <c r="Q40" i="14"/>
  <c r="AD40" i="14" s="1"/>
  <c r="EK22" i="14"/>
  <c r="DT22" i="14"/>
  <c r="DV22" i="14" s="1"/>
  <c r="CR22" i="14"/>
  <c r="CA66" i="14"/>
  <c r="CB66" i="14" s="1"/>
  <c r="EN22" i="14"/>
  <c r="CL22" i="14"/>
  <c r="CL21" i="14"/>
  <c r="EN21" i="14"/>
  <c r="CA65" i="14"/>
  <c r="DT21" i="14"/>
  <c r="DV21" i="14" s="1"/>
  <c r="CR21" i="14"/>
  <c r="AL25" i="15"/>
  <c r="CH25" i="15"/>
  <c r="DK25" i="15"/>
  <c r="BL25" i="15"/>
  <c r="DL25" i="15"/>
  <c r="DW25" i="15"/>
  <c r="DY25" i="15" s="1"/>
  <c r="BY25" i="15"/>
  <c r="BZ25" i="15" s="1"/>
  <c r="CN25" i="15"/>
  <c r="FC26" i="1"/>
  <c r="FB26" i="1" s="1"/>
  <c r="EJ33" i="1"/>
  <c r="O33" i="1"/>
  <c r="P18" i="1"/>
  <c r="V18" i="1" s="1"/>
  <c r="P18" i="14"/>
  <c r="T40" i="15"/>
  <c r="U40" i="15"/>
  <c r="Y40" i="15"/>
  <c r="EZ40" i="15"/>
  <c r="BZ60" i="14"/>
  <c r="FD16" i="14"/>
  <c r="EJ16" i="14"/>
  <c r="O16" i="14"/>
  <c r="V16" i="14"/>
  <c r="EK16" i="14" s="1"/>
  <c r="O35" i="14"/>
  <c r="V35" i="14"/>
  <c r="EK35" i="14" s="1"/>
  <c r="FD35" i="14"/>
  <c r="O24" i="14"/>
  <c r="FD24" i="14"/>
  <c r="BZ68" i="14"/>
  <c r="EJ24" i="14"/>
  <c r="V24" i="14"/>
  <c r="EK24" i="14"/>
  <c r="DI24" i="14"/>
  <c r="BZ76" i="15"/>
  <c r="CA76" i="15" s="1"/>
  <c r="V90" i="15"/>
  <c r="V53" i="15"/>
  <c r="BZ62" i="15"/>
  <c r="CA62" i="15" s="1"/>
  <c r="EM18" i="15"/>
  <c r="DS18" i="15"/>
  <c r="DU18" i="15" s="1"/>
  <c r="CK18" i="15"/>
  <c r="CK51" i="15" s="1"/>
  <c r="AJ18" i="15"/>
  <c r="DK18" i="15"/>
  <c r="CR34" i="15"/>
  <c r="CS34" i="15"/>
  <c r="BW43" i="15"/>
  <c r="BX43" i="15" s="1"/>
  <c r="AA43" i="15"/>
  <c r="AJ43" i="15" s="1"/>
  <c r="BW44" i="15"/>
  <c r="BX44" i="15" s="1"/>
  <c r="AA44" i="15"/>
  <c r="AJ44" i="15" s="1"/>
  <c r="O36" i="14"/>
  <c r="FD36" i="14"/>
  <c r="V36" i="14"/>
  <c r="DI36" i="14" s="1"/>
  <c r="Q28" i="14"/>
  <c r="AD28" i="14" s="1"/>
  <c r="EJ56" i="15"/>
  <c r="EK56" i="15" s="1"/>
  <c r="DW20" i="15"/>
  <c r="DY20" i="15" s="1"/>
  <c r="BY20" i="15"/>
  <c r="BZ20" i="15" s="1"/>
  <c r="CH20" i="15"/>
  <c r="BL20" i="15"/>
  <c r="CN37" i="15"/>
  <c r="AX62" i="15"/>
  <c r="BY37" i="15"/>
  <c r="BZ37" i="15" s="1"/>
  <c r="AL37" i="15"/>
  <c r="DW37" i="15"/>
  <c r="DY37" i="15" s="1"/>
  <c r="CH37" i="15"/>
  <c r="BL37" i="15"/>
  <c r="BY34" i="15"/>
  <c r="BZ34" i="15" s="1"/>
  <c r="BL34" i="15"/>
  <c r="CN34" i="15"/>
  <c r="DW34" i="15"/>
  <c r="DY34" i="15" s="1"/>
  <c r="AU62" i="15"/>
  <c r="AL34" i="15"/>
  <c r="CH34" i="15"/>
  <c r="CS29" i="15"/>
  <c r="CR29" i="15"/>
  <c r="P20" i="2"/>
  <c r="V20" i="2" s="1"/>
  <c r="AG20" i="2" s="1"/>
  <c r="U23" i="1"/>
  <c r="CA63" i="14"/>
  <c r="CB63" i="14" s="1"/>
  <c r="EN19" i="14"/>
  <c r="DT19" i="14"/>
  <c r="DV19" i="14" s="1"/>
  <c r="CL19" i="14"/>
  <c r="CS43" i="15"/>
  <c r="CR43" i="15"/>
  <c r="CS37" i="15"/>
  <c r="CR37" i="15"/>
  <c r="EJ31" i="14"/>
  <c r="O31" i="14"/>
  <c r="FD31" i="14"/>
  <c r="V31" i="14"/>
  <c r="DI31" i="14" s="1"/>
  <c r="DL30" i="15"/>
  <c r="DW30" i="15"/>
  <c r="DY30" i="15" s="1"/>
  <c r="CH30" i="15"/>
  <c r="AL30" i="15"/>
  <c r="CN30" i="15"/>
  <c r="BY30" i="15"/>
  <c r="BZ30" i="15" s="1"/>
  <c r="BL30" i="15"/>
  <c r="DK30" i="15"/>
  <c r="CS44" i="14"/>
  <c r="CV44" i="14" s="1"/>
  <c r="CT44" i="14"/>
  <c r="BZ58" i="14"/>
  <c r="EJ14" i="14"/>
  <c r="O14" i="14"/>
  <c r="FD14" i="14"/>
  <c r="V14" i="14"/>
  <c r="DW29" i="15"/>
  <c r="DY29" i="15" s="1"/>
  <c r="BY29" i="15"/>
  <c r="BZ29" i="15" s="1"/>
  <c r="CN29" i="15"/>
  <c r="CH29" i="15"/>
  <c r="AL29" i="15"/>
  <c r="BL29" i="15"/>
  <c r="DL29" i="15"/>
  <c r="DK29" i="15"/>
  <c r="BW41" i="15"/>
  <c r="BX41" i="15" s="1"/>
  <c r="EO41" i="15"/>
  <c r="AA41" i="15"/>
  <c r="AJ41" i="15" s="1"/>
  <c r="EG41" i="15"/>
  <c r="EI26" i="1"/>
  <c r="FC23" i="1"/>
  <c r="V26" i="1"/>
  <c r="Q26" i="14" s="1"/>
  <c r="AD26" i="14" s="1"/>
  <c r="P36" i="2"/>
  <c r="V36" i="2" s="1"/>
  <c r="CR42" i="15"/>
  <c r="CS42" i="15"/>
  <c r="CK46" i="15"/>
  <c r="CQ46" i="15"/>
  <c r="V54" i="15"/>
  <c r="P8" i="2"/>
  <c r="V8" i="2" s="1"/>
  <c r="AG8" i="2" s="1"/>
  <c r="O14" i="1"/>
  <c r="V14" i="1"/>
  <c r="EJ14" i="1" s="1"/>
  <c r="BY58" i="1"/>
  <c r="EI14" i="1"/>
  <c r="FC14" i="1"/>
  <c r="CT22" i="15"/>
  <c r="CO22" i="15"/>
  <c r="CP22" i="15" s="1"/>
  <c r="CS33" i="15"/>
  <c r="CR33" i="15"/>
  <c r="O40" i="14"/>
  <c r="FD40" i="14"/>
  <c r="V40" i="14"/>
  <c r="EK40" i="14" s="1"/>
  <c r="AY62" i="15"/>
  <c r="BY38" i="15"/>
  <c r="BZ38" i="15" s="1"/>
  <c r="CN38" i="15"/>
  <c r="BL38" i="15"/>
  <c r="AL38" i="15"/>
  <c r="DW38" i="15"/>
  <c r="DY38" i="15" s="1"/>
  <c r="CH38" i="15"/>
  <c r="CS32" i="15"/>
  <c r="CR32" i="15"/>
  <c r="V33" i="14"/>
  <c r="DI33" i="14" s="1"/>
  <c r="O33" i="14"/>
  <c r="FD33" i="14"/>
  <c r="T42" i="15"/>
  <c r="U42" i="15" s="1"/>
  <c r="Y42" i="15"/>
  <c r="EZ42" i="15"/>
  <c r="CN36" i="15"/>
  <c r="BY36" i="15"/>
  <c r="BZ36" i="15" s="1"/>
  <c r="BL36" i="15"/>
  <c r="CH36" i="15"/>
  <c r="DW36" i="15"/>
  <c r="DY36" i="15" s="1"/>
  <c r="AL36" i="15"/>
  <c r="AW62" i="15"/>
  <c r="O26" i="1"/>
  <c r="CL61" i="5"/>
  <c r="CL62" i="5" s="1"/>
  <c r="EJ23" i="1"/>
  <c r="U34" i="1"/>
  <c r="EI23" i="1"/>
  <c r="BY24" i="15"/>
  <c r="BZ24" i="15" s="1"/>
  <c r="CH24" i="15"/>
  <c r="DW24" i="15"/>
  <c r="DY24" i="15" s="1"/>
  <c r="DL24" i="15"/>
  <c r="BL24" i="15"/>
  <c r="DK24" i="15"/>
  <c r="CN24" i="15"/>
  <c r="DW23" i="15"/>
  <c r="DY23" i="15" s="1"/>
  <c r="CH23" i="15"/>
  <c r="DK23" i="15"/>
  <c r="CN23" i="15"/>
  <c r="BL23" i="15"/>
  <c r="DL23" i="15"/>
  <c r="DL50" i="15" s="1"/>
  <c r="BY23" i="15"/>
  <c r="BZ23" i="15" s="1"/>
  <c r="CS31" i="15"/>
  <c r="CR31" i="15"/>
  <c r="T46" i="15"/>
  <c r="U46" i="15" s="1"/>
  <c r="Y46" i="15"/>
  <c r="CT21" i="15"/>
  <c r="CO21" i="15" s="1"/>
  <c r="CP21" i="15" s="1"/>
  <c r="DH46" i="1"/>
  <c r="AC46" i="14"/>
  <c r="AD46" i="14"/>
  <c r="R31" i="14"/>
  <c r="AD31" i="14"/>
  <c r="AC31" i="14"/>
  <c r="R36" i="14"/>
  <c r="AC22" i="13"/>
  <c r="AE22" i="14"/>
  <c r="AB15" i="17" s="1"/>
  <c r="BT22" i="14"/>
  <c r="Z21" i="14"/>
  <c r="S21" i="13"/>
  <c r="R26" i="14"/>
  <c r="EJ35" i="1"/>
  <c r="AD20" i="14"/>
  <c r="AC20" i="14"/>
  <c r="AD21" i="13"/>
  <c r="BW21" i="14"/>
  <c r="R21" i="13"/>
  <c r="FA21" i="14"/>
  <c r="Y21" i="14"/>
  <c r="T21" i="14"/>
  <c r="U21" i="14" s="1"/>
  <c r="AC34" i="14"/>
  <c r="AD34" i="14"/>
  <c r="R34" i="14"/>
  <c r="BT21" i="14"/>
  <c r="AC21" i="13"/>
  <c r="AE21" i="14"/>
  <c r="AC27" i="14"/>
  <c r="AD27" i="14"/>
  <c r="R27" i="14"/>
  <c r="AC23" i="14"/>
  <c r="R23" i="14"/>
  <c r="AD23" i="14"/>
  <c r="EJ34" i="1"/>
  <c r="S22" i="13"/>
  <c r="Z22" i="14"/>
  <c r="R22" i="13"/>
  <c r="T22" i="14"/>
  <c r="U22" i="14" s="1"/>
  <c r="FA22" i="14"/>
  <c r="Y22" i="14"/>
  <c r="AD35" i="14"/>
  <c r="R35" i="14"/>
  <c r="AD24" i="14"/>
  <c r="AC24" i="14"/>
  <c r="R24" i="14"/>
  <c r="AC42" i="14"/>
  <c r="AD42" i="14"/>
  <c r="DH28" i="1"/>
  <c r="AC33" i="14"/>
  <c r="AD33" i="14"/>
  <c r="R33" i="14"/>
  <c r="DH36" i="1"/>
  <c r="BW22" i="14"/>
  <c r="AD22" i="13"/>
  <c r="AL11" i="5"/>
  <c r="AL12" i="5"/>
  <c r="AL10" i="5"/>
  <c r="AL13" i="5"/>
  <c r="AL52" i="5"/>
  <c r="AL24" i="5"/>
  <c r="AL32" i="5"/>
  <c r="AL37" i="5"/>
  <c r="AL44" i="5"/>
  <c r="AL50" i="5"/>
  <c r="AL45" i="5"/>
  <c r="AL48" i="5"/>
  <c r="AL39" i="5"/>
  <c r="AL46" i="5"/>
  <c r="CX44" i="5"/>
  <c r="DB44" i="5" s="1"/>
  <c r="DG60" i="5"/>
  <c r="DG62" i="5"/>
  <c r="DG61" i="5"/>
  <c r="DH37" i="5"/>
  <c r="CS21" i="1"/>
  <c r="CR21" i="1"/>
  <c r="CX36" i="5"/>
  <c r="CZ36" i="5" s="1"/>
  <c r="DA36" i="5" s="1"/>
  <c r="CV36" i="5"/>
  <c r="BF17" i="2"/>
  <c r="CX42" i="5"/>
  <c r="CZ42" i="5" s="1"/>
  <c r="DA42" i="5" s="1"/>
  <c r="CV42" i="5"/>
  <c r="CV49" i="5"/>
  <c r="CX49" i="5"/>
  <c r="CZ49" i="5" s="1"/>
  <c r="DA49" i="5" s="1"/>
  <c r="BY22" i="1"/>
  <c r="BZ22" i="1" s="1"/>
  <c r="CN22" i="1"/>
  <c r="BL22" i="1"/>
  <c r="CH22" i="1"/>
  <c r="DW22" i="1"/>
  <c r="DY22" i="1" s="1"/>
  <c r="DL22" i="1"/>
  <c r="DK22" i="1"/>
  <c r="AJ35" i="1"/>
  <c r="CQ35" i="1"/>
  <c r="CV50" i="5"/>
  <c r="CX50" i="5"/>
  <c r="CZ50" i="5" s="1"/>
  <c r="DA50" i="5" s="1"/>
  <c r="CV53" i="5"/>
  <c r="CX53" i="5"/>
  <c r="CZ53" i="5" s="1"/>
  <c r="DA53" i="5" s="1"/>
  <c r="CX34" i="5"/>
  <c r="CZ34" i="5" s="1"/>
  <c r="DA34" i="5" s="1"/>
  <c r="CV34" i="5"/>
  <c r="CX38" i="5"/>
  <c r="CZ38" i="5" s="1"/>
  <c r="DA38" i="5" s="1"/>
  <c r="CV38" i="5"/>
  <c r="BF30" i="2"/>
  <c r="AI30" i="2"/>
  <c r="DS42" i="1"/>
  <c r="DU42" i="1" s="1"/>
  <c r="CQ42" i="1"/>
  <c r="EM42" i="1"/>
  <c r="CK42" i="1"/>
  <c r="AI29" i="2"/>
  <c r="BF29" i="2"/>
  <c r="CV46" i="5"/>
  <c r="CX46" i="5"/>
  <c r="CZ46" i="5" s="1"/>
  <c r="DA46" i="5" s="1"/>
  <c r="DH35" i="1"/>
  <c r="CK27" i="1"/>
  <c r="CQ27" i="1"/>
  <c r="BZ71" i="1"/>
  <c r="CA71" i="1" s="1"/>
  <c r="DS27" i="1"/>
  <c r="DU27" i="1" s="1"/>
  <c r="AJ27" i="1"/>
  <c r="EM27" i="1"/>
  <c r="AJ29" i="1"/>
  <c r="CK29" i="1"/>
  <c r="BZ73" i="1"/>
  <c r="CA73" i="1" s="1"/>
  <c r="EM29" i="1"/>
  <c r="CQ29" i="1"/>
  <c r="DS29" i="1"/>
  <c r="DU29" i="1" s="1"/>
  <c r="CX30" i="5"/>
  <c r="CZ30" i="5" s="1"/>
  <c r="DA30" i="5" s="1"/>
  <c r="CV30" i="5"/>
  <c r="CQ34" i="1"/>
  <c r="DS34" i="1"/>
  <c r="DU34" i="1" s="1"/>
  <c r="CK34" i="1"/>
  <c r="AJ34" i="1"/>
  <c r="EM34" i="1"/>
  <c r="CX33" i="5"/>
  <c r="CZ33" i="5" s="1"/>
  <c r="DA33" i="5" s="1"/>
  <c r="CV33" i="5"/>
  <c r="AI20" i="2"/>
  <c r="BF20" i="2"/>
  <c r="EJ42" i="1"/>
  <c r="CR22" i="1"/>
  <c r="CS22" i="1"/>
  <c r="EJ27" i="1"/>
  <c r="DH29" i="1"/>
  <c r="EM28" i="1"/>
  <c r="BZ72" i="1"/>
  <c r="CA72" i="1" s="1"/>
  <c r="AJ28" i="1"/>
  <c r="DS28" i="1"/>
  <c r="DU28" i="1" s="1"/>
  <c r="CQ28" i="1"/>
  <c r="CK28" i="1"/>
  <c r="CV47" i="5"/>
  <c r="CX47" i="5"/>
  <c r="CZ47" i="5" s="1"/>
  <c r="DA47" i="5" s="1"/>
  <c r="DH34" i="1"/>
  <c r="CV48" i="5"/>
  <c r="CX48" i="5"/>
  <c r="CZ48" i="5" s="1"/>
  <c r="DA48" i="5" s="1"/>
  <c r="AG15" i="2"/>
  <c r="AI21" i="2"/>
  <c r="BF21" i="2"/>
  <c r="BF23" i="2"/>
  <c r="AI23" i="2"/>
  <c r="CK33" i="1"/>
  <c r="AJ33" i="1"/>
  <c r="DS33" i="1"/>
  <c r="DU33" i="1" s="1"/>
  <c r="CQ33" i="1"/>
  <c r="EM33" i="1"/>
  <c r="BF28" i="2"/>
  <c r="AI28" i="2"/>
  <c r="DG58" i="5"/>
  <c r="CQ26" i="1"/>
  <c r="EM26" i="1"/>
  <c r="AJ26" i="1"/>
  <c r="EJ28" i="1"/>
  <c r="DH33" i="1"/>
  <c r="BF9" i="2"/>
  <c r="BF22" i="2"/>
  <c r="AI22" i="2"/>
  <c r="BF27" i="2"/>
  <c r="AI27" i="2"/>
  <c r="CX41" i="5"/>
  <c r="CZ41" i="5" s="1"/>
  <c r="DA41" i="5" s="1"/>
  <c r="CV41" i="5"/>
  <c r="P12" i="2"/>
  <c r="BY62" i="1"/>
  <c r="DH27" i="1"/>
  <c r="EJ29" i="1"/>
  <c r="CX43" i="5"/>
  <c r="CZ43" i="5" s="1"/>
  <c r="DA43" i="5" s="1"/>
  <c r="CV43" i="5"/>
  <c r="CX31" i="5"/>
  <c r="CZ31" i="5" s="1"/>
  <c r="DA31" i="5" s="1"/>
  <c r="CV31" i="5"/>
  <c r="EM24" i="1"/>
  <c r="AJ24" i="1"/>
  <c r="BZ68" i="1"/>
  <c r="DS24" i="1"/>
  <c r="DU24" i="1" s="1"/>
  <c r="CQ24" i="1"/>
  <c r="CK24" i="1"/>
  <c r="BN25" i="5"/>
  <c r="BN58" i="5" s="1"/>
  <c r="BM58" i="5"/>
  <c r="DS40" i="1"/>
  <c r="DU40" i="1" s="1"/>
  <c r="CK40" i="1"/>
  <c r="EM40" i="1"/>
  <c r="CQ40" i="1"/>
  <c r="CP58" i="5"/>
  <c r="CP56" i="5"/>
  <c r="CU39" i="5" s="1"/>
  <c r="CP59" i="5"/>
  <c r="CX35" i="5"/>
  <c r="CZ35" i="5" s="1"/>
  <c r="DA35" i="5" s="1"/>
  <c r="CV35" i="5"/>
  <c r="EJ24" i="1"/>
  <c r="DS31" i="1"/>
  <c r="DU31" i="1" s="1"/>
  <c r="CK31" i="1"/>
  <c r="AJ31" i="1"/>
  <c r="CQ31" i="1"/>
  <c r="EM31" i="1"/>
  <c r="CX45" i="5"/>
  <c r="DB45" i="5" s="1"/>
  <c r="EJ40" i="1"/>
  <c r="CX40" i="5"/>
  <c r="CZ40" i="5" s="1"/>
  <c r="DA40" i="5" s="1"/>
  <c r="CV40" i="5"/>
  <c r="AI25" i="2"/>
  <c r="BF25" i="2"/>
  <c r="CX37" i="5"/>
  <c r="CZ37" i="5" s="1"/>
  <c r="DA37" i="5" s="1"/>
  <c r="CV37" i="5"/>
  <c r="CN21" i="1"/>
  <c r="DW21" i="1"/>
  <c r="DY21" i="1" s="1"/>
  <c r="CH21" i="1"/>
  <c r="BY21" i="1"/>
  <c r="BZ21" i="1" s="1"/>
  <c r="BL21" i="1"/>
  <c r="DL21" i="1"/>
  <c r="DK21" i="1"/>
  <c r="CH19" i="1"/>
  <c r="BY19" i="1"/>
  <c r="BZ19" i="1" s="1"/>
  <c r="DW19" i="1"/>
  <c r="DY19" i="1" s="1"/>
  <c r="BL19" i="1"/>
  <c r="CS59" i="5"/>
  <c r="CS58" i="5"/>
  <c r="CS56" i="5"/>
  <c r="CX32" i="5"/>
  <c r="CV32" i="5"/>
  <c r="BF14" i="2"/>
  <c r="DS36" i="1"/>
  <c r="DU36" i="1" s="1"/>
  <c r="BF18" i="2"/>
  <c r="EJ31" i="1"/>
  <c r="EJ53" i="1" s="1"/>
  <c r="EI57" i="1" s="1"/>
  <c r="CX39" i="5"/>
  <c r="DB39" i="5" s="1"/>
  <c r="DB29" i="5"/>
  <c r="CK46" i="1"/>
  <c r="CQ46" i="1"/>
  <c r="DH40" i="1"/>
  <c r="DH31" i="1"/>
  <c r="CK23" i="1"/>
  <c r="DS23" i="1"/>
  <c r="DU23" i="1" s="1"/>
  <c r="BZ67" i="1"/>
  <c r="CA67" i="1" s="1"/>
  <c r="CL63" i="5" l="1"/>
  <c r="DK51" i="15"/>
  <c r="AD29" i="14"/>
  <c r="T53" i="15"/>
  <c r="DI23" i="14"/>
  <c r="AC29" i="14"/>
  <c r="EJ26" i="1"/>
  <c r="Y11" i="17"/>
  <c r="AI11" i="17" s="1"/>
  <c r="DS26" i="1"/>
  <c r="DU26" i="1" s="1"/>
  <c r="CK54" i="15"/>
  <c r="EK36" i="14"/>
  <c r="DL51" i="15"/>
  <c r="EK20" i="14"/>
  <c r="CK26" i="1"/>
  <c r="ED21" i="14"/>
  <c r="AB14" i="17"/>
  <c r="AS63" i="15"/>
  <c r="AS64" i="15" s="1"/>
  <c r="DK20" i="1"/>
  <c r="AC35" i="14"/>
  <c r="EM20" i="1"/>
  <c r="EM35" i="1"/>
  <c r="CK35" i="1"/>
  <c r="EJ36" i="1"/>
  <c r="EM36" i="1"/>
  <c r="DS20" i="1"/>
  <c r="DU20" i="1" s="1"/>
  <c r="S40" i="13"/>
  <c r="DH23" i="1"/>
  <c r="CK20" i="1"/>
  <c r="EM23" i="1"/>
  <c r="AJ36" i="1"/>
  <c r="CN36" i="1" s="1"/>
  <c r="AC40" i="14"/>
  <c r="AC40" i="13" s="1"/>
  <c r="Z28" i="14"/>
  <c r="CQ23" i="1"/>
  <c r="CQ36" i="1"/>
  <c r="AC36" i="14"/>
  <c r="EK33" i="14"/>
  <c r="EK31" i="14"/>
  <c r="EK53" i="14" s="1"/>
  <c r="EJ57" i="14" s="1"/>
  <c r="EK57" i="14" s="1"/>
  <c r="EL57" i="14" s="1"/>
  <c r="AJ20" i="1"/>
  <c r="CH20" i="1" s="1"/>
  <c r="DS35" i="1"/>
  <c r="DU35" i="1" s="1"/>
  <c r="BZ64" i="1"/>
  <c r="CA64" i="1" s="1"/>
  <c r="AJ23" i="1"/>
  <c r="DW23" i="1" s="1"/>
  <c r="DY23" i="1" s="1"/>
  <c r="CK36" i="1"/>
  <c r="DH20" i="1"/>
  <c r="EJ20" i="1"/>
  <c r="DI35" i="14"/>
  <c r="AC19" i="14"/>
  <c r="AD19" i="14"/>
  <c r="DP13" i="15"/>
  <c r="DQ13" i="15" s="1"/>
  <c r="DP19" i="15"/>
  <c r="DQ19" i="15" s="1"/>
  <c r="DP17" i="15"/>
  <c r="DQ17" i="15" s="1"/>
  <c r="DP15" i="15"/>
  <c r="DQ15" i="15" s="1"/>
  <c r="DP20" i="15"/>
  <c r="DQ20" i="15" s="1"/>
  <c r="DP16" i="15"/>
  <c r="DQ16" i="15" s="1"/>
  <c r="DP14" i="15"/>
  <c r="DQ14" i="15" s="1"/>
  <c r="CU32" i="15"/>
  <c r="CY32" i="15" s="1"/>
  <c r="BD62" i="15"/>
  <c r="CH43" i="15"/>
  <c r="BY43" i="15"/>
  <c r="BZ43" i="15" s="1"/>
  <c r="CN43" i="15"/>
  <c r="BL43" i="15"/>
  <c r="T50" i="15"/>
  <c r="EK42" i="14"/>
  <c r="AZ35" i="15"/>
  <c r="AY35" i="15"/>
  <c r="CI35" i="15"/>
  <c r="BD35" i="15"/>
  <c r="BA35" i="15"/>
  <c r="BC35" i="15"/>
  <c r="AR35" i="15"/>
  <c r="BM35" i="15"/>
  <c r="BB35" i="15"/>
  <c r="AX35" i="15"/>
  <c r="CT32" i="15"/>
  <c r="EW39" i="15"/>
  <c r="CB39" i="15"/>
  <c r="CA39" i="15"/>
  <c r="CU21" i="15"/>
  <c r="CY21" i="15" s="1"/>
  <c r="DA21" i="15" s="1"/>
  <c r="DB22" i="15"/>
  <c r="DK50" i="15"/>
  <c r="CA43" i="15"/>
  <c r="CB43" i="15"/>
  <c r="EG40" i="15"/>
  <c r="BW40" i="15"/>
  <c r="BX40" i="15" s="1"/>
  <c r="EO40" i="15"/>
  <c r="AA40" i="15"/>
  <c r="AJ40" i="15" s="1"/>
  <c r="BC25" i="15"/>
  <c r="BM25" i="15"/>
  <c r="BA25" i="15"/>
  <c r="BB25" i="15"/>
  <c r="CI25" i="15"/>
  <c r="AR25" i="15"/>
  <c r="AY25" i="15"/>
  <c r="AZ25" i="15"/>
  <c r="AX25" i="15"/>
  <c r="BD25" i="15"/>
  <c r="T51" i="15"/>
  <c r="CR34" i="14"/>
  <c r="EN34" i="14"/>
  <c r="CL34" i="14"/>
  <c r="DT34" i="14"/>
  <c r="DV34" i="14" s="1"/>
  <c r="DT14" i="14"/>
  <c r="DV14" i="14" s="1"/>
  <c r="CA58" i="14"/>
  <c r="CB58" i="14" s="1"/>
  <c r="EN14" i="14"/>
  <c r="CL14" i="14"/>
  <c r="T54" i="15"/>
  <c r="CR42" i="14"/>
  <c r="CL42" i="14"/>
  <c r="EN42" i="14"/>
  <c r="DT42" i="14"/>
  <c r="DV42" i="14" s="1"/>
  <c r="AY31" i="15"/>
  <c r="BC31" i="15"/>
  <c r="AX31" i="15"/>
  <c r="CI31" i="15"/>
  <c r="BA31" i="15"/>
  <c r="AT66" i="15"/>
  <c r="BD31" i="15"/>
  <c r="BB31" i="15"/>
  <c r="AR31" i="15"/>
  <c r="BM31" i="15"/>
  <c r="AZ31" i="15"/>
  <c r="AJ39" i="15"/>
  <c r="AJ51" i="15" s="1"/>
  <c r="AJ87" i="15" s="1"/>
  <c r="AJ88" i="15" s="1"/>
  <c r="DH18" i="1"/>
  <c r="P32" i="14"/>
  <c r="Y25" i="17" s="1"/>
  <c r="AI25" i="17" s="1"/>
  <c r="P32" i="1"/>
  <c r="P41" i="1"/>
  <c r="P41" i="14"/>
  <c r="Y34" i="17" s="1"/>
  <c r="AI34" i="17" s="1"/>
  <c r="CT24" i="15"/>
  <c r="CO24" i="15"/>
  <c r="CP24" i="15" s="1"/>
  <c r="BM30" i="15"/>
  <c r="BB30" i="15"/>
  <c r="AR30" i="15"/>
  <c r="BA30" i="15"/>
  <c r="AX30" i="15"/>
  <c r="CI30" i="15"/>
  <c r="AZ30" i="15"/>
  <c r="BD30" i="15"/>
  <c r="BC30" i="15"/>
  <c r="AY30" i="15"/>
  <c r="CT21" i="14"/>
  <c r="CS21" i="14"/>
  <c r="DT29" i="14"/>
  <c r="DV29" i="14" s="1"/>
  <c r="CL29" i="14"/>
  <c r="CA73" i="14"/>
  <c r="CB73" i="14" s="1"/>
  <c r="EN29" i="14"/>
  <c r="CR29" i="14"/>
  <c r="CT35" i="15"/>
  <c r="CO35" i="15"/>
  <c r="CP35" i="15" s="1"/>
  <c r="BC32" i="15"/>
  <c r="BB32" i="15"/>
  <c r="AS66" i="15"/>
  <c r="BD32" i="15"/>
  <c r="BA32" i="15"/>
  <c r="AZ32" i="15"/>
  <c r="CI32" i="15"/>
  <c r="AR32" i="15"/>
  <c r="AX32" i="15"/>
  <c r="BM32" i="15"/>
  <c r="AY32" i="15"/>
  <c r="DI27" i="14"/>
  <c r="P39" i="14"/>
  <c r="Y32" i="17" s="1"/>
  <c r="AI32" i="17" s="1"/>
  <c r="P39" i="1"/>
  <c r="BB36" i="15"/>
  <c r="AR36" i="15"/>
  <c r="BA36" i="15"/>
  <c r="BC36" i="15"/>
  <c r="AY36" i="15"/>
  <c r="AX36" i="15"/>
  <c r="CI36" i="15"/>
  <c r="AZ36" i="15"/>
  <c r="BD36" i="15"/>
  <c r="BM36" i="15"/>
  <c r="CT30" i="15"/>
  <c r="CU30" i="15" s="1"/>
  <c r="CY30" i="15" s="1"/>
  <c r="FC18" i="1"/>
  <c r="O18" i="1"/>
  <c r="P38" i="14"/>
  <c r="Y31" i="17" s="1"/>
  <c r="AI31" i="17" s="1"/>
  <c r="P38" i="1"/>
  <c r="BW46" i="15"/>
  <c r="BX46" i="15" s="1"/>
  <c r="AA46" i="15"/>
  <c r="AJ46" i="15" s="1"/>
  <c r="BB38" i="15"/>
  <c r="BA38" i="15"/>
  <c r="AZ38" i="15"/>
  <c r="BD38" i="15"/>
  <c r="BC38" i="15"/>
  <c r="CI38" i="15"/>
  <c r="AR38" i="15"/>
  <c r="BM38" i="15"/>
  <c r="AX38" i="15"/>
  <c r="AY38" i="15"/>
  <c r="BM37" i="15"/>
  <c r="AX37" i="15"/>
  <c r="AZ37" i="15"/>
  <c r="CI37" i="15"/>
  <c r="BB37" i="15"/>
  <c r="AR37" i="15"/>
  <c r="BA37" i="15"/>
  <c r="AY37" i="15"/>
  <c r="BD37" i="15"/>
  <c r="BC37" i="15"/>
  <c r="DP18" i="15"/>
  <c r="DQ18" i="15" s="1"/>
  <c r="EJ18" i="14"/>
  <c r="BZ62" i="14"/>
  <c r="FD18" i="14"/>
  <c r="O18" i="14"/>
  <c r="V18" i="14"/>
  <c r="DI18" i="14"/>
  <c r="EK18" i="14"/>
  <c r="CU35" i="15"/>
  <c r="CY35" i="15" s="1"/>
  <c r="DB35" i="15" s="1"/>
  <c r="CT27" i="15"/>
  <c r="CO27" i="15" s="1"/>
  <c r="CP27" i="15" s="1"/>
  <c r="CT31" i="15"/>
  <c r="EI18" i="1"/>
  <c r="P37" i="1"/>
  <c r="P37" i="14"/>
  <c r="Y30" i="17" s="1"/>
  <c r="AI30" i="17" s="1"/>
  <c r="CT38" i="15"/>
  <c r="CO38" i="15" s="1"/>
  <c r="CP38" i="15" s="1"/>
  <c r="Q14" i="14"/>
  <c r="BZ58" i="1"/>
  <c r="CA58" i="1" s="1"/>
  <c r="CK14" i="1"/>
  <c r="DS14" i="1"/>
  <c r="DU14" i="1" s="1"/>
  <c r="EM14" i="1"/>
  <c r="AJ14" i="1"/>
  <c r="DK14" i="1"/>
  <c r="DH14" i="1"/>
  <c r="BY41" i="15"/>
  <c r="BZ41" i="15" s="1"/>
  <c r="BL41" i="15"/>
  <c r="BB62" i="15"/>
  <c r="CH41" i="15"/>
  <c r="DW41" i="15"/>
  <c r="DY41" i="15" s="1"/>
  <c r="CN41" i="15"/>
  <c r="DI14" i="14"/>
  <c r="CT46" i="14"/>
  <c r="CS46" i="14"/>
  <c r="CH15" i="1"/>
  <c r="BY15" i="1"/>
  <c r="BZ15" i="1" s="1"/>
  <c r="DW15" i="1"/>
  <c r="DY15" i="1" s="1"/>
  <c r="BL15" i="1"/>
  <c r="P25" i="1"/>
  <c r="P25" i="14"/>
  <c r="P43" i="14"/>
  <c r="Y36" i="17" s="1"/>
  <c r="AI36" i="17" s="1"/>
  <c r="P43" i="1"/>
  <c r="BY18" i="15"/>
  <c r="BZ18" i="15" s="1"/>
  <c r="CH18" i="15"/>
  <c r="BL18" i="15"/>
  <c r="DW18" i="15"/>
  <c r="DY18" i="15" s="1"/>
  <c r="AJ78" i="15"/>
  <c r="AK78" i="15" s="1"/>
  <c r="CB65" i="14"/>
  <c r="AX33" i="15"/>
  <c r="CI33" i="15"/>
  <c r="BC33" i="15"/>
  <c r="AZ33" i="15"/>
  <c r="BM33" i="15"/>
  <c r="BA33" i="15"/>
  <c r="BD33" i="15"/>
  <c r="BB33" i="15"/>
  <c r="AY33" i="15"/>
  <c r="AR33" i="15"/>
  <c r="AZ27" i="15"/>
  <c r="BD27" i="15"/>
  <c r="AR27" i="15"/>
  <c r="AX27" i="15"/>
  <c r="AY27" i="15"/>
  <c r="BA27" i="15"/>
  <c r="BC27" i="15"/>
  <c r="CI27" i="15"/>
  <c r="BB27" i="15"/>
  <c r="BM27" i="15"/>
  <c r="CA71" i="14"/>
  <c r="CB71" i="14" s="1"/>
  <c r="DT27" i="14"/>
  <c r="DV27" i="14" s="1"/>
  <c r="CL27" i="14"/>
  <c r="CR27" i="14"/>
  <c r="EN27" i="14"/>
  <c r="P30" i="1"/>
  <c r="P30" i="14"/>
  <c r="Y23" i="17" s="1"/>
  <c r="AI23" i="17" s="1"/>
  <c r="CT36" i="15"/>
  <c r="EK14" i="14"/>
  <c r="CT37" i="15"/>
  <c r="CO37" i="15" s="1"/>
  <c r="CP37" i="15" s="1"/>
  <c r="CR35" i="14"/>
  <c r="DT35" i="14"/>
  <c r="DV35" i="14" s="1"/>
  <c r="EN35" i="14"/>
  <c r="CL35" i="14"/>
  <c r="DH26" i="1"/>
  <c r="CL20" i="14"/>
  <c r="CA64" i="14"/>
  <c r="CB64" i="14" s="1"/>
  <c r="EN20" i="14"/>
  <c r="DT20" i="14"/>
  <c r="DV20" i="14" s="1"/>
  <c r="CA72" i="14"/>
  <c r="CB72" i="14" s="1"/>
  <c r="CL28" i="14"/>
  <c r="CR28" i="14"/>
  <c r="DT28" i="14"/>
  <c r="DV28" i="14" s="1"/>
  <c r="EN28" i="14"/>
  <c r="CT33" i="15"/>
  <c r="CU33" i="15" s="1"/>
  <c r="CY33" i="15" s="1"/>
  <c r="AJ49" i="15"/>
  <c r="CT28" i="15"/>
  <c r="CO28" i="15"/>
  <c r="CP28" i="15" s="1"/>
  <c r="AJ84" i="15"/>
  <c r="AT60" i="15"/>
  <c r="AT61" i="15" s="1"/>
  <c r="AT63" i="15" s="1"/>
  <c r="AT64" i="15" s="1"/>
  <c r="AU58" i="15"/>
  <c r="P17" i="1"/>
  <c r="P17" i="14"/>
  <c r="BW42" i="15"/>
  <c r="BX42" i="15" s="1"/>
  <c r="EO42" i="15"/>
  <c r="AA42" i="15"/>
  <c r="AJ42" i="15" s="1"/>
  <c r="EG42" i="15"/>
  <c r="DI40" i="14"/>
  <c r="CL31" i="14"/>
  <c r="EN31" i="14"/>
  <c r="CR31" i="14"/>
  <c r="DT31" i="14"/>
  <c r="DV31" i="14" s="1"/>
  <c r="DI16" i="14"/>
  <c r="CA67" i="14"/>
  <c r="CB67" i="14" s="1"/>
  <c r="DT23" i="14"/>
  <c r="DV23" i="14" s="1"/>
  <c r="CL23" i="14"/>
  <c r="EN23" i="14"/>
  <c r="CR23" i="14"/>
  <c r="P45" i="1"/>
  <c r="P45" i="14"/>
  <c r="CS46" i="15"/>
  <c r="CR46" i="15"/>
  <c r="DT36" i="14"/>
  <c r="DV36" i="14" s="1"/>
  <c r="EN36" i="14"/>
  <c r="CR36" i="14"/>
  <c r="CL36" i="14"/>
  <c r="CT25" i="15"/>
  <c r="CU25" i="15" s="1"/>
  <c r="CY25" i="15" s="1"/>
  <c r="AZ28" i="15"/>
  <c r="AY28" i="15"/>
  <c r="AR28" i="15"/>
  <c r="BC28" i="15"/>
  <c r="BB28" i="15"/>
  <c r="BM28" i="15"/>
  <c r="BA28" i="15"/>
  <c r="AX28" i="15"/>
  <c r="CI28" i="15"/>
  <c r="BD28" i="15"/>
  <c r="CU24" i="15"/>
  <c r="CY24" i="15" s="1"/>
  <c r="AC15" i="14"/>
  <c r="AD15" i="14"/>
  <c r="CA70" i="14"/>
  <c r="CB70" i="14" s="1"/>
  <c r="EN26" i="14"/>
  <c r="CR26" i="14"/>
  <c r="DT26" i="14"/>
  <c r="DV26" i="14" s="1"/>
  <c r="CL26" i="14"/>
  <c r="Y51" i="15"/>
  <c r="Y54" i="15"/>
  <c r="CK50" i="15"/>
  <c r="CA60" i="14"/>
  <c r="CB60" i="14" s="1"/>
  <c r="EN16" i="14"/>
  <c r="CL16" i="14"/>
  <c r="DT16" i="14"/>
  <c r="DV16" i="14" s="1"/>
  <c r="Q16" i="14"/>
  <c r="CK16" i="1"/>
  <c r="AJ16" i="1"/>
  <c r="DK16" i="1"/>
  <c r="BZ60" i="1"/>
  <c r="CA60" i="1" s="1"/>
  <c r="EM16" i="1"/>
  <c r="DH16" i="1"/>
  <c r="DS16" i="1"/>
  <c r="DU16" i="1" s="1"/>
  <c r="BC29" i="15"/>
  <c r="BA29" i="15"/>
  <c r="BB29" i="15"/>
  <c r="AR29" i="15"/>
  <c r="AZ29" i="15"/>
  <c r="CI29" i="15"/>
  <c r="AX29" i="15"/>
  <c r="BD29" i="15"/>
  <c r="BM29" i="15"/>
  <c r="AY29" i="15"/>
  <c r="AC28" i="14"/>
  <c r="BT28" i="14" s="1"/>
  <c r="AC26" i="14"/>
  <c r="AE26" i="14" s="1"/>
  <c r="CT23" i="15"/>
  <c r="CU23" i="15" s="1"/>
  <c r="CY23" i="15" s="1"/>
  <c r="DA23" i="15" s="1"/>
  <c r="CK53" i="15"/>
  <c r="CS44" i="1"/>
  <c r="CR44" i="1"/>
  <c r="CT26" i="15"/>
  <c r="DA26" i="15" s="1"/>
  <c r="CO26" i="15"/>
  <c r="CP26" i="15" s="1"/>
  <c r="CU36" i="15"/>
  <c r="CY36" i="15" s="1"/>
  <c r="DB36" i="15" s="1"/>
  <c r="CU27" i="15"/>
  <c r="CY27" i="15" s="1"/>
  <c r="Y50" i="15"/>
  <c r="Y53" i="15"/>
  <c r="EK34" i="14"/>
  <c r="EW41" i="15"/>
  <c r="CB41" i="15"/>
  <c r="CA41" i="15"/>
  <c r="DT40" i="14"/>
  <c r="DV40" i="14" s="1"/>
  <c r="CL40" i="14"/>
  <c r="CR40" i="14"/>
  <c r="EN40" i="14"/>
  <c r="AX34" i="15"/>
  <c r="BM34" i="15"/>
  <c r="BA34" i="15"/>
  <c r="BD34" i="15"/>
  <c r="BC34" i="15"/>
  <c r="AR34" i="15"/>
  <c r="BB34" i="15"/>
  <c r="AZ34" i="15"/>
  <c r="CI34" i="15"/>
  <c r="AY34" i="15"/>
  <c r="CT22" i="14"/>
  <c r="CS22" i="14"/>
  <c r="CV22" i="14" s="1"/>
  <c r="BM26" i="15"/>
  <c r="AY26" i="15"/>
  <c r="AX26" i="15"/>
  <c r="AZ26" i="15"/>
  <c r="BD26" i="15"/>
  <c r="BB26" i="15"/>
  <c r="AR26" i="15"/>
  <c r="BC26" i="15"/>
  <c r="CI26" i="15"/>
  <c r="BA26" i="15"/>
  <c r="DB30" i="5"/>
  <c r="R28" i="14"/>
  <c r="FA28" i="14" s="1"/>
  <c r="CT29" i="15"/>
  <c r="CU29" i="15" s="1"/>
  <c r="CY29" i="15" s="1"/>
  <c r="CT34" i="15"/>
  <c r="CO34" i="15"/>
  <c r="CP34" i="15" s="1"/>
  <c r="BE62" i="15"/>
  <c r="BY44" i="15"/>
  <c r="BZ44" i="15" s="1"/>
  <c r="CN44" i="15"/>
  <c r="CH44" i="15"/>
  <c r="CU45" i="5"/>
  <c r="CY45" i="5" s="1"/>
  <c r="CZ45" i="5" s="1"/>
  <c r="DA45" i="5" s="1"/>
  <c r="BZ70" i="1"/>
  <c r="CA70" i="1" s="1"/>
  <c r="DB47" i="5"/>
  <c r="DT33" i="14"/>
  <c r="DV33" i="14" s="1"/>
  <c r="EN33" i="14"/>
  <c r="CR33" i="14"/>
  <c r="CL33" i="14"/>
  <c r="CU22" i="15"/>
  <c r="CY22" i="15" s="1"/>
  <c r="DA22" i="15" s="1"/>
  <c r="CB44" i="15"/>
  <c r="CA44" i="15"/>
  <c r="CL24" i="14"/>
  <c r="CA68" i="14"/>
  <c r="CB68" i="14" s="1"/>
  <c r="CR24" i="14"/>
  <c r="EN24" i="14"/>
  <c r="DT24" i="14"/>
  <c r="DV24" i="14" s="1"/>
  <c r="AD44" i="14"/>
  <c r="AC44" i="14"/>
  <c r="CU26" i="15"/>
  <c r="CY26" i="15" s="1"/>
  <c r="DB26" i="15" s="1"/>
  <c r="DI34" i="14"/>
  <c r="BW46" i="14"/>
  <c r="AD46" i="13"/>
  <c r="BV46" i="13" s="1"/>
  <c r="AC46" i="13"/>
  <c r="AE46" i="14"/>
  <c r="AB39" i="17" s="1"/>
  <c r="BT46" i="14"/>
  <c r="Z46" i="14"/>
  <c r="BU46" i="14" s="1"/>
  <c r="CY46" i="14" s="1"/>
  <c r="S46" i="13"/>
  <c r="Z46" i="13" s="1"/>
  <c r="BT46" i="13" s="1"/>
  <c r="CX46" i="13" s="1"/>
  <c r="Z22" i="13"/>
  <c r="AC31" i="13"/>
  <c r="BT31" i="14"/>
  <c r="AE31" i="14"/>
  <c r="AB24" i="17" s="1"/>
  <c r="Y22" i="13"/>
  <c r="EZ22" i="13"/>
  <c r="T22" i="13"/>
  <c r="U22" i="13" s="1"/>
  <c r="Y21" i="13"/>
  <c r="EZ21" i="13"/>
  <c r="T21" i="13"/>
  <c r="S31" i="13"/>
  <c r="Z31" i="14"/>
  <c r="AD40" i="13"/>
  <c r="BV40" i="13" s="1"/>
  <c r="BW40" i="14"/>
  <c r="R24" i="13"/>
  <c r="T24" i="14"/>
  <c r="U24" i="14" s="1"/>
  <c r="FA24" i="14"/>
  <c r="Y24" i="14"/>
  <c r="R35" i="13"/>
  <c r="FA35" i="14"/>
  <c r="Y35" i="14"/>
  <c r="T35" i="14"/>
  <c r="U35" i="14" s="1"/>
  <c r="AD27" i="13"/>
  <c r="BW27" i="14"/>
  <c r="BS22" i="13"/>
  <c r="AD31" i="13"/>
  <c r="BW31" i="14"/>
  <c r="BS21" i="13"/>
  <c r="AE21" i="13"/>
  <c r="S42" i="13"/>
  <c r="Z42" i="14"/>
  <c r="AC24" i="13"/>
  <c r="BT24" i="14"/>
  <c r="AE24" i="14"/>
  <c r="AB17" i="17" s="1"/>
  <c r="BW35" i="14"/>
  <c r="AD35" i="13"/>
  <c r="BV35" i="13" s="1"/>
  <c r="R28" i="13"/>
  <c r="T28" i="14"/>
  <c r="U28" i="14" s="1"/>
  <c r="Y28" i="14"/>
  <c r="AD23" i="13"/>
  <c r="BW23" i="14"/>
  <c r="AC27" i="13"/>
  <c r="BT27" i="14"/>
  <c r="AE27" i="14"/>
  <c r="AB20" i="17" s="1"/>
  <c r="R31" i="13"/>
  <c r="Y31" i="14"/>
  <c r="T31" i="14"/>
  <c r="U31" i="14" s="1"/>
  <c r="FA31" i="14"/>
  <c r="Z34" i="14"/>
  <c r="S34" i="13"/>
  <c r="R27" i="13"/>
  <c r="Y27" i="14"/>
  <c r="T27" i="14"/>
  <c r="U27" i="14" s="1"/>
  <c r="FA27" i="14"/>
  <c r="EE22" i="14"/>
  <c r="Y33" i="14"/>
  <c r="R33" i="13"/>
  <c r="FA33" i="14"/>
  <c r="T33" i="14"/>
  <c r="U33" i="14" s="1"/>
  <c r="AE40" i="14"/>
  <c r="AB33" i="17" s="1"/>
  <c r="BW24" i="14"/>
  <c r="AD24" i="13"/>
  <c r="AE35" i="14"/>
  <c r="AB28" i="17" s="1"/>
  <c r="BT35" i="14"/>
  <c r="AC35" i="13"/>
  <c r="R23" i="13"/>
  <c r="Y23" i="14"/>
  <c r="T23" i="14"/>
  <c r="U23" i="14" s="1"/>
  <c r="FA23" i="14"/>
  <c r="S27" i="13"/>
  <c r="Z27" i="14"/>
  <c r="BW29" i="14"/>
  <c r="AD29" i="13"/>
  <c r="Z21" i="13"/>
  <c r="BT36" i="14"/>
  <c r="AE36" i="14"/>
  <c r="AB29" i="17" s="1"/>
  <c r="AC36" i="13"/>
  <c r="AE22" i="13"/>
  <c r="BV22" i="13"/>
  <c r="Z33" i="14"/>
  <c r="S33" i="13"/>
  <c r="S24" i="13"/>
  <c r="Z24" i="14"/>
  <c r="S35" i="13"/>
  <c r="Z35" i="13" s="1"/>
  <c r="Z35" i="14"/>
  <c r="AD28" i="13"/>
  <c r="BW28" i="14"/>
  <c r="Z23" i="14"/>
  <c r="S23" i="13"/>
  <c r="Z29" i="14"/>
  <c r="S29" i="13"/>
  <c r="R34" i="13"/>
  <c r="FA34" i="14"/>
  <c r="Y34" i="14"/>
  <c r="T34" i="14"/>
  <c r="U34" i="14" s="1"/>
  <c r="BV21" i="13"/>
  <c r="EO21" i="14"/>
  <c r="BU21" i="14"/>
  <c r="S36" i="13"/>
  <c r="Z36" i="14"/>
  <c r="EJ18" i="1"/>
  <c r="Q18" i="14"/>
  <c r="BW33" i="14"/>
  <c r="AD33" i="13"/>
  <c r="BV33" i="13" s="1"/>
  <c r="AD42" i="13"/>
  <c r="BV42" i="13" s="1"/>
  <c r="BW42" i="14"/>
  <c r="BX22" i="14"/>
  <c r="EH22" i="14"/>
  <c r="EP22" i="14"/>
  <c r="AA22" i="14"/>
  <c r="AA15" i="17" s="1"/>
  <c r="AC23" i="13"/>
  <c r="AE23" i="14"/>
  <c r="BT23" i="14"/>
  <c r="BT29" i="14"/>
  <c r="AC29" i="13"/>
  <c r="AE29" i="14"/>
  <c r="AD34" i="13"/>
  <c r="BV34" i="13" s="1"/>
  <c r="BW34" i="14"/>
  <c r="AC20" i="13"/>
  <c r="BT20" i="14"/>
  <c r="AE20" i="14"/>
  <c r="AB13" i="17" s="1"/>
  <c r="BW36" i="14"/>
  <c r="AD36" i="13"/>
  <c r="BV36" i="13" s="1"/>
  <c r="BW26" i="14"/>
  <c r="AD26" i="13"/>
  <c r="Y26" i="14"/>
  <c r="T26" i="14"/>
  <c r="U26" i="14" s="1"/>
  <c r="R26" i="13"/>
  <c r="FA26" i="14"/>
  <c r="AE33" i="14"/>
  <c r="AB26" i="17" s="1"/>
  <c r="BT33" i="14"/>
  <c r="AC33" i="13"/>
  <c r="AC42" i="13"/>
  <c r="AE42" i="14"/>
  <c r="AB35" i="17" s="1"/>
  <c r="BT42" i="14"/>
  <c r="BU22" i="14"/>
  <c r="EO22" i="14"/>
  <c r="EE21" i="14"/>
  <c r="R29" i="13"/>
  <c r="FA29" i="14"/>
  <c r="Y29" i="14"/>
  <c r="T29" i="14"/>
  <c r="U29" i="14" s="1"/>
  <c r="AC34" i="13"/>
  <c r="BT34" i="14"/>
  <c r="AE34" i="14"/>
  <c r="AB27" i="17" s="1"/>
  <c r="EP21" i="14"/>
  <c r="BX21" i="14"/>
  <c r="AA21" i="14"/>
  <c r="AA14" i="17" s="1"/>
  <c r="EH21" i="14"/>
  <c r="AD20" i="13"/>
  <c r="BW20" i="14"/>
  <c r="Z26" i="14"/>
  <c r="S26" i="13"/>
  <c r="ED22" i="14"/>
  <c r="R36" i="13"/>
  <c r="Y36" i="14"/>
  <c r="T36" i="14"/>
  <c r="U36" i="14" s="1"/>
  <c r="FA36" i="14"/>
  <c r="CY39" i="5"/>
  <c r="EJ57" i="1"/>
  <c r="EK57" i="1" s="1"/>
  <c r="CT21" i="1"/>
  <c r="CN35" i="1"/>
  <c r="DW35" i="1"/>
  <c r="DY35" i="1" s="1"/>
  <c r="AL35" i="1"/>
  <c r="CH35" i="1"/>
  <c r="AV62" i="1"/>
  <c r="BY35" i="1"/>
  <c r="BZ35" i="1" s="1"/>
  <c r="BL35" i="1"/>
  <c r="CS46" i="1"/>
  <c r="CR46" i="1"/>
  <c r="AJ30" i="2"/>
  <c r="BG30" i="2"/>
  <c r="CR30" i="2"/>
  <c r="AR30" i="2"/>
  <c r="CS28" i="1"/>
  <c r="CR28" i="1"/>
  <c r="DB42" i="5"/>
  <c r="DB37" i="5"/>
  <c r="BY24" i="1"/>
  <c r="BZ24" i="1" s="1"/>
  <c r="CN24" i="1"/>
  <c r="DW24" i="1"/>
  <c r="DY24" i="1" s="1"/>
  <c r="CH24" i="1"/>
  <c r="BL24" i="1"/>
  <c r="DL24" i="1"/>
  <c r="DK24" i="1"/>
  <c r="DB41" i="5"/>
  <c r="CN28" i="1"/>
  <c r="BY28" i="1"/>
  <c r="BZ28" i="1" s="1"/>
  <c r="AL28" i="1"/>
  <c r="AQ22" i="2" s="1"/>
  <c r="CH28" i="1"/>
  <c r="DW28" i="1"/>
  <c r="DY28" i="1" s="1"/>
  <c r="BL28" i="1"/>
  <c r="DL28" i="1"/>
  <c r="DK28" i="1"/>
  <c r="CH36" i="1"/>
  <c r="DW36" i="1"/>
  <c r="DY36" i="1" s="1"/>
  <c r="AW62" i="1"/>
  <c r="AL36" i="1"/>
  <c r="AQ30" i="2" s="1"/>
  <c r="BY36" i="1"/>
  <c r="BZ36" i="1" s="1"/>
  <c r="BL36" i="1"/>
  <c r="DB35" i="5"/>
  <c r="BG20" i="2"/>
  <c r="CR20" i="2"/>
  <c r="AJ20" i="2"/>
  <c r="AR20" i="2"/>
  <c r="DB33" i="5"/>
  <c r="CS40" i="1"/>
  <c r="CR40" i="1"/>
  <c r="CR22" i="2"/>
  <c r="BG22" i="2"/>
  <c r="AJ22" i="2"/>
  <c r="AR22" i="2"/>
  <c r="DW33" i="1"/>
  <c r="DY33" i="1" s="1"/>
  <c r="BL33" i="1"/>
  <c r="CH33" i="1"/>
  <c r="AT62" i="1"/>
  <c r="CN33" i="1"/>
  <c r="AL33" i="1"/>
  <c r="AQ27" i="2" s="1"/>
  <c r="BY33" i="1"/>
  <c r="BZ33" i="1" s="1"/>
  <c r="CA68" i="1"/>
  <c r="CR23" i="2"/>
  <c r="BG23" i="2"/>
  <c r="AJ23" i="2"/>
  <c r="AR23" i="2"/>
  <c r="CN27" i="1"/>
  <c r="AL27" i="1"/>
  <c r="AQ21" i="2" s="1"/>
  <c r="DW27" i="1"/>
  <c r="DY27" i="1" s="1"/>
  <c r="BY27" i="1"/>
  <c r="BZ27" i="1" s="1"/>
  <c r="CH27" i="1"/>
  <c r="BL27" i="1"/>
  <c r="DL27" i="1"/>
  <c r="DK27" i="1"/>
  <c r="DB53" i="5"/>
  <c r="CT22" i="1"/>
  <c r="CX58" i="5"/>
  <c r="CX59" i="5"/>
  <c r="CX56" i="5"/>
  <c r="CZ32" i="5"/>
  <c r="DB40" i="5"/>
  <c r="DB48" i="5"/>
  <c r="CR31" i="1"/>
  <c r="CS31" i="1"/>
  <c r="DB43" i="5"/>
  <c r="BY26" i="1"/>
  <c r="BZ26" i="1" s="1"/>
  <c r="CN26" i="1"/>
  <c r="CH26" i="1"/>
  <c r="AL26" i="1"/>
  <c r="AQ20" i="2" s="1"/>
  <c r="BL26" i="1"/>
  <c r="DW26" i="1"/>
  <c r="DY26" i="1" s="1"/>
  <c r="DL26" i="1"/>
  <c r="DK26" i="1"/>
  <c r="CS42" i="1"/>
  <c r="CR42" i="1"/>
  <c r="AS58" i="1"/>
  <c r="AS60" i="1" s="1"/>
  <c r="DW31" i="1"/>
  <c r="DY31" i="1" s="1"/>
  <c r="BY31" i="1"/>
  <c r="BZ31" i="1" s="1"/>
  <c r="AT58" i="1"/>
  <c r="CN31" i="1"/>
  <c r="AL31" i="1"/>
  <c r="AQ25" i="2" s="1"/>
  <c r="CH31" i="1"/>
  <c r="BL31" i="1"/>
  <c r="DL31" i="1"/>
  <c r="DK31" i="1"/>
  <c r="CS27" i="1"/>
  <c r="CR27" i="1"/>
  <c r="DB50" i="5"/>
  <c r="V12" i="2"/>
  <c r="CR26" i="1"/>
  <c r="CS26" i="1"/>
  <c r="CS24" i="1"/>
  <c r="CR24" i="1"/>
  <c r="AJ28" i="2"/>
  <c r="BG28" i="2"/>
  <c r="CR28" i="2"/>
  <c r="AR28" i="2"/>
  <c r="CS29" i="1"/>
  <c r="CR29" i="1"/>
  <c r="BF8" i="2"/>
  <c r="DB38" i="5"/>
  <c r="DB49" i="5"/>
  <c r="CR36" i="1"/>
  <c r="CS36" i="1"/>
  <c r="BL20" i="1"/>
  <c r="CR21" i="2"/>
  <c r="AJ21" i="2"/>
  <c r="BG21" i="2"/>
  <c r="AR21" i="2"/>
  <c r="CH29" i="1"/>
  <c r="BL29" i="1"/>
  <c r="CN29" i="1"/>
  <c r="AL29" i="1"/>
  <c r="AQ23" i="2" s="1"/>
  <c r="BY29" i="1"/>
  <c r="BZ29" i="1" s="1"/>
  <c r="DW29" i="1"/>
  <c r="DY29" i="1" s="1"/>
  <c r="DL29" i="1"/>
  <c r="DK29" i="1"/>
  <c r="AJ27" i="2"/>
  <c r="CR27" i="2"/>
  <c r="BG27" i="2"/>
  <c r="AR27" i="2"/>
  <c r="CS33" i="1"/>
  <c r="CR33" i="1"/>
  <c r="BF15" i="2"/>
  <c r="DB46" i="5"/>
  <c r="CR23" i="1"/>
  <c r="CS23" i="1"/>
  <c r="AJ25" i="2"/>
  <c r="BG25" i="2"/>
  <c r="CR25" i="2"/>
  <c r="AR25" i="2"/>
  <c r="DB34" i="5"/>
  <c r="DB31" i="5"/>
  <c r="AU62" i="1"/>
  <c r="CH34" i="1"/>
  <c r="CN34" i="1"/>
  <c r="AL34" i="1"/>
  <c r="AQ28" i="2" s="1"/>
  <c r="BY34" i="1"/>
  <c r="BZ34" i="1" s="1"/>
  <c r="DW34" i="1"/>
  <c r="DY34" i="1" s="1"/>
  <c r="BL34" i="1"/>
  <c r="BG29" i="2"/>
  <c r="CR29" i="2"/>
  <c r="AJ29" i="2"/>
  <c r="AR29" i="2"/>
  <c r="CV59" i="5"/>
  <c r="CV56" i="5"/>
  <c r="CV58" i="5"/>
  <c r="DB36" i="5"/>
  <c r="CU44" i="5"/>
  <c r="CS34" i="1"/>
  <c r="CR34" i="1"/>
  <c r="DB32" i="5"/>
  <c r="BN59" i="5"/>
  <c r="BN60" i="5" s="1"/>
  <c r="DS18" i="1"/>
  <c r="DU18" i="1" s="1"/>
  <c r="BZ62" i="1"/>
  <c r="CA62" i="1" s="1"/>
  <c r="EM18" i="1"/>
  <c r="AJ18" i="1"/>
  <c r="CK18" i="1"/>
  <c r="DK18" i="1"/>
  <c r="CS35" i="1"/>
  <c r="CR35" i="1"/>
  <c r="ED29" i="14" l="1"/>
  <c r="AB22" i="17"/>
  <c r="V45" i="14"/>
  <c r="CL45" i="14" s="1"/>
  <c r="Y38" i="17"/>
  <c r="AI38" i="17" s="1"/>
  <c r="AA53" i="15"/>
  <c r="BT40" i="14"/>
  <c r="BA3" i="15"/>
  <c r="Y18" i="17"/>
  <c r="AI18" i="17" s="1"/>
  <c r="Y59" i="14"/>
  <c r="EE23" i="14"/>
  <c r="AB16" i="17"/>
  <c r="EE26" i="14"/>
  <c r="AB19" i="17"/>
  <c r="Y10" i="17"/>
  <c r="AI10" i="17" s="1"/>
  <c r="S17" i="14"/>
  <c r="CO33" i="15"/>
  <c r="CP33" i="15" s="1"/>
  <c r="AY3" i="15"/>
  <c r="CO30" i="15"/>
  <c r="CP30" i="15" s="1"/>
  <c r="EC21" i="13"/>
  <c r="O14" i="17"/>
  <c r="AL14" i="17" s="1"/>
  <c r="ED22" i="13"/>
  <c r="O15" i="17"/>
  <c r="AL15" i="17" s="1"/>
  <c r="CN23" i="1"/>
  <c r="Z40" i="14"/>
  <c r="BW19" i="14"/>
  <c r="AD19" i="13"/>
  <c r="BV19" i="13" s="1"/>
  <c r="S28" i="13"/>
  <c r="T28" i="13" s="1"/>
  <c r="U28" i="13" s="1"/>
  <c r="BT19" i="14"/>
  <c r="AC19" i="13"/>
  <c r="AE19" i="14"/>
  <c r="AB12" i="17" s="1"/>
  <c r="DK23" i="1"/>
  <c r="BT26" i="14"/>
  <c r="ED21" i="13"/>
  <c r="DL23" i="1"/>
  <c r="AC26" i="13"/>
  <c r="DW20" i="1"/>
  <c r="DY20" i="1" s="1"/>
  <c r="CH23" i="1"/>
  <c r="BY21" i="14"/>
  <c r="BY20" i="1"/>
  <c r="BZ20" i="1" s="1"/>
  <c r="BY23" i="1"/>
  <c r="BZ23" i="1" s="1"/>
  <c r="BL23" i="1"/>
  <c r="CS29" i="14"/>
  <c r="CV29" i="14" s="1"/>
  <c r="CT29" i="14"/>
  <c r="CV36" i="15"/>
  <c r="DA36" i="15"/>
  <c r="DA29" i="15"/>
  <c r="DB29" i="15"/>
  <c r="DB23" i="15"/>
  <c r="CT26" i="14"/>
  <c r="CS26" i="14"/>
  <c r="CV26" i="14" s="1"/>
  <c r="AZ3" i="15"/>
  <c r="P31" i="2"/>
  <c r="V31" i="2" s="1"/>
  <c r="AG31" i="2" s="1"/>
  <c r="FC37" i="1"/>
  <c r="FB37" i="1" s="1"/>
  <c r="V37" i="1"/>
  <c r="EJ37" i="1" s="1"/>
  <c r="U37" i="1"/>
  <c r="CH40" i="15"/>
  <c r="BY40" i="15"/>
  <c r="BZ40" i="15" s="1"/>
  <c r="BA62" i="15"/>
  <c r="BL40" i="15"/>
  <c r="CN40" i="15"/>
  <c r="CT40" i="15" s="1"/>
  <c r="DW40" i="15"/>
  <c r="DY40" i="15" s="1"/>
  <c r="DB32" i="15"/>
  <c r="CV32" i="15"/>
  <c r="DA32" i="15"/>
  <c r="CT43" i="15"/>
  <c r="CO43" i="15"/>
  <c r="CP43" i="15" s="1"/>
  <c r="AJ54" i="15"/>
  <c r="AZ62" i="15"/>
  <c r="CN39" i="15"/>
  <c r="CH39" i="15"/>
  <c r="BL39" i="15"/>
  <c r="BY39" i="15"/>
  <c r="BZ39" i="15" s="1"/>
  <c r="DW39" i="15"/>
  <c r="DY39" i="15" s="1"/>
  <c r="AJ50" i="15"/>
  <c r="CS33" i="14"/>
  <c r="CV33" i="14" s="1"/>
  <c r="CT33" i="14"/>
  <c r="BL16" i="1"/>
  <c r="DW16" i="1"/>
  <c r="DY16" i="1" s="1"/>
  <c r="CH16" i="1"/>
  <c r="BY16" i="1"/>
  <c r="BZ16" i="1" s="1"/>
  <c r="DA25" i="15"/>
  <c r="DB25" i="15"/>
  <c r="V43" i="1"/>
  <c r="DH43" i="1" s="1"/>
  <c r="P37" i="2"/>
  <c r="V37" i="2" s="1"/>
  <c r="O43" i="1"/>
  <c r="DA31" i="15"/>
  <c r="AA50" i="15"/>
  <c r="CS34" i="14"/>
  <c r="CV34" i="14" s="1"/>
  <c r="CT34" i="14"/>
  <c r="EW40" i="15"/>
  <c r="CB40" i="15"/>
  <c r="CA40" i="15"/>
  <c r="CO25" i="15"/>
  <c r="CP25" i="15" s="1"/>
  <c r="DA28" i="15"/>
  <c r="O43" i="14"/>
  <c r="V43" i="14"/>
  <c r="DI43" i="14" s="1"/>
  <c r="CO31" i="15"/>
  <c r="CP31" i="15" s="1"/>
  <c r="AA51" i="15"/>
  <c r="CU28" i="15"/>
  <c r="CY28" i="15" s="1"/>
  <c r="DB28" i="15" s="1"/>
  <c r="AC16" i="14"/>
  <c r="AD16" i="14"/>
  <c r="AD15" i="13"/>
  <c r="BV15" i="13" s="1"/>
  <c r="BW15" i="14"/>
  <c r="BZ69" i="14"/>
  <c r="EJ25" i="14"/>
  <c r="O25" i="14"/>
  <c r="FD25" i="14"/>
  <c r="V25" i="14"/>
  <c r="EK25" i="14" s="1"/>
  <c r="P50" i="14"/>
  <c r="DA27" i="15"/>
  <c r="DB27" i="15"/>
  <c r="BG62" i="15"/>
  <c r="CN46" i="15"/>
  <c r="BL46" i="15"/>
  <c r="BY46" i="15"/>
  <c r="BZ46" i="15" s="1"/>
  <c r="CH46" i="15"/>
  <c r="AA54" i="15"/>
  <c r="CS42" i="14"/>
  <c r="CV42" i="14" s="1"/>
  <c r="CT42" i="14"/>
  <c r="S44" i="13"/>
  <c r="Z44" i="13" s="1"/>
  <c r="BT44" i="13" s="1"/>
  <c r="CX44" i="13" s="1"/>
  <c r="Z44" i="14"/>
  <c r="BU44" i="14" s="1"/>
  <c r="CY44" i="14" s="1"/>
  <c r="CZ44" i="14" s="1"/>
  <c r="CV33" i="15"/>
  <c r="DB33" i="15"/>
  <c r="DA33" i="15"/>
  <c r="BC3" i="15"/>
  <c r="BD3" i="15" s="1"/>
  <c r="DW14" i="1"/>
  <c r="DY14" i="1" s="1"/>
  <c r="CH14" i="1"/>
  <c r="BL14" i="1"/>
  <c r="BY14" i="1"/>
  <c r="BZ14" i="1" s="1"/>
  <c r="DF35" i="15"/>
  <c r="DE35" i="15"/>
  <c r="U38" i="1"/>
  <c r="R43" i="1" s="1"/>
  <c r="P32" i="2"/>
  <c r="V32" i="2" s="1"/>
  <c r="AG32" i="2" s="1"/>
  <c r="V38" i="1"/>
  <c r="DH38" i="1" s="1"/>
  <c r="FC38" i="1"/>
  <c r="FB38" i="1" s="1"/>
  <c r="V39" i="1"/>
  <c r="DH39" i="1" s="1"/>
  <c r="P33" i="2"/>
  <c r="V33" i="2" s="1"/>
  <c r="O39" i="1"/>
  <c r="FC39" i="1"/>
  <c r="DA37" i="15"/>
  <c r="CV37" i="15"/>
  <c r="FD38" i="14"/>
  <c r="V38" i="14"/>
  <c r="DI38" i="14" s="1"/>
  <c r="EK38" i="14"/>
  <c r="O39" i="14"/>
  <c r="FD39" i="14"/>
  <c r="V39" i="14"/>
  <c r="EK39" i="14" s="1"/>
  <c r="DI39" i="14"/>
  <c r="CV35" i="15"/>
  <c r="DA35" i="15"/>
  <c r="DN13" i="15"/>
  <c r="DO13" i="15" s="1"/>
  <c r="DN17" i="15"/>
  <c r="DO17" i="15" s="1"/>
  <c r="DN15" i="15"/>
  <c r="DO15" i="15" s="1"/>
  <c r="DN19" i="15"/>
  <c r="DO19" i="15" s="1"/>
  <c r="DN16" i="15"/>
  <c r="DO16" i="15" s="1"/>
  <c r="DN20" i="15"/>
  <c r="DO20" i="15" s="1"/>
  <c r="DN14" i="15"/>
  <c r="DO14" i="15" s="1"/>
  <c r="DF22" i="15"/>
  <c r="DE22" i="15"/>
  <c r="CT28" i="14"/>
  <c r="CS28" i="14"/>
  <c r="CV28" i="14" s="1"/>
  <c r="CO36" i="15"/>
  <c r="CP36" i="15" s="1"/>
  <c r="AX3" i="15"/>
  <c r="EN18" i="14"/>
  <c r="DT18" i="14"/>
  <c r="DV18" i="14" s="1"/>
  <c r="CA62" i="14"/>
  <c r="CB62" i="14" s="1"/>
  <c r="CL18" i="14"/>
  <c r="DB21" i="15"/>
  <c r="CS35" i="14"/>
  <c r="CV35" i="14" s="1"/>
  <c r="CT35" i="14"/>
  <c r="CT44" i="15"/>
  <c r="CO44" i="15"/>
  <c r="CP44" i="15" s="1"/>
  <c r="DW42" i="15"/>
  <c r="DY42" i="15" s="1"/>
  <c r="CN42" i="15"/>
  <c r="BY42" i="15"/>
  <c r="BZ42" i="15" s="1"/>
  <c r="BL42" i="15"/>
  <c r="BC62" i="15"/>
  <c r="CH42" i="15"/>
  <c r="AE28" i="14"/>
  <c r="CS24" i="14"/>
  <c r="CV24" i="14" s="1"/>
  <c r="CT24" i="14"/>
  <c r="FD30" i="14"/>
  <c r="BZ74" i="14"/>
  <c r="EJ30" i="14"/>
  <c r="EJ53" i="14" s="1"/>
  <c r="O30" i="14"/>
  <c r="V30" i="14"/>
  <c r="DI30" i="14" s="1"/>
  <c r="EK30" i="14"/>
  <c r="AC14" i="14"/>
  <c r="AD14" i="14"/>
  <c r="DA30" i="15"/>
  <c r="DB30" i="15"/>
  <c r="DA24" i="15"/>
  <c r="DB24" i="15"/>
  <c r="DE26" i="15"/>
  <c r="DF26" i="15"/>
  <c r="P19" i="2"/>
  <c r="U25" i="1"/>
  <c r="FC25" i="1"/>
  <c r="FB25" i="1" s="1"/>
  <c r="O25" i="1"/>
  <c r="BY69" i="1"/>
  <c r="V25" i="1"/>
  <c r="DH25" i="1" s="1"/>
  <c r="EI25" i="1"/>
  <c r="P50" i="1"/>
  <c r="CB46" i="15"/>
  <c r="CA46" i="15"/>
  <c r="AC28" i="13"/>
  <c r="CT40" i="14"/>
  <c r="CS40" i="14"/>
  <c r="CV40" i="14" s="1"/>
  <c r="BB3" i="15"/>
  <c r="P39" i="2"/>
  <c r="V39" i="2" s="1"/>
  <c r="AG39" i="2" s="1"/>
  <c r="V45" i="1"/>
  <c r="Q45" i="14" s="1"/>
  <c r="CB42" i="15"/>
  <c r="EW42" i="15"/>
  <c r="CA42" i="15"/>
  <c r="V30" i="1"/>
  <c r="DH30" i="1" s="1"/>
  <c r="FC30" i="1"/>
  <c r="FB30" i="1" s="1"/>
  <c r="BY74" i="1"/>
  <c r="EI30" i="1"/>
  <c r="EI53" i="1" s="1"/>
  <c r="O30" i="1"/>
  <c r="P24" i="2"/>
  <c r="V24" i="2" s="1"/>
  <c r="AG24" i="2" s="1"/>
  <c r="U30" i="1"/>
  <c r="FD41" i="14"/>
  <c r="O41" i="14"/>
  <c r="V41" i="14"/>
  <c r="EK41" i="14"/>
  <c r="DI41" i="14"/>
  <c r="AC15" i="13"/>
  <c r="BT15" i="14"/>
  <c r="AE15" i="14"/>
  <c r="AB8" i="17" s="1"/>
  <c r="P35" i="2"/>
  <c r="V35" i="2" s="1"/>
  <c r="FC41" i="1"/>
  <c r="O41" i="1"/>
  <c r="V41" i="1"/>
  <c r="EJ41" i="1" s="1"/>
  <c r="CS36" i="14"/>
  <c r="CT36" i="14"/>
  <c r="AE44" i="14"/>
  <c r="AB37" i="17" s="1"/>
  <c r="BT44" i="14"/>
  <c r="AC44" i="13"/>
  <c r="DF36" i="15"/>
  <c r="DE36" i="15"/>
  <c r="AD44" i="13"/>
  <c r="BV44" i="13" s="1"/>
  <c r="BW44" i="14"/>
  <c r="CU37" i="15"/>
  <c r="CY37" i="15" s="1"/>
  <c r="DB37" i="15" s="1"/>
  <c r="BC53" i="15"/>
  <c r="BZ61" i="14"/>
  <c r="FD17" i="14"/>
  <c r="V17" i="14"/>
  <c r="EJ17" i="14"/>
  <c r="O17" i="14"/>
  <c r="P51" i="14"/>
  <c r="P54" i="14"/>
  <c r="P84" i="14"/>
  <c r="P49" i="14"/>
  <c r="P53" i="14"/>
  <c r="DB38" i="15"/>
  <c r="DA38" i="15"/>
  <c r="CV38" i="15"/>
  <c r="ED26" i="14"/>
  <c r="DA34" i="15"/>
  <c r="CV34" i="15"/>
  <c r="CT23" i="14"/>
  <c r="CS23" i="14"/>
  <c r="CV23" i="14" s="1"/>
  <c r="FC17" i="1"/>
  <c r="V17" i="1"/>
  <c r="EJ17" i="1" s="1"/>
  <c r="O17" i="1"/>
  <c r="O84" i="1" s="1"/>
  <c r="P11" i="2"/>
  <c r="BY61" i="1"/>
  <c r="EI17" i="1"/>
  <c r="P53" i="1"/>
  <c r="P49" i="1"/>
  <c r="P54" i="1"/>
  <c r="P51" i="1"/>
  <c r="P84" i="1"/>
  <c r="CT27" i="14"/>
  <c r="CS27" i="14"/>
  <c r="CV27" i="14" s="1"/>
  <c r="CT41" i="15"/>
  <c r="CO41" i="15" s="1"/>
  <c r="CP41" i="15" s="1"/>
  <c r="CU31" i="15"/>
  <c r="CY31" i="15" s="1"/>
  <c r="DB31" i="15" s="1"/>
  <c r="EI32" i="1"/>
  <c r="P26" i="2"/>
  <c r="V26" i="2" s="1"/>
  <c r="AG26" i="2" s="1"/>
  <c r="V32" i="1"/>
  <c r="DH32" i="1" s="1"/>
  <c r="FC32" i="1"/>
  <c r="FB32" i="1" s="1"/>
  <c r="U32" i="1"/>
  <c r="CT31" i="14"/>
  <c r="CS31" i="14"/>
  <c r="CV31" i="14" s="1"/>
  <c r="CO29" i="15"/>
  <c r="CP29" i="15" s="1"/>
  <c r="CO23" i="15"/>
  <c r="CP23" i="15" s="1"/>
  <c r="AU60" i="15"/>
  <c r="AU61" i="15" s="1"/>
  <c r="AU63" i="15" s="1"/>
  <c r="AU64" i="15" s="1"/>
  <c r="AV58" i="15"/>
  <c r="FD37" i="14"/>
  <c r="V37" i="14"/>
  <c r="DI37" i="14" s="1"/>
  <c r="DN18" i="15"/>
  <c r="DO18" i="15" s="1"/>
  <c r="CU34" i="15"/>
  <c r="CY34" i="15" s="1"/>
  <c r="DB34" i="15" s="1"/>
  <c r="EJ32" i="14"/>
  <c r="FD32" i="14"/>
  <c r="V32" i="14"/>
  <c r="EK32" i="14" s="1"/>
  <c r="DI32" i="14"/>
  <c r="CO32" i="15"/>
  <c r="CP32" i="15" s="1"/>
  <c r="AJ53" i="15"/>
  <c r="AE46" i="13"/>
  <c r="O39" i="17" s="1"/>
  <c r="AL39" i="17" s="1"/>
  <c r="BS46" i="13"/>
  <c r="EX21" i="14"/>
  <c r="CB21" i="14"/>
  <c r="EH23" i="14"/>
  <c r="BX23" i="14"/>
  <c r="EP23" i="14"/>
  <c r="AA23" i="14"/>
  <c r="AA16" i="17" s="1"/>
  <c r="Y34" i="13"/>
  <c r="EZ34" i="13"/>
  <c r="T34" i="13"/>
  <c r="U34" i="13" s="1"/>
  <c r="BS27" i="13"/>
  <c r="EZ28" i="13"/>
  <c r="Y28" i="13"/>
  <c r="BS24" i="13"/>
  <c r="AE24" i="13"/>
  <c r="EE31" i="14"/>
  <c r="BS31" i="13"/>
  <c r="AE31" i="13"/>
  <c r="O24" i="17" s="1"/>
  <c r="AL24" i="17" s="1"/>
  <c r="BV28" i="13"/>
  <c r="EH31" i="14"/>
  <c r="BS20" i="13"/>
  <c r="AE20" i="13"/>
  <c r="O13" i="17" s="1"/>
  <c r="AL13" i="17" s="1"/>
  <c r="EO29" i="14"/>
  <c r="BU29" i="14"/>
  <c r="CY22" i="14"/>
  <c r="BS23" i="13"/>
  <c r="AE23" i="13"/>
  <c r="BV20" i="13"/>
  <c r="EH29" i="14"/>
  <c r="BX29" i="14"/>
  <c r="AA29" i="14"/>
  <c r="AA22" i="17" s="1"/>
  <c r="EP29" i="14"/>
  <c r="BT35" i="13"/>
  <c r="EN35" i="13"/>
  <c r="BS35" i="13"/>
  <c r="AE35" i="13"/>
  <c r="O28" i="17" s="1"/>
  <c r="AL28" i="17" s="1"/>
  <c r="BS40" i="13"/>
  <c r="AE40" i="13"/>
  <c r="O33" i="17" s="1"/>
  <c r="AL33" i="17" s="1"/>
  <c r="EP27" i="14"/>
  <c r="EH27" i="14"/>
  <c r="BX27" i="14"/>
  <c r="AA27" i="14"/>
  <c r="AA20" i="17" s="1"/>
  <c r="BX31" i="14"/>
  <c r="AA31" i="14"/>
  <c r="AA24" i="17" s="1"/>
  <c r="EP31" i="14"/>
  <c r="EO42" i="14"/>
  <c r="BU42" i="14"/>
  <c r="BY22" i="14"/>
  <c r="EC22" i="13"/>
  <c r="Y35" i="13"/>
  <c r="T35" i="13"/>
  <c r="U35" i="13" s="1"/>
  <c r="EZ35" i="13"/>
  <c r="BU31" i="14"/>
  <c r="EO31" i="14"/>
  <c r="U21" i="13"/>
  <c r="EO22" i="13"/>
  <c r="BW22" i="13"/>
  <c r="EG22" i="13"/>
  <c r="AA22" i="13"/>
  <c r="N15" i="17" s="1"/>
  <c r="BX33" i="14"/>
  <c r="EP33" i="14"/>
  <c r="EH33" i="14"/>
  <c r="AA33" i="14"/>
  <c r="AA26" i="17" s="1"/>
  <c r="CY21" i="14"/>
  <c r="CC21" i="14"/>
  <c r="EO33" i="14"/>
  <c r="BU33" i="14"/>
  <c r="EH35" i="14"/>
  <c r="BX35" i="14"/>
  <c r="EP35" i="14"/>
  <c r="AA35" i="14"/>
  <c r="AA28" i="17" s="1"/>
  <c r="BV26" i="13"/>
  <c r="Z23" i="13"/>
  <c r="BT21" i="13"/>
  <c r="EN21" i="13"/>
  <c r="BU27" i="14"/>
  <c r="EO27" i="14"/>
  <c r="T27" i="13"/>
  <c r="U27" i="13" s="1"/>
  <c r="Y27" i="13"/>
  <c r="EZ27" i="13"/>
  <c r="T31" i="13"/>
  <c r="U31" i="13" s="1"/>
  <c r="Y31" i="13"/>
  <c r="EZ31" i="13"/>
  <c r="BU40" i="14"/>
  <c r="EO40" i="14"/>
  <c r="Z42" i="13"/>
  <c r="BV31" i="13"/>
  <c r="AE27" i="13"/>
  <c r="BV27" i="13"/>
  <c r="BX24" i="14"/>
  <c r="BY24" i="14" s="1"/>
  <c r="EX24" i="14" s="1"/>
  <c r="EH24" i="14"/>
  <c r="AA24" i="14"/>
  <c r="AA17" i="17" s="1"/>
  <c r="EP24" i="14"/>
  <c r="Z31" i="13"/>
  <c r="Z29" i="13"/>
  <c r="Z33" i="13"/>
  <c r="EE24" i="14"/>
  <c r="BX26" i="14"/>
  <c r="EP26" i="14"/>
  <c r="EH26" i="14"/>
  <c r="AA26" i="14"/>
  <c r="AA19" i="17" s="1"/>
  <c r="ED23" i="14"/>
  <c r="BU35" i="14"/>
  <c r="EO35" i="14"/>
  <c r="BX36" i="14"/>
  <c r="AA36" i="14"/>
  <c r="AA29" i="17" s="1"/>
  <c r="EP36" i="14"/>
  <c r="EH36" i="14"/>
  <c r="BS34" i="13"/>
  <c r="AE34" i="13"/>
  <c r="O27" i="17" s="1"/>
  <c r="AL27" i="17" s="1"/>
  <c r="Y29" i="13"/>
  <c r="EZ29" i="13"/>
  <c r="T29" i="13"/>
  <c r="U29" i="13" s="1"/>
  <c r="BS26" i="13"/>
  <c r="AE26" i="13"/>
  <c r="EE29" i="14"/>
  <c r="AJ22" i="14"/>
  <c r="BU36" i="14"/>
  <c r="EO36" i="14"/>
  <c r="EO23" i="14"/>
  <c r="BU23" i="14"/>
  <c r="CY23" i="14" s="1"/>
  <c r="BU24" i="14"/>
  <c r="EO24" i="14"/>
  <c r="AE36" i="13"/>
  <c r="O29" i="17" s="1"/>
  <c r="AL29" i="17" s="1"/>
  <c r="BS36" i="13"/>
  <c r="Z27" i="13"/>
  <c r="Z40" i="13"/>
  <c r="BU26" i="14"/>
  <c r="EO26" i="14"/>
  <c r="AE33" i="13"/>
  <c r="O26" i="17" s="1"/>
  <c r="AL26" i="17" s="1"/>
  <c r="BS33" i="13"/>
  <c r="AC18" i="14"/>
  <c r="AD18" i="14"/>
  <c r="T23" i="13"/>
  <c r="U23" i="13" s="1"/>
  <c r="Y23" i="13"/>
  <c r="EZ23" i="13"/>
  <c r="Y36" i="13"/>
  <c r="EZ36" i="13"/>
  <c r="T36" i="13"/>
  <c r="U36" i="13" s="1"/>
  <c r="BS42" i="13"/>
  <c r="AE42" i="13"/>
  <c r="O35" i="17" s="1"/>
  <c r="AL35" i="17" s="1"/>
  <c r="Z36" i="13"/>
  <c r="Z24" i="13"/>
  <c r="ED28" i="14"/>
  <c r="Z34" i="13"/>
  <c r="BV23" i="13"/>
  <c r="Z28" i="13"/>
  <c r="BX34" i="14"/>
  <c r="EP34" i="14"/>
  <c r="EH34" i="14"/>
  <c r="AA34" i="14"/>
  <c r="AA27" i="17" s="1"/>
  <c r="EE27" i="14"/>
  <c r="BT22" i="13"/>
  <c r="EN22" i="13"/>
  <c r="Z26" i="13"/>
  <c r="AJ21" i="14"/>
  <c r="EZ26" i="13"/>
  <c r="T26" i="13"/>
  <c r="U26" i="13" s="1"/>
  <c r="Y26" i="13"/>
  <c r="EH20" i="14"/>
  <c r="EP20" i="14"/>
  <c r="AE29" i="13"/>
  <c r="BS29" i="13"/>
  <c r="BV29" i="13"/>
  <c r="BV24" i="13"/>
  <c r="Y33" i="13"/>
  <c r="EZ33" i="13"/>
  <c r="T33" i="13"/>
  <c r="U33" i="13" s="1"/>
  <c r="EO34" i="14"/>
  <c r="BU34" i="14"/>
  <c r="ED27" i="14"/>
  <c r="BX28" i="14"/>
  <c r="AA28" i="14"/>
  <c r="AA21" i="17" s="1"/>
  <c r="ED24" i="14"/>
  <c r="EO28" i="14"/>
  <c r="BU28" i="14"/>
  <c r="Y24" i="13"/>
  <c r="T24" i="13"/>
  <c r="U24" i="13" s="1"/>
  <c r="EZ24" i="13"/>
  <c r="BW21" i="13"/>
  <c r="EO21" i="13"/>
  <c r="EG21" i="13"/>
  <c r="AA21" i="13"/>
  <c r="N14" i="17" s="1"/>
  <c r="ED31" i="14"/>
  <c r="DA32" i="5"/>
  <c r="CI33" i="1"/>
  <c r="BD33" i="1"/>
  <c r="BB33" i="1"/>
  <c r="BA33" i="1"/>
  <c r="BC33" i="1"/>
  <c r="BM33" i="1"/>
  <c r="AR33" i="1"/>
  <c r="AZ33" i="1"/>
  <c r="AX33" i="1"/>
  <c r="AY33" i="1"/>
  <c r="CT33" i="1"/>
  <c r="CU33" i="1" s="1"/>
  <c r="CY33" i="1" s="1"/>
  <c r="AR35" i="1"/>
  <c r="BB35" i="1"/>
  <c r="CI35" i="1"/>
  <c r="BD35" i="1"/>
  <c r="AZ35" i="1"/>
  <c r="BC35" i="1"/>
  <c r="BA35" i="1"/>
  <c r="BM35" i="1"/>
  <c r="AX35" i="1"/>
  <c r="AY35" i="1"/>
  <c r="CY44" i="5"/>
  <c r="CZ44" i="5" s="1"/>
  <c r="DA44" i="5" s="1"/>
  <c r="BC34" i="1"/>
  <c r="BB34" i="1"/>
  <c r="CI34" i="1"/>
  <c r="BD34" i="1"/>
  <c r="AZ34" i="1"/>
  <c r="AR34" i="1"/>
  <c r="BM34" i="1"/>
  <c r="BA34" i="1"/>
  <c r="AX34" i="1"/>
  <c r="AY34" i="1"/>
  <c r="CT24" i="1"/>
  <c r="CO24" i="1" s="1"/>
  <c r="CP24" i="1" s="1"/>
  <c r="CT34" i="1"/>
  <c r="CO34" i="1" s="1"/>
  <c r="CP34" i="1" s="1"/>
  <c r="BD26" i="1"/>
  <c r="AZ26" i="1"/>
  <c r="BC26" i="1"/>
  <c r="BB26" i="1"/>
  <c r="AR26" i="1"/>
  <c r="CI26" i="1"/>
  <c r="BM26" i="1"/>
  <c r="BA26" i="1"/>
  <c r="AX26" i="1"/>
  <c r="AY26" i="1"/>
  <c r="AG12" i="2"/>
  <c r="AZ31" i="1"/>
  <c r="BD31" i="1"/>
  <c r="CI31" i="1"/>
  <c r="AT66" i="1"/>
  <c r="BC31" i="1"/>
  <c r="BB31" i="1"/>
  <c r="BM31" i="1"/>
  <c r="AR31" i="1"/>
  <c r="BA31" i="1"/>
  <c r="AX31" i="1"/>
  <c r="AY31" i="1"/>
  <c r="CT28" i="1"/>
  <c r="CO28" i="1" s="1"/>
  <c r="CP28" i="1" s="1"/>
  <c r="CT31" i="1"/>
  <c r="CU31" i="1" s="1"/>
  <c r="CY31" i="1" s="1"/>
  <c r="BD36" i="1"/>
  <c r="BB36" i="1"/>
  <c r="CI36" i="1"/>
  <c r="BC36" i="1"/>
  <c r="AZ36" i="1"/>
  <c r="BM36" i="1"/>
  <c r="AR36" i="1"/>
  <c r="BA36" i="1"/>
  <c r="AX36" i="1"/>
  <c r="AY36" i="1"/>
  <c r="CZ39" i="5"/>
  <c r="DA39" i="5" s="1"/>
  <c r="CY56" i="5"/>
  <c r="CY58" i="5"/>
  <c r="CT27" i="1"/>
  <c r="CU27" i="1" s="1"/>
  <c r="CY27" i="1" s="1"/>
  <c r="CT36" i="1"/>
  <c r="CO36" i="1" s="1"/>
  <c r="CP36" i="1" s="1"/>
  <c r="CT35" i="1"/>
  <c r="CU35" i="1" s="1"/>
  <c r="CY35" i="1" s="1"/>
  <c r="BY18" i="1"/>
  <c r="BZ18" i="1" s="1"/>
  <c r="DW18" i="1"/>
  <c r="DY18" i="1" s="1"/>
  <c r="CH18" i="1"/>
  <c r="BL18" i="1"/>
  <c r="CO22" i="1"/>
  <c r="CP22" i="1" s="1"/>
  <c r="DC45" i="5"/>
  <c r="BD29" i="1"/>
  <c r="AR29" i="1"/>
  <c r="BC29" i="1"/>
  <c r="CI29" i="1"/>
  <c r="BB29" i="1"/>
  <c r="BA29" i="1"/>
  <c r="BM29" i="1"/>
  <c r="AZ29" i="1"/>
  <c r="AX29" i="1"/>
  <c r="AY29" i="1"/>
  <c r="CO21" i="1"/>
  <c r="CP21" i="1" s="1"/>
  <c r="CT29" i="1"/>
  <c r="CO29" i="1" s="1"/>
  <c r="CP29" i="1" s="1"/>
  <c r="CU22" i="1"/>
  <c r="CY22" i="1" s="1"/>
  <c r="DA22" i="1" s="1"/>
  <c r="CT26" i="1"/>
  <c r="CO26" i="1" s="1"/>
  <c r="CP26" i="1" s="1"/>
  <c r="CT23" i="1"/>
  <c r="CU23" i="1" s="1"/>
  <c r="CY23" i="1" s="1"/>
  <c r="DA23" i="1" s="1"/>
  <c r="CI28" i="1"/>
  <c r="AZ28" i="1"/>
  <c r="BM28" i="1"/>
  <c r="BA28" i="1"/>
  <c r="BD28" i="1"/>
  <c r="BC28" i="1"/>
  <c r="AR28" i="1"/>
  <c r="BB28" i="1"/>
  <c r="AX28" i="1"/>
  <c r="AY28" i="1"/>
  <c r="CU56" i="5"/>
  <c r="CU59" i="5"/>
  <c r="DB58" i="5"/>
  <c r="DB56" i="5"/>
  <c r="DB59" i="5"/>
  <c r="AQ29" i="2"/>
  <c r="CU58" i="5"/>
  <c r="CU21" i="1"/>
  <c r="CY21" i="1" s="1"/>
  <c r="DA21" i="1" s="1"/>
  <c r="AU58" i="1"/>
  <c r="AT60" i="1"/>
  <c r="AT61" i="1" s="1"/>
  <c r="AT63" i="1" s="1"/>
  <c r="AT64" i="1" s="1"/>
  <c r="AR27" i="1"/>
  <c r="AZ27" i="1"/>
  <c r="BD27" i="1"/>
  <c r="BC27" i="1"/>
  <c r="BB27" i="1"/>
  <c r="CI27" i="1"/>
  <c r="BM27" i="1"/>
  <c r="BA27" i="1"/>
  <c r="AX27" i="1"/>
  <c r="AY27" i="1"/>
  <c r="DC39" i="5"/>
  <c r="BY36" i="14" l="1"/>
  <c r="AS65" i="14"/>
  <c r="EH28" i="14"/>
  <c r="AB21" i="17"/>
  <c r="DI25" i="14"/>
  <c r="CH51" i="15"/>
  <c r="S13" i="14"/>
  <c r="S15" i="14"/>
  <c r="S19" i="14"/>
  <c r="S14" i="14"/>
  <c r="S16" i="14"/>
  <c r="S20" i="14"/>
  <c r="S18" i="14"/>
  <c r="BY33" i="14"/>
  <c r="CB33" i="14" s="1"/>
  <c r="EJ32" i="1"/>
  <c r="EJ38" i="1"/>
  <c r="ED23" i="13"/>
  <c r="O16" i="17"/>
  <c r="AL16" i="17" s="1"/>
  <c r="EC24" i="13"/>
  <c r="O17" i="17"/>
  <c r="AL17" i="17" s="1"/>
  <c r="EC27" i="13"/>
  <c r="O20" i="17"/>
  <c r="AL20" i="17" s="1"/>
  <c r="ED29" i="13"/>
  <c r="O22" i="17"/>
  <c r="AL22" i="17" s="1"/>
  <c r="EC26" i="13"/>
  <c r="O19" i="17"/>
  <c r="AL19" i="17" s="1"/>
  <c r="AK15" i="17"/>
  <c r="AK14" i="17"/>
  <c r="BX21" i="13"/>
  <c r="EW21" i="13" s="1"/>
  <c r="CZ23" i="14"/>
  <c r="DB23" i="14" s="1"/>
  <c r="BY29" i="14"/>
  <c r="EX29" i="14" s="1"/>
  <c r="EP19" i="14"/>
  <c r="EH19" i="14"/>
  <c r="O84" i="14"/>
  <c r="R41" i="1"/>
  <c r="BS19" i="13"/>
  <c r="AE19" i="13"/>
  <c r="O12" i="17" s="1"/>
  <c r="AL12" i="17" s="1"/>
  <c r="CU26" i="1"/>
  <c r="CY26" i="1" s="1"/>
  <c r="CO31" i="1"/>
  <c r="CP31" i="1" s="1"/>
  <c r="BY76" i="1"/>
  <c r="EJ39" i="1"/>
  <c r="EK37" i="14"/>
  <c r="R39" i="1"/>
  <c r="R33" i="2" s="1"/>
  <c r="DE28" i="15"/>
  <c r="DF28" i="15"/>
  <c r="DE34" i="15"/>
  <c r="DF34" i="15"/>
  <c r="CT42" i="15"/>
  <c r="CO42" i="15" s="1"/>
  <c r="CP42" i="15" s="1"/>
  <c r="EP28" i="14"/>
  <c r="BY28" i="14"/>
  <c r="EX28" i="14" s="1"/>
  <c r="Q17" i="14"/>
  <c r="BZ61" i="1"/>
  <c r="CA61" i="1" s="1"/>
  <c r="DS17" i="1"/>
  <c r="DU17" i="1" s="1"/>
  <c r="AJ17" i="1"/>
  <c r="EM17" i="1"/>
  <c r="DK17" i="1"/>
  <c r="CK17" i="1"/>
  <c r="V84" i="1"/>
  <c r="V51" i="1"/>
  <c r="V49" i="1"/>
  <c r="V54" i="1"/>
  <c r="V53" i="1"/>
  <c r="AJ45" i="1"/>
  <c r="CK45" i="1"/>
  <c r="EK17" i="14"/>
  <c r="V19" i="2"/>
  <c r="P45" i="2"/>
  <c r="EJ54" i="14"/>
  <c r="EJ56" i="14"/>
  <c r="AD16" i="13"/>
  <c r="BV16" i="13" s="1"/>
  <c r="BW16" i="14"/>
  <c r="R35" i="2"/>
  <c r="Y41" i="1"/>
  <c r="EZ41" i="1"/>
  <c r="T41" i="1"/>
  <c r="U41" i="1" s="1"/>
  <c r="DE21" i="15"/>
  <c r="DF21" i="15"/>
  <c r="DF37" i="15"/>
  <c r="DE37" i="15"/>
  <c r="AC16" i="13"/>
  <c r="BT16" i="14"/>
  <c r="AE16" i="14"/>
  <c r="AB9" i="17" s="1"/>
  <c r="DF32" i="15"/>
  <c r="DE32" i="15"/>
  <c r="AW58" i="15"/>
  <c r="AV60" i="15"/>
  <c r="AV61" i="15" s="1"/>
  <c r="AV63" i="15" s="1"/>
  <c r="AV64" i="15" s="1"/>
  <c r="DA41" i="15"/>
  <c r="CV41" i="15"/>
  <c r="CU41" i="15"/>
  <c r="CY41" i="15" s="1"/>
  <c r="DB41" i="15" s="1"/>
  <c r="DH41" i="1"/>
  <c r="CT46" i="15"/>
  <c r="CO46" i="15" s="1"/>
  <c r="CP46" i="15" s="1"/>
  <c r="Z16" i="14"/>
  <c r="S16" i="13"/>
  <c r="T16" i="14"/>
  <c r="DF23" i="15"/>
  <c r="DE23" i="15"/>
  <c r="DI17" i="14"/>
  <c r="CL17" i="14"/>
  <c r="DT17" i="14"/>
  <c r="DV17" i="14" s="1"/>
  <c r="CA61" i="14"/>
  <c r="CB61" i="14" s="1"/>
  <c r="EN17" i="14"/>
  <c r="V54" i="14"/>
  <c r="V84" i="14"/>
  <c r="V53" i="14"/>
  <c r="V49" i="14"/>
  <c r="V51" i="14"/>
  <c r="EJ30" i="1"/>
  <c r="DE29" i="15"/>
  <c r="DF29" i="15"/>
  <c r="R50" i="1"/>
  <c r="DF27" i="15"/>
  <c r="DE27" i="15"/>
  <c r="BT14" i="14"/>
  <c r="AC14" i="13"/>
  <c r="AE14" i="14"/>
  <c r="AB7" i="17" s="1"/>
  <c r="Q41" i="14"/>
  <c r="EM41" i="1"/>
  <c r="DS41" i="1"/>
  <c r="DU41" i="1" s="1"/>
  <c r="CK41" i="1"/>
  <c r="CQ41" i="1"/>
  <c r="CO40" i="15"/>
  <c r="CP40" i="15" s="1"/>
  <c r="CV40" i="15"/>
  <c r="DA40" i="15"/>
  <c r="CU40" i="15"/>
  <c r="CY40" i="15" s="1"/>
  <c r="DB40" i="15" s="1"/>
  <c r="BY31" i="14"/>
  <c r="EX31" i="14" s="1"/>
  <c r="DF31" i="15"/>
  <c r="DE31" i="15"/>
  <c r="CU34" i="1"/>
  <c r="CY34" i="1" s="1"/>
  <c r="DB34" i="1" s="1"/>
  <c r="BC40" i="15"/>
  <c r="AK10" i="15"/>
  <c r="BC45" i="15"/>
  <c r="BC44" i="15"/>
  <c r="AK12" i="15"/>
  <c r="AK8" i="15"/>
  <c r="AK7" i="15"/>
  <c r="AK9" i="15"/>
  <c r="AK11" i="15"/>
  <c r="BC46" i="15"/>
  <c r="BO58" i="15"/>
  <c r="BC41" i="15"/>
  <c r="BB58" i="15" s="1"/>
  <c r="BB60" i="15" s="1"/>
  <c r="BB61" i="15" s="1"/>
  <c r="BB63" i="15" s="1"/>
  <c r="BC39" i="15"/>
  <c r="BC42" i="15"/>
  <c r="BC43" i="15"/>
  <c r="AK13" i="15"/>
  <c r="AK21" i="15"/>
  <c r="AK15" i="15"/>
  <c r="AK22" i="15"/>
  <c r="AK19" i="15"/>
  <c r="AK17" i="15"/>
  <c r="AK14" i="15"/>
  <c r="AK20" i="15"/>
  <c r="AK23" i="15"/>
  <c r="AK16" i="15"/>
  <c r="AK24" i="15"/>
  <c r="AK18" i="15"/>
  <c r="BS28" i="13"/>
  <c r="EN32" i="14"/>
  <c r="CR32" i="14"/>
  <c r="CL32" i="14"/>
  <c r="DT32" i="14"/>
  <c r="DV32" i="14" s="1"/>
  <c r="V90" i="14"/>
  <c r="V91" i="14"/>
  <c r="AR65" i="1"/>
  <c r="EJ25" i="1"/>
  <c r="DF30" i="15"/>
  <c r="DE30" i="15"/>
  <c r="DF33" i="15"/>
  <c r="DE33" i="15"/>
  <c r="CL43" i="14"/>
  <c r="CR43" i="14"/>
  <c r="T43" i="1"/>
  <c r="U43" i="1"/>
  <c r="R37" i="2"/>
  <c r="Y43" i="1"/>
  <c r="AE15" i="13"/>
  <c r="O8" i="17" s="1"/>
  <c r="AL8" i="17" s="1"/>
  <c r="BS15" i="13"/>
  <c r="AI24" i="2"/>
  <c r="BF24" i="2"/>
  <c r="AE28" i="13"/>
  <c r="EE28" i="14"/>
  <c r="EH15" i="14"/>
  <c r="EP15" i="14"/>
  <c r="EI54" i="1"/>
  <c r="EI56" i="1"/>
  <c r="EJ56" i="1" s="1"/>
  <c r="EK56" i="1" s="1"/>
  <c r="DT39" i="14"/>
  <c r="DV39" i="14" s="1"/>
  <c r="EN39" i="14"/>
  <c r="AP1" i="14"/>
  <c r="CL39" i="14"/>
  <c r="CR39" i="14"/>
  <c r="Q39" i="14"/>
  <c r="CQ39" i="1"/>
  <c r="AO1" i="1"/>
  <c r="EM39" i="1"/>
  <c r="DS39" i="1"/>
  <c r="DU39" i="1" s="1"/>
  <c r="CK39" i="1"/>
  <c r="DF24" i="15"/>
  <c r="DE24" i="15"/>
  <c r="DD24" i="15"/>
  <c r="DD25" i="15" s="1"/>
  <c r="DD26" i="15" s="1"/>
  <c r="DD27" i="15" s="1"/>
  <c r="DD28" i="15" s="1"/>
  <c r="DD29" i="15" s="1"/>
  <c r="DD30" i="15" s="1"/>
  <c r="DD31" i="15" s="1"/>
  <c r="DD32" i="15" s="1"/>
  <c r="DD33" i="15" s="1"/>
  <c r="DD34" i="15" s="1"/>
  <c r="DD35" i="15" s="1"/>
  <c r="DD36" i="15" s="1"/>
  <c r="DD37" i="15" s="1"/>
  <c r="DD38" i="15" s="1"/>
  <c r="CZ56" i="5"/>
  <c r="CY59" i="5"/>
  <c r="CZ58" i="5"/>
  <c r="DH17" i="1"/>
  <c r="BW14" i="14"/>
  <c r="AD14" i="13"/>
  <c r="BV14" i="13" s="1"/>
  <c r="CL25" i="14"/>
  <c r="CA69" i="14"/>
  <c r="CR25" i="14"/>
  <c r="EN25" i="14"/>
  <c r="DT25" i="14"/>
  <c r="DV25" i="14" s="1"/>
  <c r="V50" i="14"/>
  <c r="CH54" i="15"/>
  <c r="CH53" i="15"/>
  <c r="CH50" i="15"/>
  <c r="R46" i="1"/>
  <c r="R40" i="1"/>
  <c r="R44" i="1"/>
  <c r="R42" i="1"/>
  <c r="CT39" i="15"/>
  <c r="CO39" i="15"/>
  <c r="CP39" i="15" s="1"/>
  <c r="Q37" i="14"/>
  <c r="DS37" i="1"/>
  <c r="DU37" i="1" s="1"/>
  <c r="CK37" i="1"/>
  <c r="CQ37" i="1"/>
  <c r="AJ37" i="1"/>
  <c r="EM37" i="1"/>
  <c r="DF38" i="15"/>
  <c r="DE38" i="15"/>
  <c r="Q43" i="14"/>
  <c r="AC43" i="14" s="1"/>
  <c r="CK43" i="1"/>
  <c r="CQ43" i="1"/>
  <c r="Q32" i="14"/>
  <c r="V90" i="1"/>
  <c r="V91" i="1"/>
  <c r="EM32" i="1"/>
  <c r="CQ32" i="1"/>
  <c r="AJ32" i="1"/>
  <c r="DS32" i="1"/>
  <c r="DU32" i="1" s="1"/>
  <c r="CK32" i="1"/>
  <c r="AE44" i="13"/>
  <c r="O37" i="17" s="1"/>
  <c r="AL37" i="17" s="1"/>
  <c r="BS44" i="13"/>
  <c r="Q38" i="14"/>
  <c r="DS38" i="1"/>
  <c r="DU38" i="1" s="1"/>
  <c r="EM38" i="1"/>
  <c r="CQ38" i="1"/>
  <c r="AJ38" i="1"/>
  <c r="CK38" i="1"/>
  <c r="DF25" i="15"/>
  <c r="DE25" i="15"/>
  <c r="DH37" i="1"/>
  <c r="Q30" i="14"/>
  <c r="EM30" i="1"/>
  <c r="BZ74" i="1"/>
  <c r="CA74" i="1" s="1"/>
  <c r="AR58" i="1" s="1"/>
  <c r="AR60" i="1" s="1"/>
  <c r="AR61" i="1" s="1"/>
  <c r="AR63" i="1" s="1"/>
  <c r="AR64" i="1" s="1"/>
  <c r="CQ30" i="1"/>
  <c r="CK30" i="1"/>
  <c r="DS30" i="1"/>
  <c r="DU30" i="1" s="1"/>
  <c r="AJ30" i="1"/>
  <c r="S14" i="13"/>
  <c r="T14" i="14"/>
  <c r="Z14" i="14"/>
  <c r="AI26" i="2"/>
  <c r="BF26" i="2"/>
  <c r="V11" i="2"/>
  <c r="P48" i="2"/>
  <c r="P53" i="2"/>
  <c r="P55" i="2"/>
  <c r="P43" i="2"/>
  <c r="P54" i="2"/>
  <c r="P47" i="2"/>
  <c r="P44" i="2"/>
  <c r="CL41" i="14"/>
  <c r="CR41" i="14"/>
  <c r="EN41" i="14"/>
  <c r="DT41" i="14"/>
  <c r="DV41" i="14" s="1"/>
  <c r="DT38" i="14"/>
  <c r="DV38" i="14" s="1"/>
  <c r="CL38" i="14"/>
  <c r="CR38" i="14"/>
  <c r="EN38" i="14"/>
  <c r="AI32" i="2"/>
  <c r="BF32" i="2"/>
  <c r="BZ76" i="14"/>
  <c r="Q25" i="14"/>
  <c r="EM25" i="1"/>
  <c r="CQ25" i="1"/>
  <c r="CK25" i="1"/>
  <c r="DS25" i="1"/>
  <c r="DU25" i="1" s="1"/>
  <c r="AJ25" i="1"/>
  <c r="V50" i="1"/>
  <c r="BZ69" i="1"/>
  <c r="EN37" i="14"/>
  <c r="CL37" i="14"/>
  <c r="CR37" i="14"/>
  <c r="DT37" i="14"/>
  <c r="DV37" i="14" s="1"/>
  <c r="CR30" i="14"/>
  <c r="CA74" i="14"/>
  <c r="CB74" i="14" s="1"/>
  <c r="AS58" i="14" s="1"/>
  <c r="AS60" i="14" s="1"/>
  <c r="AS61" i="14" s="1"/>
  <c r="AS63" i="14" s="1"/>
  <c r="AS64" i="14" s="1"/>
  <c r="EN30" i="14"/>
  <c r="CL30" i="14"/>
  <c r="DT30" i="14"/>
  <c r="DV30" i="14" s="1"/>
  <c r="DA44" i="15"/>
  <c r="CV44" i="15"/>
  <c r="CU44" i="15"/>
  <c r="CY44" i="15" s="1"/>
  <c r="DB44" i="15" s="1"/>
  <c r="DA43" i="15"/>
  <c r="CV43" i="15"/>
  <c r="CU43" i="15"/>
  <c r="CY43" i="15" s="1"/>
  <c r="DB43" i="15" s="1"/>
  <c r="AI31" i="2"/>
  <c r="BF31" i="2"/>
  <c r="EX36" i="14"/>
  <c r="CB36" i="14"/>
  <c r="CX21" i="13"/>
  <c r="CB21" i="13"/>
  <c r="EC31" i="13"/>
  <c r="BW34" i="13"/>
  <c r="EG34" i="13"/>
  <c r="EO34" i="13"/>
  <c r="AA34" i="13"/>
  <c r="N27" i="17" s="1"/>
  <c r="EN34" i="13"/>
  <c r="BT34" i="13"/>
  <c r="BT33" i="13"/>
  <c r="EN33" i="13"/>
  <c r="AJ28" i="14"/>
  <c r="AA33" i="13"/>
  <c r="N26" i="17" s="1"/>
  <c r="BW33" i="13"/>
  <c r="EO33" i="13"/>
  <c r="EG33" i="13"/>
  <c r="BT26" i="13"/>
  <c r="CX26" i="13" s="1"/>
  <c r="EN26" i="13"/>
  <c r="EN27" i="13"/>
  <c r="BT27" i="13"/>
  <c r="BW29" i="13"/>
  <c r="AA29" i="13"/>
  <c r="N22" i="17" s="1"/>
  <c r="EO29" i="13"/>
  <c r="EG29" i="13"/>
  <c r="EN29" i="13"/>
  <c r="BT29" i="13"/>
  <c r="CX29" i="13" s="1"/>
  <c r="EN31" i="13"/>
  <c r="BT31" i="13"/>
  <c r="EN42" i="13"/>
  <c r="BT42" i="13"/>
  <c r="AJ33" i="14"/>
  <c r="CX35" i="13"/>
  <c r="AJ29" i="14"/>
  <c r="CY29" i="14"/>
  <c r="AA35" i="13"/>
  <c r="N28" i="17" s="1"/>
  <c r="BW35" i="13"/>
  <c r="EO35" i="13"/>
  <c r="EG35" i="13"/>
  <c r="CY42" i="14"/>
  <c r="BW27" i="13"/>
  <c r="EG27" i="13"/>
  <c r="AA27" i="13"/>
  <c r="N20" i="17" s="1"/>
  <c r="EO27" i="13"/>
  <c r="AJ35" i="14"/>
  <c r="CY28" i="14"/>
  <c r="CZ28" i="14" s="1"/>
  <c r="CA21" i="13"/>
  <c r="AJ34" i="14"/>
  <c r="EN24" i="13"/>
  <c r="BT24" i="13"/>
  <c r="AA23" i="13"/>
  <c r="N16" i="17" s="1"/>
  <c r="BW23" i="13"/>
  <c r="EG23" i="13"/>
  <c r="EO23" i="13"/>
  <c r="BT40" i="13"/>
  <c r="EN40" i="13"/>
  <c r="CY35" i="14"/>
  <c r="ED27" i="13"/>
  <c r="BW31" i="13"/>
  <c r="AA31" i="13"/>
  <c r="N24" i="17" s="1"/>
  <c r="EO31" i="13"/>
  <c r="EG31" i="13"/>
  <c r="ED24" i="13"/>
  <c r="CB28" i="14"/>
  <c r="EC29" i="13"/>
  <c r="EN36" i="13"/>
  <c r="BT36" i="13"/>
  <c r="CY26" i="14"/>
  <c r="CZ26" i="14" s="1"/>
  <c r="AK22" i="14"/>
  <c r="DX22" i="14"/>
  <c r="DZ22" i="14" s="1"/>
  <c r="CI22" i="14"/>
  <c r="BM22" i="14"/>
  <c r="CO22" i="14"/>
  <c r="BZ22" i="14"/>
  <c r="CA22" i="14" s="1"/>
  <c r="DL22" i="14"/>
  <c r="DM22" i="14"/>
  <c r="BY35" i="14"/>
  <c r="BT23" i="13"/>
  <c r="EN23" i="13"/>
  <c r="CY33" i="14"/>
  <c r="CC33" i="14"/>
  <c r="EC23" i="13"/>
  <c r="S18" i="13"/>
  <c r="T18" i="14"/>
  <c r="Z18" i="14"/>
  <c r="CY27" i="14"/>
  <c r="CZ27" i="14" s="1"/>
  <c r="AJ21" i="13"/>
  <c r="CY34" i="14"/>
  <c r="EN28" i="13"/>
  <c r="BT28" i="13"/>
  <c r="AJ24" i="14"/>
  <c r="ED31" i="13"/>
  <c r="CY40" i="14"/>
  <c r="ED26" i="13"/>
  <c r="AJ22" i="13"/>
  <c r="CY31" i="14"/>
  <c r="EO20" i="13"/>
  <c r="EG20" i="13"/>
  <c r="AJ23" i="14"/>
  <c r="BW26" i="13"/>
  <c r="EG26" i="13"/>
  <c r="AA26" i="13"/>
  <c r="N19" i="17" s="1"/>
  <c r="EO26" i="13"/>
  <c r="AJ31" i="14"/>
  <c r="BW24" i="13"/>
  <c r="AA24" i="13"/>
  <c r="N17" i="17" s="1"/>
  <c r="EG24" i="13"/>
  <c r="EO24" i="13"/>
  <c r="CB24" i="14"/>
  <c r="CX22" i="13"/>
  <c r="AD18" i="13"/>
  <c r="BW18" i="14"/>
  <c r="AJ26" i="14"/>
  <c r="BY26" i="14"/>
  <c r="EX22" i="14"/>
  <c r="CB22" i="14"/>
  <c r="AJ27" i="14"/>
  <c r="CC22" i="14"/>
  <c r="BW28" i="13"/>
  <c r="AA28" i="13"/>
  <c r="N21" i="17" s="1"/>
  <c r="DB22" i="1"/>
  <c r="DE22" i="1" s="1"/>
  <c r="AK21" i="14"/>
  <c r="BM21" i="14"/>
  <c r="CI21" i="14"/>
  <c r="BZ21" i="14"/>
  <c r="CA21" i="14" s="1"/>
  <c r="DX21" i="14"/>
  <c r="DZ21" i="14" s="1"/>
  <c r="CO21" i="14"/>
  <c r="CU21" i="14" s="1"/>
  <c r="DL21" i="14"/>
  <c r="DM21" i="14"/>
  <c r="EX33" i="14"/>
  <c r="BY23" i="14"/>
  <c r="BW36" i="13"/>
  <c r="AA36" i="13"/>
  <c r="N29" i="17" s="1"/>
  <c r="EG36" i="13"/>
  <c r="EO36" i="13"/>
  <c r="AC18" i="13"/>
  <c r="AE18" i="14"/>
  <c r="AB11" i="17" s="1"/>
  <c r="BT18" i="14"/>
  <c r="CY24" i="14"/>
  <c r="CC24" i="14"/>
  <c r="CY36" i="14"/>
  <c r="CC36" i="14"/>
  <c r="AJ36" i="14"/>
  <c r="BY34" i="14"/>
  <c r="BY27" i="14"/>
  <c r="CC27" i="14" s="1"/>
  <c r="BX22" i="13"/>
  <c r="CB22" i="13" s="1"/>
  <c r="CZ22" i="14"/>
  <c r="DB22" i="14" s="1"/>
  <c r="DA28" i="1"/>
  <c r="DA27" i="1"/>
  <c r="DB27" i="1"/>
  <c r="CO27" i="1"/>
  <c r="CP27" i="1" s="1"/>
  <c r="DA59" i="5"/>
  <c r="DA56" i="5"/>
  <c r="DA58" i="5"/>
  <c r="DA33" i="1"/>
  <c r="DB33" i="1"/>
  <c r="CV33" i="1"/>
  <c r="AV58" i="1"/>
  <c r="AU60" i="1"/>
  <c r="AU61" i="1" s="1"/>
  <c r="AU63" i="1" s="1"/>
  <c r="AU64" i="1" s="1"/>
  <c r="DA29" i="1"/>
  <c r="CO33" i="1"/>
  <c r="CP33" i="1" s="1"/>
  <c r="CZ59" i="5"/>
  <c r="DA31" i="1"/>
  <c r="DB31" i="1"/>
  <c r="CU29" i="1"/>
  <c r="CY29" i="1" s="1"/>
  <c r="DB29" i="1" s="1"/>
  <c r="DA36" i="1"/>
  <c r="CV36" i="1"/>
  <c r="DA24" i="1"/>
  <c r="DC44" i="5"/>
  <c r="DC58" i="5" s="1"/>
  <c r="DA34" i="1"/>
  <c r="CV34" i="1"/>
  <c r="DB23" i="1"/>
  <c r="CU28" i="1"/>
  <c r="CY28" i="1" s="1"/>
  <c r="DB28" i="1" s="1"/>
  <c r="CO23" i="1"/>
  <c r="CP23" i="1" s="1"/>
  <c r="DA35" i="1"/>
  <c r="DB35" i="1"/>
  <c r="CV35" i="1"/>
  <c r="CU24" i="1"/>
  <c r="CY24" i="1" s="1"/>
  <c r="DB24" i="1" s="1"/>
  <c r="CO35" i="1"/>
  <c r="CP35" i="1" s="1"/>
  <c r="BF12" i="2"/>
  <c r="CU36" i="1"/>
  <c r="CY36" i="1" s="1"/>
  <c r="DB36" i="1" s="1"/>
  <c r="DA26" i="1"/>
  <c r="DB26" i="1"/>
  <c r="DB21" i="1"/>
  <c r="Z15" i="14" l="1"/>
  <c r="T15" i="14"/>
  <c r="S15" i="13"/>
  <c r="EZ39" i="1"/>
  <c r="R51" i="1"/>
  <c r="S13" i="13"/>
  <c r="T13" i="14"/>
  <c r="Z13" i="14"/>
  <c r="T39" i="1"/>
  <c r="U39" i="1" s="1"/>
  <c r="CB29" i="14"/>
  <c r="Y39" i="1"/>
  <c r="Z20" i="14"/>
  <c r="S20" i="13"/>
  <c r="T20" i="14"/>
  <c r="CC29" i="14"/>
  <c r="T19" i="14"/>
  <c r="Z19" i="14"/>
  <c r="S19" i="13"/>
  <c r="BX23" i="13"/>
  <c r="CB23" i="13" s="1"/>
  <c r="ED28" i="13"/>
  <c r="O21" i="17"/>
  <c r="AL21" i="17" s="1"/>
  <c r="BX24" i="13"/>
  <c r="EW24" i="13" s="1"/>
  <c r="BX34" i="13"/>
  <c r="EW34" i="13" s="1"/>
  <c r="AK24" i="17"/>
  <c r="AK20" i="17"/>
  <c r="AK19" i="17"/>
  <c r="AK21" i="17"/>
  <c r="AK22" i="17"/>
  <c r="AK26" i="17"/>
  <c r="AK29" i="17"/>
  <c r="AK27" i="17"/>
  <c r="AK16" i="17"/>
  <c r="AK28" i="17"/>
  <c r="AK17" i="17"/>
  <c r="CC28" i="14"/>
  <c r="CB31" i="14"/>
  <c r="BX31" i="13"/>
  <c r="EW31" i="13" s="1"/>
  <c r="CC31" i="14"/>
  <c r="EG19" i="13"/>
  <c r="EO19" i="13"/>
  <c r="BX33" i="13"/>
  <c r="EW33" i="13" s="1"/>
  <c r="DF22" i="1"/>
  <c r="EO28" i="13"/>
  <c r="EP11" i="15"/>
  <c r="CC11" i="15"/>
  <c r="AL11" i="15"/>
  <c r="CT41" i="14"/>
  <c r="CS41" i="14"/>
  <c r="CV41" i="14" s="1"/>
  <c r="AD43" i="14"/>
  <c r="R43" i="14"/>
  <c r="EP9" i="15"/>
  <c r="CC9" i="15"/>
  <c r="AL9" i="15"/>
  <c r="CL51" i="14"/>
  <c r="CL54" i="14"/>
  <c r="CL53" i="14"/>
  <c r="EK56" i="14"/>
  <c r="EL56" i="14" s="1"/>
  <c r="CC14" i="15"/>
  <c r="EP14" i="15"/>
  <c r="FB14" i="15"/>
  <c r="AL14" i="15"/>
  <c r="CC8" i="15"/>
  <c r="EP8" i="15"/>
  <c r="AL8" i="15"/>
  <c r="DI53" i="14"/>
  <c r="DI54" i="14"/>
  <c r="DI51" i="14"/>
  <c r="EP16" i="14"/>
  <c r="EH16" i="14"/>
  <c r="CH17" i="1"/>
  <c r="BY17" i="1"/>
  <c r="BZ17" i="1" s="1"/>
  <c r="BL17" i="1"/>
  <c r="DW17" i="1"/>
  <c r="DY17" i="1" s="1"/>
  <c r="AJ78" i="1"/>
  <c r="AK78" i="1" s="1"/>
  <c r="AJ49" i="1"/>
  <c r="AJ84" i="1"/>
  <c r="AL30" i="1"/>
  <c r="BL30" i="1"/>
  <c r="DL30" i="1"/>
  <c r="DK30" i="1"/>
  <c r="BY30" i="1"/>
  <c r="BZ30" i="1" s="1"/>
  <c r="CN30" i="1"/>
  <c r="CH30" i="1"/>
  <c r="DW30" i="1"/>
  <c r="DY30" i="1" s="1"/>
  <c r="EP23" i="15"/>
  <c r="CC23" i="15"/>
  <c r="FB23" i="15"/>
  <c r="AL23" i="15"/>
  <c r="BC23" i="15" s="1"/>
  <c r="AL25" i="1"/>
  <c r="CH25" i="1"/>
  <c r="BY25" i="1"/>
  <c r="BZ25" i="1" s="1"/>
  <c r="BL25" i="1"/>
  <c r="CN25" i="1"/>
  <c r="CT25" i="1" s="1"/>
  <c r="DW25" i="1"/>
  <c r="DY25" i="1" s="1"/>
  <c r="DL25" i="1"/>
  <c r="DK25" i="1"/>
  <c r="AC38" i="14"/>
  <c r="AD38" i="14"/>
  <c r="R38" i="14"/>
  <c r="EP20" i="15"/>
  <c r="CC20" i="15"/>
  <c r="FB20" i="15"/>
  <c r="AL20" i="15"/>
  <c r="EP7" i="15"/>
  <c r="AL7" i="15"/>
  <c r="CC7" i="15"/>
  <c r="EG28" i="13"/>
  <c r="DF44" i="15"/>
  <c r="DE44" i="15"/>
  <c r="CS41" i="1"/>
  <c r="CR41" i="1"/>
  <c r="CK50" i="1"/>
  <c r="CR30" i="1"/>
  <c r="CS30" i="1"/>
  <c r="CC17" i="15"/>
  <c r="EP17" i="15"/>
  <c r="FB17" i="15"/>
  <c r="AL17" i="15"/>
  <c r="BC17" i="15" s="1"/>
  <c r="CC12" i="15"/>
  <c r="EP12" i="15"/>
  <c r="AL12" i="15"/>
  <c r="EG39" i="1"/>
  <c r="EO39" i="1"/>
  <c r="BW39" i="1"/>
  <c r="BX39" i="1" s="1"/>
  <c r="AA39" i="1"/>
  <c r="AW60" i="15"/>
  <c r="AW61" i="15" s="1"/>
  <c r="AW63" i="15" s="1"/>
  <c r="AW64" i="15" s="1"/>
  <c r="AX58" i="15"/>
  <c r="EO16" i="14"/>
  <c r="BU16" i="14"/>
  <c r="BY16" i="14" s="1"/>
  <c r="AA16" i="14"/>
  <c r="AA9" i="17" s="1"/>
  <c r="CH32" i="1"/>
  <c r="AL32" i="1"/>
  <c r="AQ26" i="2" s="1"/>
  <c r="BL32" i="1"/>
  <c r="DL32" i="1"/>
  <c r="DK32" i="1"/>
  <c r="AS62" i="1"/>
  <c r="BY32" i="1"/>
  <c r="BZ32" i="1" s="1"/>
  <c r="DW32" i="1"/>
  <c r="DY32" i="1" s="1"/>
  <c r="CN32" i="1"/>
  <c r="AS61" i="1"/>
  <c r="R37" i="14"/>
  <c r="AC37" i="14"/>
  <c r="AD37" i="14"/>
  <c r="CS39" i="1"/>
  <c r="CR39" i="1"/>
  <c r="EG15" i="13"/>
  <c r="EO15" i="13"/>
  <c r="AK49" i="15"/>
  <c r="AK84" i="15"/>
  <c r="EP13" i="15"/>
  <c r="CC13" i="15"/>
  <c r="AL13" i="15"/>
  <c r="BC13" i="15"/>
  <c r="FB13" i="15"/>
  <c r="AE14" i="13"/>
  <c r="O7" i="17" s="1"/>
  <c r="AL7" i="17" s="1"/>
  <c r="BS14" i="13"/>
  <c r="BF62" i="1"/>
  <c r="CN45" i="1"/>
  <c r="CH45" i="1"/>
  <c r="AX62" i="1"/>
  <c r="CN37" i="1"/>
  <c r="CT37" i="1" s="1"/>
  <c r="BL37" i="1"/>
  <c r="DW37" i="1"/>
  <c r="DY37" i="1" s="1"/>
  <c r="AL37" i="1"/>
  <c r="CH37" i="1"/>
  <c r="BY37" i="1"/>
  <c r="BZ37" i="1" s="1"/>
  <c r="CS37" i="1"/>
  <c r="CR37" i="1"/>
  <c r="CC22" i="15"/>
  <c r="EP22" i="15"/>
  <c r="FB22" i="15"/>
  <c r="AL22" i="15"/>
  <c r="AD17" i="14"/>
  <c r="AC17" i="14"/>
  <c r="Q84" i="14"/>
  <c r="R25" i="14"/>
  <c r="AD25" i="14"/>
  <c r="AC25" i="14"/>
  <c r="CB69" i="14"/>
  <c r="CA76" i="14"/>
  <c r="CB76" i="14" s="1"/>
  <c r="BG24" i="2"/>
  <c r="AR24" i="2"/>
  <c r="AJ24" i="2"/>
  <c r="CR24" i="2"/>
  <c r="EP15" i="15"/>
  <c r="CC15" i="15"/>
  <c r="FB15" i="15"/>
  <c r="AL15" i="15"/>
  <c r="BC15" i="15" s="1"/>
  <c r="T16" i="13"/>
  <c r="Z16" i="13"/>
  <c r="CC21" i="15"/>
  <c r="EP21" i="15"/>
  <c r="FB21" i="15"/>
  <c r="AL21" i="15"/>
  <c r="BC21" i="15" s="1"/>
  <c r="BG32" i="2"/>
  <c r="AR32" i="2"/>
  <c r="AJ32" i="2"/>
  <c r="CR32" i="1"/>
  <c r="CS32" i="1"/>
  <c r="AC39" i="14"/>
  <c r="AD39" i="14"/>
  <c r="R39" i="14"/>
  <c r="BW43" i="1"/>
  <c r="BX43" i="1" s="1"/>
  <c r="AA43" i="1"/>
  <c r="AJ43" i="1" s="1"/>
  <c r="CV46" i="15"/>
  <c r="DA46" i="15"/>
  <c r="CU46" i="15"/>
  <c r="CY46" i="15" s="1"/>
  <c r="DB46" i="15" s="1"/>
  <c r="R45" i="14"/>
  <c r="T45" i="14" s="1"/>
  <c r="AD45" i="14"/>
  <c r="AD45" i="13" s="1"/>
  <c r="AC45" i="14"/>
  <c r="CV42" i="15"/>
  <c r="DA42" i="15"/>
  <c r="CU42" i="15"/>
  <c r="CY42" i="15" s="1"/>
  <c r="DB42" i="15" s="1"/>
  <c r="CV39" i="15"/>
  <c r="DA39" i="15"/>
  <c r="CU39" i="15"/>
  <c r="CY39" i="15" s="1"/>
  <c r="DB39" i="15" s="1"/>
  <c r="CT39" i="14"/>
  <c r="CS39" i="14"/>
  <c r="CV39" i="14" s="1"/>
  <c r="Y37" i="2"/>
  <c r="AA37" i="2" s="1"/>
  <c r="AG37" i="2" s="1"/>
  <c r="BF37" i="2" s="1"/>
  <c r="T37" i="2"/>
  <c r="CS32" i="14"/>
  <c r="CV32" i="14" s="1"/>
  <c r="CT32" i="14"/>
  <c r="BD58" i="15"/>
  <c r="BD60" i="15" s="1"/>
  <c r="BD61" i="15" s="1"/>
  <c r="BD63" i="15" s="1"/>
  <c r="BC58" i="15"/>
  <c r="BC60" i="15" s="1"/>
  <c r="BC61" i="15" s="1"/>
  <c r="BC63" i="15" s="1"/>
  <c r="AE16" i="13"/>
  <c r="O9" i="17" s="1"/>
  <c r="AL9" i="17" s="1"/>
  <c r="BS16" i="13"/>
  <c r="CT25" i="14"/>
  <c r="CS25" i="14"/>
  <c r="CV25" i="14" s="1"/>
  <c r="AG11" i="2"/>
  <c r="V43" i="2"/>
  <c r="V54" i="2"/>
  <c r="Q54" i="2" s="1"/>
  <c r="V48" i="2"/>
  <c r="V44" i="2"/>
  <c r="V53" i="2"/>
  <c r="Q53" i="2" s="1"/>
  <c r="V55" i="2"/>
  <c r="Q55" i="2" s="1"/>
  <c r="V47" i="2"/>
  <c r="BX36" i="13"/>
  <c r="CB36" i="13" s="1"/>
  <c r="AJ31" i="2"/>
  <c r="AR31" i="2"/>
  <c r="BG31" i="2"/>
  <c r="AQ31" i="2"/>
  <c r="CS37" i="14"/>
  <c r="CT37" i="14"/>
  <c r="CS38" i="14"/>
  <c r="CV38" i="14" s="1"/>
  <c r="CT38" i="14"/>
  <c r="CR26" i="2"/>
  <c r="BG26" i="2"/>
  <c r="AJ26" i="2"/>
  <c r="AR26" i="2"/>
  <c r="T42" i="1"/>
  <c r="U42" i="1" s="1"/>
  <c r="R36" i="2"/>
  <c r="R44" i="2" s="1"/>
  <c r="EZ42" i="1"/>
  <c r="Y42" i="1"/>
  <c r="R42" i="14"/>
  <c r="DH53" i="1"/>
  <c r="DH51" i="1"/>
  <c r="DH54" i="1"/>
  <c r="AZ58" i="15"/>
  <c r="BA58" i="15"/>
  <c r="BA60" i="15" s="1"/>
  <c r="BA61" i="15" s="1"/>
  <c r="BA63" i="15" s="1"/>
  <c r="DF41" i="15"/>
  <c r="DE41" i="15"/>
  <c r="BX28" i="13"/>
  <c r="CB28" i="13" s="1"/>
  <c r="R44" i="14"/>
  <c r="R38" i="2"/>
  <c r="Y44" i="1"/>
  <c r="AK41" i="15"/>
  <c r="BB64" i="15"/>
  <c r="EG41" i="1"/>
  <c r="AA41" i="1"/>
  <c r="AJ41" i="1" s="1"/>
  <c r="BW41" i="1"/>
  <c r="BX41" i="1" s="1"/>
  <c r="EO41" i="1"/>
  <c r="CA69" i="1"/>
  <c r="BZ76" i="1"/>
  <c r="CA76" i="1" s="1"/>
  <c r="BU14" i="14"/>
  <c r="BY14" i="14" s="1"/>
  <c r="EO14" i="14"/>
  <c r="AA14" i="14"/>
  <c r="AA7" i="17" s="1"/>
  <c r="AL38" i="1"/>
  <c r="AQ32" i="2" s="1"/>
  <c r="AY62" i="1"/>
  <c r="CH38" i="1"/>
  <c r="DW38" i="1"/>
  <c r="DY38" i="1" s="1"/>
  <c r="BY38" i="1"/>
  <c r="BZ38" i="1" s="1"/>
  <c r="BL38" i="1"/>
  <c r="CN38" i="1"/>
  <c r="CT38" i="1" s="1"/>
  <c r="R32" i="14"/>
  <c r="AC32" i="14"/>
  <c r="AD32" i="14"/>
  <c r="R40" i="14"/>
  <c r="R40" i="13"/>
  <c r="R34" i="2"/>
  <c r="Y40" i="1"/>
  <c r="EZ40" i="1"/>
  <c r="T40" i="1"/>
  <c r="U40" i="1" s="1"/>
  <c r="EC28" i="13"/>
  <c r="EP18" i="15"/>
  <c r="CC18" i="15"/>
  <c r="FB18" i="15"/>
  <c r="AL18" i="15"/>
  <c r="BO60" i="15"/>
  <c r="BO61" i="15" s="1"/>
  <c r="BO63" i="15" s="1"/>
  <c r="BO64" i="15" s="1"/>
  <c r="BC66" i="15"/>
  <c r="DE40" i="15"/>
  <c r="DF40" i="15"/>
  <c r="R53" i="1"/>
  <c r="T35" i="2"/>
  <c r="Y35" i="2"/>
  <c r="AA35" i="2" s="1"/>
  <c r="AG35" i="2" s="1"/>
  <c r="BF35" i="2" s="1"/>
  <c r="T14" i="13"/>
  <c r="Z14" i="13"/>
  <c r="EP16" i="15"/>
  <c r="CC16" i="15"/>
  <c r="FB16" i="15"/>
  <c r="AL16" i="15"/>
  <c r="CK54" i="1"/>
  <c r="CK53" i="1"/>
  <c r="CK51" i="1"/>
  <c r="CS25" i="1"/>
  <c r="CR25" i="1"/>
  <c r="CC19" i="15"/>
  <c r="EP19" i="15"/>
  <c r="FB19" i="15"/>
  <c r="AL19" i="15"/>
  <c r="AG19" i="2"/>
  <c r="V45" i="2"/>
  <c r="T33" i="2"/>
  <c r="Y33" i="2"/>
  <c r="AC30" i="14"/>
  <c r="AD30" i="14"/>
  <c r="R30" i="14"/>
  <c r="CC10" i="15"/>
  <c r="EP10" i="15"/>
  <c r="AL10" i="15"/>
  <c r="AC41" i="14"/>
  <c r="AD41" i="14"/>
  <c r="CL50" i="14"/>
  <c r="EP14" i="14"/>
  <c r="EH14" i="14"/>
  <c r="CT30" i="14"/>
  <c r="CS30" i="14"/>
  <c r="CV30" i="14" s="1"/>
  <c r="DF43" i="15"/>
  <c r="DE43" i="15"/>
  <c r="BX29" i="13"/>
  <c r="CA29" i="13" s="1"/>
  <c r="CR38" i="1"/>
  <c r="CU38" i="1" s="1"/>
  <c r="CY38" i="1" s="1"/>
  <c r="CS38" i="1"/>
  <c r="CS43" i="1"/>
  <c r="CR43" i="1"/>
  <c r="Y46" i="1"/>
  <c r="R40" i="2"/>
  <c r="T46" i="1"/>
  <c r="U46" i="1" s="1"/>
  <c r="R46" i="14"/>
  <c r="R46" i="13"/>
  <c r="CS43" i="14"/>
  <c r="CV43" i="14" s="1"/>
  <c r="CT43" i="14"/>
  <c r="CC24" i="15"/>
  <c r="EP24" i="15"/>
  <c r="BC24" i="15"/>
  <c r="FB24" i="15"/>
  <c r="AL24" i="15"/>
  <c r="BE58" i="15"/>
  <c r="BE60" i="15" s="1"/>
  <c r="BE61" i="15" s="1"/>
  <c r="BE63" i="15" s="1"/>
  <c r="BG58" i="15"/>
  <c r="BG60" i="15" s="1"/>
  <c r="BG61" i="15" s="1"/>
  <c r="BG63" i="15" s="1"/>
  <c r="BF58" i="15"/>
  <c r="BF60" i="15" s="1"/>
  <c r="BF61" i="15" s="1"/>
  <c r="BF63" i="15" s="1"/>
  <c r="R54" i="1"/>
  <c r="R41" i="14"/>
  <c r="AJ24" i="13"/>
  <c r="CX24" i="13"/>
  <c r="CB24" i="13"/>
  <c r="EX26" i="14"/>
  <c r="CB26" i="14"/>
  <c r="AK35" i="14"/>
  <c r="AL35" i="14" s="1"/>
  <c r="AC28" i="17" s="1"/>
  <c r="AD28" i="17" s="1"/>
  <c r="DX35" i="14"/>
  <c r="DZ35" i="14" s="1"/>
  <c r="BM35" i="14"/>
  <c r="CI35" i="14"/>
  <c r="CO35" i="14"/>
  <c r="BZ35" i="14"/>
  <c r="CA35" i="14" s="1"/>
  <c r="AW62" i="14"/>
  <c r="EH18" i="14"/>
  <c r="EP18" i="14"/>
  <c r="CC23" i="14"/>
  <c r="EX23" i="14"/>
  <c r="CB23" i="14"/>
  <c r="AK26" i="14"/>
  <c r="AL26" i="14" s="1"/>
  <c r="AC19" i="17" s="1"/>
  <c r="AD19" i="17" s="1"/>
  <c r="CI26" i="14"/>
  <c r="BM26" i="14"/>
  <c r="DX26" i="14"/>
  <c r="DZ26" i="14" s="1"/>
  <c r="CO26" i="14"/>
  <c r="CU26" i="14" s="1"/>
  <c r="BZ26" i="14"/>
  <c r="CA26" i="14" s="1"/>
  <c r="DM26" i="14"/>
  <c r="DL26" i="14"/>
  <c r="CZ40" i="14"/>
  <c r="CC26" i="14"/>
  <c r="AK28" i="14"/>
  <c r="AL28" i="14" s="1"/>
  <c r="AC21" i="17" s="1"/>
  <c r="AD21" i="17" s="1"/>
  <c r="CI28" i="14"/>
  <c r="CO28" i="14"/>
  <c r="CU28" i="14" s="1"/>
  <c r="DC28" i="14" s="1"/>
  <c r="BZ28" i="14"/>
  <c r="CA28" i="14" s="1"/>
  <c r="BM28" i="14"/>
  <c r="DX28" i="14"/>
  <c r="DZ28" i="14" s="1"/>
  <c r="DM28" i="14"/>
  <c r="DL28" i="14"/>
  <c r="CX33" i="13"/>
  <c r="CB33" i="13"/>
  <c r="CZ33" i="14"/>
  <c r="CU22" i="14"/>
  <c r="DC22" i="14" s="1"/>
  <c r="CZ29" i="14"/>
  <c r="CZ31" i="14"/>
  <c r="AJ35" i="13"/>
  <c r="EW22" i="13"/>
  <c r="CA22" i="13"/>
  <c r="AK36" i="14"/>
  <c r="AL36" i="14" s="1"/>
  <c r="AC29" i="17" s="1"/>
  <c r="AD29" i="17" s="1"/>
  <c r="CI36" i="14"/>
  <c r="CO36" i="14"/>
  <c r="BZ36" i="14"/>
  <c r="CA36" i="14" s="1"/>
  <c r="DX36" i="14"/>
  <c r="DZ36" i="14" s="1"/>
  <c r="BM36" i="14"/>
  <c r="AX62" i="14"/>
  <c r="BS18" i="13"/>
  <c r="AE18" i="13"/>
  <c r="O11" i="17" s="1"/>
  <c r="AL11" i="17" s="1"/>
  <c r="AK27" i="14"/>
  <c r="AL27" i="14" s="1"/>
  <c r="AC20" i="17" s="1"/>
  <c r="AD20" i="17" s="1"/>
  <c r="BZ27" i="14"/>
  <c r="CA27" i="14" s="1"/>
  <c r="CI27" i="14"/>
  <c r="DX27" i="14"/>
  <c r="DZ27" i="14" s="1"/>
  <c r="BM27" i="14"/>
  <c r="CO27" i="14"/>
  <c r="CU27" i="14" s="1"/>
  <c r="DC27" i="14" s="1"/>
  <c r="DL27" i="14"/>
  <c r="DM27" i="14"/>
  <c r="AJ26" i="13"/>
  <c r="T18" i="13"/>
  <c r="Z18" i="13"/>
  <c r="BX26" i="13"/>
  <c r="CX40" i="13"/>
  <c r="AK34" i="14"/>
  <c r="AL34" i="14" s="1"/>
  <c r="AC27" i="17" s="1"/>
  <c r="AD27" i="17" s="1"/>
  <c r="BM34" i="14"/>
  <c r="CI34" i="14"/>
  <c r="BZ34" i="14"/>
  <c r="CA34" i="14" s="1"/>
  <c r="DX34" i="14"/>
  <c r="DZ34" i="14" s="1"/>
  <c r="AV62" i="14"/>
  <c r="CO34" i="14"/>
  <c r="CU34" i="14" s="1"/>
  <c r="AK29" i="14"/>
  <c r="AL29" i="14" s="1"/>
  <c r="AC22" i="17" s="1"/>
  <c r="AD22" i="17" s="1"/>
  <c r="CO29" i="14"/>
  <c r="BZ29" i="14"/>
  <c r="CA29" i="14" s="1"/>
  <c r="DX29" i="14"/>
  <c r="DZ29" i="14" s="1"/>
  <c r="BM29" i="14"/>
  <c r="CI29" i="14"/>
  <c r="DM29" i="14"/>
  <c r="DL29" i="14"/>
  <c r="CX42" i="13"/>
  <c r="AJ29" i="13"/>
  <c r="CX34" i="13"/>
  <c r="AJ34" i="13"/>
  <c r="BX35" i="13"/>
  <c r="CB35" i="13" s="1"/>
  <c r="BU18" i="14"/>
  <c r="BY18" i="14" s="1"/>
  <c r="EO18" i="14"/>
  <c r="AA18" i="14"/>
  <c r="AA11" i="17" s="1"/>
  <c r="BV18" i="13"/>
  <c r="CN22" i="13"/>
  <c r="BY22" i="13"/>
  <c r="BZ22" i="13" s="1"/>
  <c r="DW22" i="13"/>
  <c r="DY22" i="13" s="1"/>
  <c r="CH22" i="13"/>
  <c r="BL22" i="13"/>
  <c r="DK22" i="13"/>
  <c r="DL22" i="13"/>
  <c r="CZ42" i="14"/>
  <c r="CX28" i="13"/>
  <c r="CX27" i="13"/>
  <c r="CP21" i="14"/>
  <c r="CQ21" i="14" s="1"/>
  <c r="CV21" i="14"/>
  <c r="CZ21" i="14" s="1"/>
  <c r="DB21" i="14" s="1"/>
  <c r="EX27" i="14"/>
  <c r="CB27" i="14"/>
  <c r="EX34" i="14"/>
  <c r="CB34" i="14"/>
  <c r="AJ28" i="13"/>
  <c r="AK23" i="14"/>
  <c r="DX23" i="14"/>
  <c r="DZ23" i="14" s="1"/>
  <c r="BZ23" i="14"/>
  <c r="CA23" i="14" s="1"/>
  <c r="CO23" i="14"/>
  <c r="CI23" i="14"/>
  <c r="BM23" i="14"/>
  <c r="DL23" i="14"/>
  <c r="DM23" i="14"/>
  <c r="CX23" i="13"/>
  <c r="CX36" i="13"/>
  <c r="AJ27" i="13"/>
  <c r="AK33" i="14"/>
  <c r="AL33" i="14" s="1"/>
  <c r="AC26" i="17" s="1"/>
  <c r="AD26" i="17" s="1"/>
  <c r="BZ33" i="14"/>
  <c r="CA33" i="14" s="1"/>
  <c r="DX33" i="14"/>
  <c r="DZ33" i="14" s="1"/>
  <c r="CI33" i="14"/>
  <c r="BM33" i="14"/>
  <c r="AU62" i="14"/>
  <c r="CO33" i="14"/>
  <c r="CU33" i="14" s="1"/>
  <c r="CW33" i="14" s="1"/>
  <c r="CZ24" i="14"/>
  <c r="AK31" i="14"/>
  <c r="AL31" i="14" s="1"/>
  <c r="AC24" i="17" s="1"/>
  <c r="AD24" i="17" s="1"/>
  <c r="CI31" i="14"/>
  <c r="BZ31" i="14"/>
  <c r="CA31" i="14" s="1"/>
  <c r="DX31" i="14"/>
  <c r="DZ31" i="14" s="1"/>
  <c r="CO31" i="14"/>
  <c r="BM31" i="14"/>
  <c r="DL31" i="14"/>
  <c r="DM31" i="14"/>
  <c r="EW23" i="13"/>
  <c r="AK24" i="14"/>
  <c r="CI24" i="14"/>
  <c r="BM24" i="14"/>
  <c r="BZ24" i="14"/>
  <c r="CA24" i="14" s="1"/>
  <c r="CO24" i="14"/>
  <c r="CU24" i="14" s="1"/>
  <c r="DX24" i="14"/>
  <c r="DZ24" i="14" s="1"/>
  <c r="DL24" i="14"/>
  <c r="DM24" i="14"/>
  <c r="CC34" i="14"/>
  <c r="CH21" i="13"/>
  <c r="BY21" i="13"/>
  <c r="BZ21" i="13" s="1"/>
  <c r="CN21" i="13"/>
  <c r="BL21" i="13"/>
  <c r="DW21" i="13"/>
  <c r="DY21" i="13" s="1"/>
  <c r="DL21" i="13"/>
  <c r="DK21" i="13"/>
  <c r="EX35" i="14"/>
  <c r="CB35" i="14"/>
  <c r="CC35" i="14"/>
  <c r="AJ23" i="13"/>
  <c r="AJ33" i="13"/>
  <c r="CA34" i="13"/>
  <c r="AJ36" i="13"/>
  <c r="CZ34" i="14"/>
  <c r="BX27" i="13"/>
  <c r="CB27" i="13" s="1"/>
  <c r="CA24" i="13"/>
  <c r="AJ31" i="13"/>
  <c r="CZ35" i="14"/>
  <c r="CX31" i="13"/>
  <c r="DF29" i="1"/>
  <c r="DE29" i="1"/>
  <c r="DE36" i="1"/>
  <c r="DF36" i="1"/>
  <c r="AV60" i="1"/>
  <c r="AV61" i="1" s="1"/>
  <c r="AV63" i="1" s="1"/>
  <c r="AV64" i="1" s="1"/>
  <c r="AW58" i="1"/>
  <c r="DE24" i="1"/>
  <c r="DF24" i="1"/>
  <c r="DD24" i="1"/>
  <c r="DF26" i="1"/>
  <c r="DE26" i="1"/>
  <c r="DE33" i="1"/>
  <c r="DF33" i="1"/>
  <c r="DC59" i="5"/>
  <c r="DC56" i="5"/>
  <c r="DE35" i="1"/>
  <c r="DF35" i="1"/>
  <c r="DF34" i="1"/>
  <c r="DE34" i="1"/>
  <c r="DE28" i="1"/>
  <c r="DF28" i="1"/>
  <c r="DF31" i="1"/>
  <c r="DE31" i="1"/>
  <c r="DF27" i="1"/>
  <c r="DE27" i="1"/>
  <c r="DF21" i="1"/>
  <c r="DE21" i="1"/>
  <c r="DE23" i="1"/>
  <c r="DF23" i="1"/>
  <c r="AA13" i="14" l="1"/>
  <c r="EO13" i="14"/>
  <c r="BU13" i="14"/>
  <c r="BY13" i="14" s="1"/>
  <c r="T13" i="13"/>
  <c r="Z13" i="13"/>
  <c r="T20" i="13"/>
  <c r="Z20" i="13"/>
  <c r="R45" i="2"/>
  <c r="BU20" i="14"/>
  <c r="AA20" i="14"/>
  <c r="EO20" i="14"/>
  <c r="AS63" i="1"/>
  <c r="AS64" i="1" s="1"/>
  <c r="T15" i="13"/>
  <c r="Z15" i="13"/>
  <c r="Y44" i="14"/>
  <c r="T44" i="14"/>
  <c r="T19" i="13"/>
  <c r="Z19" i="13"/>
  <c r="BU19" i="14"/>
  <c r="EO19" i="14"/>
  <c r="AA19" i="14"/>
  <c r="AA15" i="14"/>
  <c r="BU15" i="14"/>
  <c r="EO15" i="14"/>
  <c r="CB29" i="13"/>
  <c r="CB34" i="13"/>
  <c r="CA23" i="13"/>
  <c r="CB31" i="13"/>
  <c r="CA36" i="13"/>
  <c r="AM26" i="14"/>
  <c r="AF19" i="17" s="1"/>
  <c r="EW36" i="13"/>
  <c r="DC34" i="14"/>
  <c r="DF34" i="14" s="1"/>
  <c r="DC24" i="14"/>
  <c r="AM28" i="14"/>
  <c r="CA33" i="13"/>
  <c r="CA28" i="13"/>
  <c r="T54" i="1"/>
  <c r="CW34" i="14"/>
  <c r="R48" i="2"/>
  <c r="CA31" i="13"/>
  <c r="DE39" i="15"/>
  <c r="DF39" i="15"/>
  <c r="DD39" i="15"/>
  <c r="DD40" i="15" s="1"/>
  <c r="DD41" i="15" s="1"/>
  <c r="DD42" i="15" s="1"/>
  <c r="DD43" i="15" s="1"/>
  <c r="DD44" i="15" s="1"/>
  <c r="DD45" i="15" s="1"/>
  <c r="DD46" i="15" s="1"/>
  <c r="BC50" i="15"/>
  <c r="EX16" i="14"/>
  <c r="CB16" i="14"/>
  <c r="CC16" i="14"/>
  <c r="EG42" i="1"/>
  <c r="BW42" i="1"/>
  <c r="BX42" i="1" s="1"/>
  <c r="EO42" i="1"/>
  <c r="AA42" i="1"/>
  <c r="AJ42" i="1" s="1"/>
  <c r="AC45" i="13"/>
  <c r="AE45" i="13" s="1"/>
  <c r="O38" i="17" s="1"/>
  <c r="AE45" i="14"/>
  <c r="AB38" i="17" s="1"/>
  <c r="AC17" i="13"/>
  <c r="AE17" i="14"/>
  <c r="AB10" i="17" s="1"/>
  <c r="BT17" i="14"/>
  <c r="AC54" i="14"/>
  <c r="AC84" i="14"/>
  <c r="AC49" i="14"/>
  <c r="AC53" i="14"/>
  <c r="AC51" i="14"/>
  <c r="T51" i="1"/>
  <c r="T53" i="1"/>
  <c r="S30" i="13"/>
  <c r="Z30" i="13" s="1"/>
  <c r="Z30" i="14"/>
  <c r="R47" i="2"/>
  <c r="CC41" i="15"/>
  <c r="EP41" i="15"/>
  <c r="FB41" i="15"/>
  <c r="AL41" i="15"/>
  <c r="S17" i="13"/>
  <c r="T17" i="14"/>
  <c r="Z17" i="14"/>
  <c r="S84" i="14"/>
  <c r="S49" i="14"/>
  <c r="S51" i="14"/>
  <c r="S53" i="14"/>
  <c r="S54" i="14"/>
  <c r="EW28" i="13"/>
  <c r="Y36" i="2"/>
  <c r="AA36" i="2" s="1"/>
  <c r="AG36" i="2" s="1"/>
  <c r="BF36" i="2" s="1"/>
  <c r="T36" i="2"/>
  <c r="BW17" i="14"/>
  <c r="AD17" i="13"/>
  <c r="AD84" i="14"/>
  <c r="AD51" i="14"/>
  <c r="AD49" i="14"/>
  <c r="AD54" i="14"/>
  <c r="AD53" i="14"/>
  <c r="T50" i="1"/>
  <c r="CO38" i="1"/>
  <c r="CP38" i="1" s="1"/>
  <c r="DA38" i="1"/>
  <c r="CV38" i="1"/>
  <c r="DB38" i="1"/>
  <c r="AJ16" i="14"/>
  <c r="DL16" i="14"/>
  <c r="R44" i="13"/>
  <c r="Y44" i="13" s="1"/>
  <c r="S45" i="13"/>
  <c r="Z45" i="13" s="1"/>
  <c r="Z45" i="14"/>
  <c r="AR25" i="1"/>
  <c r="BA25" i="1"/>
  <c r="AZ25" i="1"/>
  <c r="BM25" i="1"/>
  <c r="BD25" i="1"/>
  <c r="BC25" i="1"/>
  <c r="AX25" i="1"/>
  <c r="AY25" i="1"/>
  <c r="BB25" i="1"/>
  <c r="CI25" i="1"/>
  <c r="DC33" i="14"/>
  <c r="DF33" i="14" s="1"/>
  <c r="DC21" i="14"/>
  <c r="DG21" i="14" s="1"/>
  <c r="BC16" i="15"/>
  <c r="CI16" i="15"/>
  <c r="AZ16" i="15"/>
  <c r="BD16" i="15"/>
  <c r="AR16" i="15"/>
  <c r="BB16" i="15"/>
  <c r="AY16" i="15"/>
  <c r="AX16" i="15"/>
  <c r="BM16" i="15"/>
  <c r="BA16" i="15"/>
  <c r="BW44" i="1"/>
  <c r="BX44" i="1" s="1"/>
  <c r="AA44" i="1"/>
  <c r="AJ44" i="1" s="1"/>
  <c r="Y45" i="14"/>
  <c r="R45" i="13"/>
  <c r="Y45" i="13" s="1"/>
  <c r="BC22" i="15"/>
  <c r="BC51" i="15" s="1"/>
  <c r="CI22" i="15"/>
  <c r="BM22" i="15"/>
  <c r="AZ22" i="15"/>
  <c r="AX22" i="15"/>
  <c r="BA22" i="15"/>
  <c r="BD22" i="15"/>
  <c r="BB22" i="15"/>
  <c r="AR22" i="15"/>
  <c r="AY22" i="15"/>
  <c r="BW37" i="14"/>
  <c r="AD37" i="13"/>
  <c r="BV37" i="13" s="1"/>
  <c r="BA17" i="15"/>
  <c r="AZ17" i="15"/>
  <c r="AY17" i="15"/>
  <c r="AX17" i="15"/>
  <c r="BM17" i="15"/>
  <c r="AR17" i="15"/>
  <c r="BD17" i="15"/>
  <c r="BB17" i="15"/>
  <c r="CI17" i="15"/>
  <c r="BC20" i="15"/>
  <c r="AZ20" i="15"/>
  <c r="CI20" i="15"/>
  <c r="AR20" i="15"/>
  <c r="BD20" i="15"/>
  <c r="BB20" i="15"/>
  <c r="BM20" i="15"/>
  <c r="AY20" i="15"/>
  <c r="AX20" i="15"/>
  <c r="BA20" i="15"/>
  <c r="BM23" i="15"/>
  <c r="BA23" i="15"/>
  <c r="AZ23" i="15"/>
  <c r="AR23" i="15"/>
  <c r="CI23" i="15"/>
  <c r="BB23" i="15"/>
  <c r="AY23" i="15"/>
  <c r="AX23" i="15"/>
  <c r="BD23" i="15"/>
  <c r="Y38" i="2"/>
  <c r="AA38" i="2" s="1"/>
  <c r="AG38" i="2" s="1"/>
  <c r="BF38" i="2" s="1"/>
  <c r="T38" i="2"/>
  <c r="AY14" i="15"/>
  <c r="BD14" i="15"/>
  <c r="BB14" i="15"/>
  <c r="AR14" i="15"/>
  <c r="CI14" i="15"/>
  <c r="AZ14" i="15"/>
  <c r="BM14" i="15"/>
  <c r="AX14" i="15"/>
  <c r="BA14" i="15"/>
  <c r="BW41" i="14"/>
  <c r="AD41" i="13"/>
  <c r="BV41" i="13" s="1"/>
  <c r="EN14" i="13"/>
  <c r="BT14" i="13"/>
  <c r="BX14" i="13" s="1"/>
  <c r="AA14" i="13"/>
  <c r="N7" i="17" s="1"/>
  <c r="BW40" i="1"/>
  <c r="BX40" i="1" s="1"/>
  <c r="EO40" i="1"/>
  <c r="EG40" i="1"/>
  <c r="AA40" i="1"/>
  <c r="DL14" i="14"/>
  <c r="AJ14" i="14"/>
  <c r="EX14" i="14"/>
  <c r="CC14" i="14"/>
  <c r="CB14" i="14"/>
  <c r="CU37" i="1"/>
  <c r="CY37" i="1" s="1"/>
  <c r="S38" i="13"/>
  <c r="Z38" i="13" s="1"/>
  <c r="Z38" i="14"/>
  <c r="Z43" i="14"/>
  <c r="BU43" i="14" s="1"/>
  <c r="CY43" i="14" s="1"/>
  <c r="CZ43" i="14" s="1"/>
  <c r="S43" i="13"/>
  <c r="Z43" i="13" s="1"/>
  <c r="BT43" i="13" s="1"/>
  <c r="CX43" i="13" s="1"/>
  <c r="BD62" i="1"/>
  <c r="CN43" i="1"/>
  <c r="CT43" i="1" s="1"/>
  <c r="CH43" i="1"/>
  <c r="BY43" i="1"/>
  <c r="BZ43" i="1" s="1"/>
  <c r="BL43" i="1"/>
  <c r="Y54" i="1"/>
  <c r="BC14" i="15"/>
  <c r="Y43" i="14"/>
  <c r="T43" i="14"/>
  <c r="U43" i="14" s="1"/>
  <c r="R43" i="13"/>
  <c r="CO37" i="1"/>
  <c r="CP37" i="1" s="1"/>
  <c r="DA37" i="1"/>
  <c r="DB37" i="1"/>
  <c r="CV37" i="1"/>
  <c r="BM30" i="1"/>
  <c r="AX30" i="1"/>
  <c r="BA30" i="1"/>
  <c r="AY30" i="1"/>
  <c r="AR30" i="1"/>
  <c r="BD30" i="1"/>
  <c r="BC30" i="1"/>
  <c r="AZ30" i="1"/>
  <c r="BB30" i="1"/>
  <c r="CI30" i="1"/>
  <c r="DE46" i="15"/>
  <c r="DF46" i="15"/>
  <c r="AQ24" i="2"/>
  <c r="Z37" i="14"/>
  <c r="S37" i="13"/>
  <c r="Z37" i="13" s="1"/>
  <c r="BX44" i="14"/>
  <c r="BY44" i="14" s="1"/>
  <c r="AA44" i="14"/>
  <c r="EG14" i="13"/>
  <c r="EO14" i="13"/>
  <c r="AC37" i="13"/>
  <c r="AE37" i="14"/>
  <c r="AB30" i="17" s="1"/>
  <c r="BT37" i="14"/>
  <c r="AX60" i="15"/>
  <c r="AX61" i="15" s="1"/>
  <c r="AX63" i="15" s="1"/>
  <c r="AX64" i="15" s="1"/>
  <c r="AY58" i="15"/>
  <c r="AY60" i="15" s="1"/>
  <c r="AY61" i="15" s="1"/>
  <c r="AY63" i="15" s="1"/>
  <c r="AY64" i="15" s="1"/>
  <c r="R53" i="14"/>
  <c r="T46" i="14"/>
  <c r="Y46" i="14"/>
  <c r="BB38" i="1"/>
  <c r="BC38" i="1"/>
  <c r="AZ38" i="1"/>
  <c r="CI38" i="1"/>
  <c r="BM38" i="1"/>
  <c r="BA38" i="1"/>
  <c r="BD38" i="1"/>
  <c r="AX38" i="1"/>
  <c r="AY38" i="1"/>
  <c r="AR38" i="1"/>
  <c r="Y37" i="14"/>
  <c r="R37" i="13"/>
  <c r="FA37" i="14"/>
  <c r="T37" i="14"/>
  <c r="U37" i="14" s="1"/>
  <c r="AC43" i="13"/>
  <c r="AE43" i="14"/>
  <c r="AB36" i="17" s="1"/>
  <c r="BT43" i="14"/>
  <c r="AE41" i="14"/>
  <c r="AB34" i="17" s="1"/>
  <c r="AC41" i="13"/>
  <c r="BT41" i="14"/>
  <c r="Y34" i="2"/>
  <c r="AA34" i="2" s="1"/>
  <c r="AG34" i="2" s="1"/>
  <c r="BF34" i="2" s="1"/>
  <c r="T34" i="2"/>
  <c r="CT32" i="1"/>
  <c r="CO32" i="1" s="1"/>
  <c r="CP32" i="1" s="1"/>
  <c r="Y41" i="14"/>
  <c r="T41" i="14"/>
  <c r="U41" i="14" s="1"/>
  <c r="FA41" i="14"/>
  <c r="R41" i="13"/>
  <c r="Z41" i="14"/>
  <c r="S41" i="13"/>
  <c r="Z41" i="13" s="1"/>
  <c r="AZ19" i="15"/>
  <c r="BM19" i="15"/>
  <c r="AX19" i="15"/>
  <c r="BB19" i="15"/>
  <c r="BD19" i="15"/>
  <c r="BA19" i="15"/>
  <c r="CI19" i="15"/>
  <c r="AY19" i="15"/>
  <c r="AR19" i="15"/>
  <c r="BA64" i="15"/>
  <c r="AK40" i="15"/>
  <c r="BF11" i="2"/>
  <c r="AG43" i="2"/>
  <c r="CA43" i="1"/>
  <c r="CB43" i="1"/>
  <c r="Y51" i="1"/>
  <c r="BW38" i="14"/>
  <c r="AD38" i="13"/>
  <c r="BV38" i="13" s="1"/>
  <c r="BW43" i="14"/>
  <c r="AD43" i="13"/>
  <c r="BV43" i="13" s="1"/>
  <c r="BT30" i="14"/>
  <c r="AE30" i="14"/>
  <c r="AC30" i="13"/>
  <c r="AZ2" i="14"/>
  <c r="Y42" i="14"/>
  <c r="T42" i="14"/>
  <c r="U42" i="14" s="1"/>
  <c r="FA42" i="14"/>
  <c r="BD64" i="15"/>
  <c r="AK43" i="15"/>
  <c r="AA33" i="2"/>
  <c r="AR21" i="15"/>
  <c r="BA21" i="15"/>
  <c r="BB21" i="15"/>
  <c r="BM21" i="15"/>
  <c r="AZ21" i="15"/>
  <c r="CI21" i="15"/>
  <c r="AY21" i="15"/>
  <c r="AX21" i="15"/>
  <c r="BD21" i="15"/>
  <c r="Y40" i="2"/>
  <c r="AA40" i="2" s="1"/>
  <c r="AG40" i="2" s="1"/>
  <c r="T40" i="2"/>
  <c r="AI19" i="2"/>
  <c r="BF19" i="2"/>
  <c r="R38" i="13"/>
  <c r="T38" i="14"/>
  <c r="U38" i="14" s="1"/>
  <c r="FA38" i="14"/>
  <c r="Y38" i="14"/>
  <c r="BW46" i="1"/>
  <c r="BX46" i="1" s="1"/>
  <c r="AA46" i="1"/>
  <c r="AJ46" i="1" s="1"/>
  <c r="T40" i="13"/>
  <c r="U40" i="13" s="1"/>
  <c r="Y40" i="13"/>
  <c r="EZ40" i="13"/>
  <c r="AZ60" i="15"/>
  <c r="AZ61" i="15" s="1"/>
  <c r="AZ63" i="15" s="1"/>
  <c r="AZ66" i="15"/>
  <c r="Y39" i="14"/>
  <c r="T39" i="14"/>
  <c r="FA39" i="14"/>
  <c r="U39" i="14"/>
  <c r="R39" i="13"/>
  <c r="AZ13" i="15"/>
  <c r="AX13" i="15"/>
  <c r="CI13" i="15"/>
  <c r="AL49" i="15"/>
  <c r="AL84" i="15"/>
  <c r="BD13" i="15"/>
  <c r="AR13" i="15"/>
  <c r="BB13" i="15"/>
  <c r="AY13" i="15"/>
  <c r="BA13" i="15"/>
  <c r="BM13" i="15"/>
  <c r="Y50" i="1"/>
  <c r="AC38" i="13"/>
  <c r="BT38" i="14"/>
  <c r="AE38" i="14"/>
  <c r="AB31" i="17" s="1"/>
  <c r="CT30" i="1"/>
  <c r="DA30" i="1" s="1"/>
  <c r="EW29" i="13"/>
  <c r="BF64" i="15"/>
  <c r="AK45" i="15"/>
  <c r="AL45" i="15" s="1"/>
  <c r="BC19" i="15"/>
  <c r="Y40" i="14"/>
  <c r="FA40" i="14"/>
  <c r="T40" i="14"/>
  <c r="U40" i="14" s="1"/>
  <c r="S39" i="13"/>
  <c r="Z39" i="13" s="1"/>
  <c r="Z39" i="14"/>
  <c r="BT25" i="14"/>
  <c r="AC25" i="13"/>
  <c r="AE25" i="14"/>
  <c r="AB18" i="17" s="1"/>
  <c r="AC50" i="14"/>
  <c r="Y53" i="1"/>
  <c r="DK50" i="1"/>
  <c r="DK51" i="1"/>
  <c r="BC32" i="1"/>
  <c r="BM32" i="1"/>
  <c r="AR32" i="1"/>
  <c r="BA32" i="1"/>
  <c r="AX32" i="1"/>
  <c r="AY32" i="1"/>
  <c r="BB32" i="1"/>
  <c r="BD32" i="1"/>
  <c r="CI32" i="1"/>
  <c r="AZ32" i="1"/>
  <c r="AS66" i="1"/>
  <c r="BC18" i="15"/>
  <c r="BB18" i="15"/>
  <c r="BM18" i="15"/>
  <c r="BD18" i="15"/>
  <c r="AR18" i="15"/>
  <c r="AZ18" i="15"/>
  <c r="AY18" i="15"/>
  <c r="AX18" i="15"/>
  <c r="BA18" i="15"/>
  <c r="CI18" i="15"/>
  <c r="T46" i="13"/>
  <c r="U46" i="13" s="1"/>
  <c r="Y46" i="13"/>
  <c r="T48" i="2"/>
  <c r="BG64" i="15"/>
  <c r="AK46" i="15"/>
  <c r="BW32" i="14"/>
  <c r="AD32" i="13"/>
  <c r="AD39" i="13"/>
  <c r="BV39" i="13" s="1"/>
  <c r="BW39" i="14"/>
  <c r="EN16" i="13"/>
  <c r="AA16" i="13"/>
  <c r="N9" i="17" s="1"/>
  <c r="BT16" i="13"/>
  <c r="BX16" i="13" s="1"/>
  <c r="S25" i="13"/>
  <c r="S50" i="14"/>
  <c r="Z25" i="14"/>
  <c r="BD37" i="1"/>
  <c r="BB37" i="1"/>
  <c r="CI37" i="1"/>
  <c r="BM37" i="1"/>
  <c r="AR37" i="1"/>
  <c r="AZ37" i="1"/>
  <c r="BC37" i="1"/>
  <c r="BA37" i="1"/>
  <c r="AX37" i="1"/>
  <c r="AY37" i="1"/>
  <c r="AJ39" i="1"/>
  <c r="DL50" i="1"/>
  <c r="DL51" i="1"/>
  <c r="AM27" i="14"/>
  <c r="BE64" i="15"/>
  <c r="AK44" i="15"/>
  <c r="FA30" i="14"/>
  <c r="T30" i="14"/>
  <c r="U30" i="14" s="1"/>
  <c r="R30" i="13"/>
  <c r="Y30" i="14"/>
  <c r="BT32" i="14"/>
  <c r="AE32" i="14"/>
  <c r="AC32" i="13"/>
  <c r="EW41" i="1"/>
  <c r="CA41" i="1"/>
  <c r="CB41" i="1"/>
  <c r="EO16" i="13"/>
  <c r="EG16" i="13"/>
  <c r="DE42" i="15"/>
  <c r="DF42" i="15"/>
  <c r="BT39" i="14"/>
  <c r="AC39" i="13"/>
  <c r="AE39" i="14"/>
  <c r="AB32" i="17" s="1"/>
  <c r="AD25" i="13"/>
  <c r="BW25" i="14"/>
  <c r="AD50" i="14"/>
  <c r="EW39" i="1"/>
  <c r="CA39" i="1"/>
  <c r="CB39" i="1"/>
  <c r="FA32" i="14"/>
  <c r="R32" i="13"/>
  <c r="Y32" i="14"/>
  <c r="T32" i="14"/>
  <c r="U32" i="14" s="1"/>
  <c r="AZ24" i="15"/>
  <c r="BA24" i="15"/>
  <c r="BD24" i="15"/>
  <c r="AR24" i="15"/>
  <c r="BB24" i="15"/>
  <c r="CI24" i="15"/>
  <c r="AY24" i="15"/>
  <c r="AX24" i="15"/>
  <c r="BM24" i="15"/>
  <c r="AD30" i="13"/>
  <c r="BW30" i="14"/>
  <c r="CU25" i="1"/>
  <c r="CY25" i="1" s="1"/>
  <c r="DB25" i="1" s="1"/>
  <c r="S32" i="13"/>
  <c r="Z32" i="13" s="1"/>
  <c r="Z32" i="14"/>
  <c r="CH41" i="1"/>
  <c r="CN41" i="1"/>
  <c r="BL41" i="1"/>
  <c r="BB62" i="1"/>
  <c r="DW41" i="1"/>
  <c r="DY41" i="1" s="1"/>
  <c r="BY41" i="1"/>
  <c r="BZ41" i="1" s="1"/>
  <c r="R42" i="13"/>
  <c r="BC64" i="15"/>
  <c r="AK42" i="15"/>
  <c r="AZ15" i="15"/>
  <c r="CI15" i="15"/>
  <c r="BD15" i="15"/>
  <c r="AR15" i="15"/>
  <c r="BM15" i="15"/>
  <c r="BB15" i="15"/>
  <c r="AY15" i="15"/>
  <c r="BA15" i="15"/>
  <c r="AX15" i="15"/>
  <c r="Y25" i="14"/>
  <c r="R84" i="14"/>
  <c r="R25" i="13"/>
  <c r="FA25" i="14"/>
  <c r="T25" i="14"/>
  <c r="U25" i="14" s="1"/>
  <c r="R54" i="14"/>
  <c r="R50" i="14"/>
  <c r="R51" i="14"/>
  <c r="CO25" i="1"/>
  <c r="CP25" i="1" s="1"/>
  <c r="DA25" i="1"/>
  <c r="CC18" i="14"/>
  <c r="EX18" i="14"/>
  <c r="CB18" i="14"/>
  <c r="DF24" i="14"/>
  <c r="DE24" i="14"/>
  <c r="DG24" i="14"/>
  <c r="DF22" i="14"/>
  <c r="DG22" i="14"/>
  <c r="DG27" i="14"/>
  <c r="DF27" i="14"/>
  <c r="CU36" i="14"/>
  <c r="CP36" i="14" s="1"/>
  <c r="CQ36" i="14" s="1"/>
  <c r="CY33" i="13"/>
  <c r="CP26" i="14"/>
  <c r="CQ26" i="14" s="1"/>
  <c r="DB26" i="14"/>
  <c r="CD35" i="14"/>
  <c r="EQ35" i="14"/>
  <c r="AK35" i="13"/>
  <c r="P28" i="17" s="1"/>
  <c r="FC35" i="14"/>
  <c r="EW27" i="13"/>
  <c r="CA27" i="13"/>
  <c r="AM33" i="14"/>
  <c r="DW34" i="13"/>
  <c r="DY34" i="13" s="1"/>
  <c r="BL34" i="13"/>
  <c r="AU62" i="13"/>
  <c r="CN34" i="13"/>
  <c r="BY34" i="13"/>
  <c r="BZ34" i="13" s="1"/>
  <c r="CH34" i="13"/>
  <c r="CU29" i="14"/>
  <c r="CP29" i="14" s="1"/>
  <c r="CQ29" i="14" s="1"/>
  <c r="AM34" i="14"/>
  <c r="DC26" i="14"/>
  <c r="AA18" i="13"/>
  <c r="N11" i="17" s="1"/>
  <c r="BT18" i="13"/>
  <c r="BX18" i="13" s="1"/>
  <c r="EN18" i="13"/>
  <c r="AM36" i="14"/>
  <c r="CH35" i="13"/>
  <c r="BL35" i="13"/>
  <c r="AV62" i="13"/>
  <c r="DW35" i="13"/>
  <c r="DY35" i="13" s="1"/>
  <c r="CN35" i="13"/>
  <c r="BY35" i="13"/>
  <c r="BZ35" i="13" s="1"/>
  <c r="CD28" i="14"/>
  <c r="EQ28" i="14"/>
  <c r="AK28" i="13"/>
  <c r="FC28" i="14"/>
  <c r="BY29" i="13"/>
  <c r="BZ29" i="13" s="1"/>
  <c r="BL29" i="13"/>
  <c r="DW29" i="13"/>
  <c r="DY29" i="13" s="1"/>
  <c r="CH29" i="13"/>
  <c r="CN29" i="13"/>
  <c r="DL29" i="13"/>
  <c r="DK29" i="13"/>
  <c r="CN33" i="13"/>
  <c r="CT33" i="13" s="1"/>
  <c r="CV33" i="13" s="1"/>
  <c r="BL33" i="13"/>
  <c r="BY33" i="13"/>
  <c r="BZ33" i="13" s="1"/>
  <c r="DW33" i="13"/>
  <c r="DY33" i="13" s="1"/>
  <c r="CH33" i="13"/>
  <c r="AT62" i="13"/>
  <c r="CN23" i="13"/>
  <c r="CT23" i="13" s="1"/>
  <c r="CH23" i="13"/>
  <c r="BY23" i="13"/>
  <c r="BZ23" i="13" s="1"/>
  <c r="BL23" i="13"/>
  <c r="DW23" i="13"/>
  <c r="DY23" i="13" s="1"/>
  <c r="DL23" i="13"/>
  <c r="DK23" i="13"/>
  <c r="CD31" i="14"/>
  <c r="EQ31" i="14"/>
  <c r="AK31" i="13"/>
  <c r="AU58" i="14"/>
  <c r="AT58" i="14"/>
  <c r="AT60" i="14" s="1"/>
  <c r="FC31" i="14"/>
  <c r="CD29" i="14"/>
  <c r="EQ29" i="14"/>
  <c r="AK29" i="13"/>
  <c r="FC29" i="14"/>
  <c r="AK34" i="13"/>
  <c r="EQ34" i="14"/>
  <c r="CD34" i="14"/>
  <c r="FC34" i="14"/>
  <c r="CB26" i="13"/>
  <c r="EW26" i="13"/>
  <c r="CA26" i="13"/>
  <c r="AK27" i="13"/>
  <c r="EQ27" i="14"/>
  <c r="CD27" i="14"/>
  <c r="FC27" i="14"/>
  <c r="EO18" i="13"/>
  <c r="EG18" i="13"/>
  <c r="DF28" i="14"/>
  <c r="DG28" i="14"/>
  <c r="BY36" i="13"/>
  <c r="BZ36" i="13" s="1"/>
  <c r="BL36" i="13"/>
  <c r="CH36" i="13"/>
  <c r="AW62" i="13"/>
  <c r="DW36" i="13"/>
  <c r="DY36" i="13" s="1"/>
  <c r="CN36" i="13"/>
  <c r="CT21" i="13"/>
  <c r="CO21" i="13" s="1"/>
  <c r="CP21" i="13" s="1"/>
  <c r="CY34" i="13"/>
  <c r="CP34" i="14"/>
  <c r="CQ34" i="14" s="1"/>
  <c r="DB34" i="14"/>
  <c r="FC36" i="14"/>
  <c r="CD36" i="14"/>
  <c r="EQ36" i="14"/>
  <c r="AK36" i="13"/>
  <c r="CU35" i="14"/>
  <c r="DC35" i="14" s="1"/>
  <c r="CP24" i="14"/>
  <c r="CQ24" i="14" s="1"/>
  <c r="DB24" i="14"/>
  <c r="CN28" i="13"/>
  <c r="BY28" i="13"/>
  <c r="BZ28" i="13" s="1"/>
  <c r="DW28" i="13"/>
  <c r="DY28" i="13" s="1"/>
  <c r="CH28" i="13"/>
  <c r="BL28" i="13"/>
  <c r="DL28" i="13"/>
  <c r="DK28" i="13"/>
  <c r="CT22" i="13"/>
  <c r="CO22" i="13" s="1"/>
  <c r="CP22" i="13" s="1"/>
  <c r="CP27" i="14"/>
  <c r="CQ27" i="14" s="1"/>
  <c r="DB27" i="14"/>
  <c r="BN26" i="14"/>
  <c r="CU31" i="14"/>
  <c r="CP31" i="14" s="1"/>
  <c r="CQ31" i="14" s="1"/>
  <c r="AK33" i="13"/>
  <c r="EQ33" i="14"/>
  <c r="CD33" i="14"/>
  <c r="FC33" i="14"/>
  <c r="CH26" i="13"/>
  <c r="BL26" i="13"/>
  <c r="DW26" i="13"/>
  <c r="DY26" i="13" s="1"/>
  <c r="CN26" i="13"/>
  <c r="BY26" i="13"/>
  <c r="BZ26" i="13" s="1"/>
  <c r="DL26" i="13"/>
  <c r="DK26" i="13"/>
  <c r="EQ26" i="14"/>
  <c r="AK26" i="13"/>
  <c r="CD26" i="14"/>
  <c r="FC26" i="14"/>
  <c r="CH24" i="13"/>
  <c r="BL24" i="13"/>
  <c r="CN24" i="13"/>
  <c r="BY24" i="13"/>
  <c r="BZ24" i="13" s="1"/>
  <c r="DW24" i="13"/>
  <c r="DY24" i="13" s="1"/>
  <c r="DL24" i="13"/>
  <c r="DK24" i="13"/>
  <c r="CH31" i="13"/>
  <c r="DW31" i="13"/>
  <c r="DY31" i="13" s="1"/>
  <c r="CN31" i="13"/>
  <c r="BY31" i="13"/>
  <c r="BZ31" i="13" s="1"/>
  <c r="BL31" i="13"/>
  <c r="DK31" i="13"/>
  <c r="DL31" i="13"/>
  <c r="AM31" i="14"/>
  <c r="CP33" i="14"/>
  <c r="CQ33" i="14" s="1"/>
  <c r="DB33" i="14"/>
  <c r="DW27" i="13"/>
  <c r="DY27" i="13" s="1"/>
  <c r="CH27" i="13"/>
  <c r="BL27" i="13"/>
  <c r="CN27" i="13"/>
  <c r="BY27" i="13"/>
  <c r="BZ27" i="13" s="1"/>
  <c r="DL27" i="13"/>
  <c r="DK27" i="13"/>
  <c r="CU23" i="14"/>
  <c r="DC23" i="14" s="1"/>
  <c r="AJ18" i="14"/>
  <c r="DL18" i="14"/>
  <c r="EW35" i="13"/>
  <c r="CA35" i="13"/>
  <c r="AM29" i="14"/>
  <c r="CP22" i="14"/>
  <c r="CQ22" i="14" s="1"/>
  <c r="CP28" i="14"/>
  <c r="CQ28" i="14" s="1"/>
  <c r="DB28" i="14"/>
  <c r="AM35" i="14"/>
  <c r="DA43" i="1"/>
  <c r="CV43" i="1"/>
  <c r="CU43" i="1"/>
  <c r="CY43" i="1" s="1"/>
  <c r="DB43" i="1" s="1"/>
  <c r="CO43" i="1"/>
  <c r="CP43" i="1" s="1"/>
  <c r="AX58" i="1"/>
  <c r="AW60" i="1"/>
  <c r="AW61" i="1" s="1"/>
  <c r="AW63" i="1" s="1"/>
  <c r="AW64" i="1" s="1"/>
  <c r="AL38" i="17" l="1"/>
  <c r="CJ26" i="14"/>
  <c r="ED30" i="14"/>
  <c r="AB23" i="17"/>
  <c r="BY15" i="14"/>
  <c r="CC15" i="14"/>
  <c r="EN20" i="13"/>
  <c r="AA20" i="13"/>
  <c r="BT20" i="13"/>
  <c r="AR51" i="15"/>
  <c r="AA8" i="17"/>
  <c r="AJ15" i="14"/>
  <c r="DL15" i="14"/>
  <c r="EN15" i="13"/>
  <c r="BT15" i="13"/>
  <c r="AA15" i="13"/>
  <c r="BC49" i="15"/>
  <c r="AA12" i="17"/>
  <c r="DL19" i="14"/>
  <c r="AJ19" i="14"/>
  <c r="AA13" i="13"/>
  <c r="EN13" i="13"/>
  <c r="BT13" i="13"/>
  <c r="BD26" i="14"/>
  <c r="AR50" i="15"/>
  <c r="BY19" i="14"/>
  <c r="CC19" i="14"/>
  <c r="CC13" i="14"/>
  <c r="CB13" i="14"/>
  <c r="EX13" i="14"/>
  <c r="ED32" i="14"/>
  <c r="AB25" i="17"/>
  <c r="T44" i="2"/>
  <c r="EN19" i="13"/>
  <c r="BT19" i="13"/>
  <c r="AA19" i="13"/>
  <c r="AA13" i="17"/>
  <c r="AJ20" i="14"/>
  <c r="DL20" i="14"/>
  <c r="BC26" i="14"/>
  <c r="BY20" i="14"/>
  <c r="AA6" i="17"/>
  <c r="AJ13" i="14"/>
  <c r="DL13" i="14"/>
  <c r="AS34" i="14"/>
  <c r="AF27" i="17"/>
  <c r="AS33" i="14"/>
  <c r="AF26" i="17"/>
  <c r="BB28" i="14"/>
  <c r="AF21" i="17"/>
  <c r="AL26" i="13"/>
  <c r="S19" i="17" s="1"/>
  <c r="AP19" i="17" s="1"/>
  <c r="P19" i="17"/>
  <c r="AL34" i="13"/>
  <c r="S27" i="17" s="1"/>
  <c r="P27" i="17"/>
  <c r="AL31" i="13"/>
  <c r="S24" i="17" s="1"/>
  <c r="P24" i="17"/>
  <c r="AL28" i="13"/>
  <c r="S21" i="17" s="1"/>
  <c r="P21" i="17"/>
  <c r="AL35" i="13"/>
  <c r="S28" i="17" s="1"/>
  <c r="AL33" i="13"/>
  <c r="S26" i="17" s="1"/>
  <c r="P26" i="17"/>
  <c r="AJ44" i="14"/>
  <c r="CO44" i="14" s="1"/>
  <c r="CU44" i="14" s="1"/>
  <c r="AA37" i="17"/>
  <c r="AS35" i="14"/>
  <c r="AF28" i="17"/>
  <c r="BE26" i="14"/>
  <c r="AY26" i="14"/>
  <c r="BD31" i="14"/>
  <c r="AF24" i="17"/>
  <c r="AS26" i="14"/>
  <c r="BA26" i="14"/>
  <c r="BD29" i="14"/>
  <c r="AF22" i="17"/>
  <c r="AZ26" i="14"/>
  <c r="DG34" i="14"/>
  <c r="AL27" i="13"/>
  <c r="S20" i="17" s="1"/>
  <c r="P20" i="17"/>
  <c r="AM28" i="17"/>
  <c r="Q28" i="17"/>
  <c r="BB27" i="14"/>
  <c r="AF20" i="17"/>
  <c r="AL36" i="13"/>
  <c r="S29" i="17" s="1"/>
  <c r="P29" i="17"/>
  <c r="BB26" i="14"/>
  <c r="AL29" i="13"/>
  <c r="S22" i="17" s="1"/>
  <c r="P22" i="17"/>
  <c r="BD36" i="14"/>
  <c r="AF29" i="17"/>
  <c r="AA45" i="14"/>
  <c r="AK11" i="17"/>
  <c r="AK9" i="17"/>
  <c r="AK7" i="17"/>
  <c r="DF21" i="14"/>
  <c r="BE28" i="14"/>
  <c r="BD33" i="14"/>
  <c r="CJ28" i="14"/>
  <c r="AS36" i="14"/>
  <c r="BD28" i="14"/>
  <c r="BC28" i="14"/>
  <c r="BE36" i="14"/>
  <c r="AS28" i="14"/>
  <c r="AY28" i="14"/>
  <c r="AZ28" i="14"/>
  <c r="T45" i="2"/>
  <c r="BA28" i="14"/>
  <c r="AA45" i="13"/>
  <c r="T47" i="2"/>
  <c r="BN28" i="14"/>
  <c r="EE30" i="14"/>
  <c r="AS27" i="14"/>
  <c r="DB33" i="13"/>
  <c r="DE33" i="13" s="1"/>
  <c r="EW18" i="13"/>
  <c r="CA18" i="13"/>
  <c r="BC53" i="1"/>
  <c r="BC3" i="1"/>
  <c r="EP40" i="15"/>
  <c r="CC40" i="15"/>
  <c r="FB40" i="15"/>
  <c r="AL40" i="15"/>
  <c r="BD34" i="14"/>
  <c r="BE34" i="14"/>
  <c r="CA42" i="1"/>
  <c r="EW42" i="1"/>
  <c r="CB42" i="1"/>
  <c r="AJ40" i="1"/>
  <c r="AJ54" i="1" s="1"/>
  <c r="AA50" i="1"/>
  <c r="AA54" i="1"/>
  <c r="AA51" i="1"/>
  <c r="AA53" i="1"/>
  <c r="EP41" i="14"/>
  <c r="EH41" i="14"/>
  <c r="AA41" i="14"/>
  <c r="BX41" i="14"/>
  <c r="CT41" i="1"/>
  <c r="CO41" i="1" s="1"/>
  <c r="CP41" i="1" s="1"/>
  <c r="CB14" i="13"/>
  <c r="EW14" i="13"/>
  <c r="CA14" i="13"/>
  <c r="CB16" i="13"/>
  <c r="EW16" i="13"/>
  <c r="CA16" i="13"/>
  <c r="AZ45" i="15"/>
  <c r="AY45" i="15"/>
  <c r="BA45" i="15"/>
  <c r="AX45" i="15"/>
  <c r="CI45" i="15"/>
  <c r="AR45" i="15"/>
  <c r="BD45" i="15"/>
  <c r="BB45" i="15"/>
  <c r="EG40" i="13"/>
  <c r="EO40" i="13"/>
  <c r="BW40" i="13"/>
  <c r="BX40" i="13" s="1"/>
  <c r="AA40" i="13"/>
  <c r="BT41" i="13"/>
  <c r="CX41" i="13" s="1"/>
  <c r="EN41" i="13"/>
  <c r="AE43" i="13"/>
  <c r="O36" i="17" s="1"/>
  <c r="AL36" i="17" s="1"/>
  <c r="BS43" i="13"/>
  <c r="Y51" i="14"/>
  <c r="BX46" i="14"/>
  <c r="BY46" i="14" s="1"/>
  <c r="AA46" i="14"/>
  <c r="CU32" i="1"/>
  <c r="CY32" i="1" s="1"/>
  <c r="BU30" i="14"/>
  <c r="CY30" i="14" s="1"/>
  <c r="CZ30" i="14" s="1"/>
  <c r="EO30" i="14"/>
  <c r="AY2" i="14"/>
  <c r="AE17" i="13"/>
  <c r="O10" i="17" s="1"/>
  <c r="AL10" i="17" s="1"/>
  <c r="BS17" i="13"/>
  <c r="AC51" i="13"/>
  <c r="AC49" i="13"/>
  <c r="AC84" i="13"/>
  <c r="AC53" i="13"/>
  <c r="AC54" i="13"/>
  <c r="Y30" i="13"/>
  <c r="EZ30" i="13"/>
  <c r="T30" i="13"/>
  <c r="U30" i="13" s="1"/>
  <c r="EE32" i="14"/>
  <c r="BU41" i="14"/>
  <c r="CY41" i="14" s="1"/>
  <c r="CZ41" i="14" s="1"/>
  <c r="EO41" i="14"/>
  <c r="T50" i="14"/>
  <c r="T43" i="13"/>
  <c r="U43" i="13" s="1"/>
  <c r="Y43" i="13"/>
  <c r="CI16" i="14"/>
  <c r="BZ16" i="14"/>
  <c r="CA16" i="14" s="1"/>
  <c r="AK16" i="14"/>
  <c r="BM16" i="14"/>
  <c r="DX16" i="14"/>
  <c r="DZ16" i="14" s="1"/>
  <c r="EN30" i="13"/>
  <c r="AX2" i="13"/>
  <c r="BT30" i="13"/>
  <c r="CX30" i="13" s="1"/>
  <c r="CJ27" i="14"/>
  <c r="R84" i="13"/>
  <c r="Y25" i="13"/>
  <c r="EZ25" i="13"/>
  <c r="R53" i="13"/>
  <c r="T25" i="13"/>
  <c r="R51" i="13"/>
  <c r="R50" i="13"/>
  <c r="BA2" i="14"/>
  <c r="BX30" i="14"/>
  <c r="EP30" i="14"/>
  <c r="EH30" i="14"/>
  <c r="AA30" i="14"/>
  <c r="BV32" i="13"/>
  <c r="T41" i="13"/>
  <c r="U41" i="13" s="1"/>
  <c r="EZ41" i="13"/>
  <c r="Y41" i="13"/>
  <c r="DG33" i="14"/>
  <c r="DN13" i="1"/>
  <c r="DO13" i="1" s="1"/>
  <c r="DN20" i="1"/>
  <c r="DO20" i="1" s="1"/>
  <c r="DN18" i="1"/>
  <c r="DO18" i="1" s="1"/>
  <c r="DN16" i="1"/>
  <c r="DO16" i="1" s="1"/>
  <c r="DN19" i="1"/>
  <c r="DO19" i="1" s="1"/>
  <c r="DN14" i="1"/>
  <c r="DO14" i="1" s="1"/>
  <c r="DN15" i="1"/>
  <c r="DO15" i="1" s="1"/>
  <c r="DN17" i="1"/>
  <c r="DO17" i="1" s="1"/>
  <c r="CO30" i="1"/>
  <c r="CP30" i="1" s="1"/>
  <c r="CN46" i="1"/>
  <c r="CT46" i="1" s="1"/>
  <c r="BL46" i="1"/>
  <c r="BY46" i="1"/>
  <c r="BZ46" i="1" s="1"/>
  <c r="CH46" i="1"/>
  <c r="BG62" i="1"/>
  <c r="Y37" i="13"/>
  <c r="EZ37" i="13"/>
  <c r="T37" i="13"/>
  <c r="U37" i="13" s="1"/>
  <c r="BB3" i="1"/>
  <c r="AA43" i="14"/>
  <c r="BX43" i="14"/>
  <c r="BY43" i="14" s="1"/>
  <c r="CI14" i="14"/>
  <c r="DX14" i="14"/>
  <c r="DZ14" i="14" s="1"/>
  <c r="BZ14" i="14"/>
  <c r="CA14" i="14" s="1"/>
  <c r="BM14" i="14"/>
  <c r="AK14" i="14"/>
  <c r="BE62" i="1"/>
  <c r="CH44" i="1"/>
  <c r="BY44" i="1"/>
  <c r="BZ44" i="1" s="1"/>
  <c r="CN44" i="1"/>
  <c r="DF38" i="1"/>
  <c r="DE38" i="1"/>
  <c r="BC62" i="1"/>
  <c r="BY42" i="1"/>
  <c r="BZ42" i="1" s="1"/>
  <c r="DW42" i="1"/>
  <c r="DY42" i="1" s="1"/>
  <c r="CN42" i="1"/>
  <c r="CH42" i="1"/>
  <c r="BL42" i="1"/>
  <c r="AD50" i="13"/>
  <c r="BV25" i="13"/>
  <c r="EH25" i="14"/>
  <c r="AA25" i="14"/>
  <c r="AA18" i="17" s="1"/>
  <c r="EP25" i="14"/>
  <c r="Y84" i="14"/>
  <c r="BX25" i="14"/>
  <c r="Y50" i="14"/>
  <c r="Y54" i="14"/>
  <c r="Y53" i="14"/>
  <c r="BS39" i="13"/>
  <c r="AE39" i="13"/>
  <c r="O32" i="17" s="1"/>
  <c r="AL32" i="17" s="1"/>
  <c r="CC43" i="15"/>
  <c r="AL43" i="15"/>
  <c r="BE27" i="14"/>
  <c r="CC44" i="15"/>
  <c r="AL44" i="15"/>
  <c r="CC46" i="15"/>
  <c r="AL46" i="15"/>
  <c r="CA46" i="1"/>
  <c r="CB46" i="1"/>
  <c r="EH37" i="14"/>
  <c r="EP37" i="14"/>
  <c r="BX37" i="14"/>
  <c r="AA37" i="14"/>
  <c r="AZ3" i="1"/>
  <c r="CB44" i="1"/>
  <c r="CA44" i="1"/>
  <c r="EO32" i="14"/>
  <c r="BU32" i="14"/>
  <c r="CY32" i="14" s="1"/>
  <c r="BU17" i="14"/>
  <c r="BY17" i="14" s="1"/>
  <c r="AA17" i="14"/>
  <c r="AA10" i="17" s="1"/>
  <c r="EO17" i="14"/>
  <c r="Z84" i="14"/>
  <c r="Z51" i="14"/>
  <c r="Z49" i="14"/>
  <c r="Z53" i="14"/>
  <c r="Z54" i="14"/>
  <c r="EZ32" i="13"/>
  <c r="Y32" i="13"/>
  <c r="T32" i="13"/>
  <c r="U32" i="13" s="1"/>
  <c r="AE37" i="13"/>
  <c r="O30" i="17" s="1"/>
  <c r="AL30" i="17" s="1"/>
  <c r="BS37" i="13"/>
  <c r="DD25" i="1"/>
  <c r="DD26" i="1" s="1"/>
  <c r="DD27" i="1" s="1"/>
  <c r="DD28" i="1" s="1"/>
  <c r="DD29" i="1" s="1"/>
  <c r="DE25" i="1"/>
  <c r="DF25" i="1"/>
  <c r="AR78" i="15"/>
  <c r="AS78" i="15" s="1"/>
  <c r="Y38" i="13"/>
  <c r="EZ38" i="13"/>
  <c r="T38" i="13"/>
  <c r="U38" i="13" s="1"/>
  <c r="Y48" i="2"/>
  <c r="BA3" i="1"/>
  <c r="AJ14" i="13"/>
  <c r="DK14" i="13"/>
  <c r="T17" i="13"/>
  <c r="Z17" i="13"/>
  <c r="S53" i="13"/>
  <c r="S84" i="13"/>
  <c r="S49" i="13"/>
  <c r="S51" i="13"/>
  <c r="S54" i="13"/>
  <c r="AE50" i="14"/>
  <c r="EZ39" i="13"/>
  <c r="Y39" i="13"/>
  <c r="T39" i="13"/>
  <c r="U39" i="13" s="1"/>
  <c r="BX38" i="14"/>
  <c r="EP38" i="14"/>
  <c r="EH38" i="14"/>
  <c r="AA38" i="14"/>
  <c r="AA42" i="14"/>
  <c r="EH42" i="14"/>
  <c r="BX42" i="14"/>
  <c r="BY42" i="14" s="1"/>
  <c r="EP42" i="14"/>
  <c r="BD27" i="14"/>
  <c r="EP32" i="14"/>
  <c r="EH32" i="14"/>
  <c r="AA32" i="14"/>
  <c r="BX32" i="14"/>
  <c r="BY32" i="14" s="1"/>
  <c r="DP13" i="1"/>
  <c r="DQ13" i="1" s="1"/>
  <c r="DP18" i="1"/>
  <c r="DQ18" i="1" s="1"/>
  <c r="DP19" i="1"/>
  <c r="DQ19" i="1" s="1"/>
  <c r="DP17" i="1"/>
  <c r="DQ17" i="1" s="1"/>
  <c r="DP16" i="1"/>
  <c r="DQ16" i="1" s="1"/>
  <c r="DP15" i="1"/>
  <c r="DQ15" i="1" s="1"/>
  <c r="DP20" i="1"/>
  <c r="DQ20" i="1" s="1"/>
  <c r="DP14" i="1"/>
  <c r="DQ14" i="1" s="1"/>
  <c r="Z50" i="14"/>
  <c r="BU25" i="14"/>
  <c r="CY25" i="14" s="1"/>
  <c r="CZ25" i="14" s="1"/>
  <c r="EO25" i="14"/>
  <c r="ED25" i="14"/>
  <c r="ED48" i="14" s="1"/>
  <c r="AY3" i="1"/>
  <c r="EW40" i="1"/>
  <c r="CB40" i="1"/>
  <c r="CA40" i="1"/>
  <c r="T84" i="14"/>
  <c r="T51" i="14"/>
  <c r="T49" i="14"/>
  <c r="T54" i="14"/>
  <c r="T53" i="14"/>
  <c r="S50" i="13"/>
  <c r="Z25" i="13"/>
  <c r="BU39" i="14"/>
  <c r="CY39" i="14" s="1"/>
  <c r="EO39" i="14"/>
  <c r="Y44" i="2"/>
  <c r="BE33" i="14"/>
  <c r="AY27" i="14"/>
  <c r="EN39" i="13"/>
  <c r="BT39" i="13"/>
  <c r="CX39" i="13" s="1"/>
  <c r="BG19" i="2"/>
  <c r="AJ19" i="2"/>
  <c r="CR19" i="2"/>
  <c r="AR19" i="2"/>
  <c r="AQ19" i="2"/>
  <c r="Y45" i="2"/>
  <c r="BS41" i="13"/>
  <c r="AE41" i="13"/>
  <c r="O34" i="17" s="1"/>
  <c r="AL34" i="17" s="1"/>
  <c r="BA27" i="14"/>
  <c r="BV30" i="13"/>
  <c r="DK16" i="13"/>
  <c r="AJ16" i="13"/>
  <c r="R54" i="13"/>
  <c r="Y47" i="2"/>
  <c r="CB44" i="14"/>
  <c r="CC44" i="14"/>
  <c r="DF48" i="15"/>
  <c r="BS25" i="13"/>
  <c r="AE25" i="13"/>
  <c r="AC50" i="13"/>
  <c r="BW46" i="13"/>
  <c r="BX46" i="13" s="1"/>
  <c r="CB46" i="13" s="1"/>
  <c r="AA46" i="13"/>
  <c r="N39" i="17" s="1"/>
  <c r="BX39" i="14"/>
  <c r="EH39" i="14"/>
  <c r="EP39" i="14"/>
  <c r="AA39" i="14"/>
  <c r="AX3" i="1"/>
  <c r="AZ41" i="15"/>
  <c r="BD41" i="15"/>
  <c r="CI41" i="15"/>
  <c r="BB41" i="15"/>
  <c r="AX41" i="15"/>
  <c r="BM41" i="15"/>
  <c r="AR41" i="15"/>
  <c r="BA41" i="15"/>
  <c r="AY41" i="15"/>
  <c r="CI44" i="14"/>
  <c r="BF62" i="14"/>
  <c r="BZ44" i="14"/>
  <c r="CA44" i="14" s="1"/>
  <c r="AK44" i="14"/>
  <c r="AZ27" i="14"/>
  <c r="CC42" i="15"/>
  <c r="EP42" i="15"/>
  <c r="FB42" i="15"/>
  <c r="AL42" i="15"/>
  <c r="AE32" i="13"/>
  <c r="EC32" i="13" s="1"/>
  <c r="BS32" i="13"/>
  <c r="DW39" i="1"/>
  <c r="DY39" i="1" s="1"/>
  <c r="CN39" i="1"/>
  <c r="CH39" i="1"/>
  <c r="AZ62" i="1"/>
  <c r="BY39" i="1"/>
  <c r="BZ39" i="1" s="1"/>
  <c r="BL39" i="1"/>
  <c r="AG33" i="2"/>
  <c r="AA44" i="2"/>
  <c r="AA45" i="2"/>
  <c r="AA48" i="2"/>
  <c r="AA47" i="2"/>
  <c r="EN37" i="13"/>
  <c r="BT37" i="13"/>
  <c r="DE37" i="1"/>
  <c r="DF37" i="1"/>
  <c r="EO38" i="14"/>
  <c r="BU38" i="14"/>
  <c r="BV17" i="13"/>
  <c r="AD51" i="13"/>
  <c r="AD53" i="13"/>
  <c r="AD84" i="13"/>
  <c r="AD49" i="13"/>
  <c r="AD54" i="13"/>
  <c r="DE48" i="15"/>
  <c r="DE50" i="15" s="1"/>
  <c r="DA32" i="1"/>
  <c r="DB32" i="1"/>
  <c r="CV32" i="1"/>
  <c r="AE38" i="13"/>
  <c r="O31" i="17" s="1"/>
  <c r="AL31" i="17" s="1"/>
  <c r="BS38" i="13"/>
  <c r="EN32" i="13"/>
  <c r="BT32" i="13"/>
  <c r="AE30" i="13"/>
  <c r="BS30" i="13"/>
  <c r="AY2" i="13"/>
  <c r="BC27" i="14"/>
  <c r="BN27" i="14"/>
  <c r="EE25" i="14"/>
  <c r="AA40" i="14"/>
  <c r="BX40" i="14"/>
  <c r="BY40" i="14" s="1"/>
  <c r="EH40" i="14"/>
  <c r="EP40" i="14"/>
  <c r="AZ64" i="15"/>
  <c r="AK39" i="15"/>
  <c r="BU37" i="14"/>
  <c r="CY37" i="14" s="1"/>
  <c r="EO37" i="14"/>
  <c r="EN38" i="13"/>
  <c r="BT38" i="13"/>
  <c r="AA44" i="13"/>
  <c r="BW44" i="13"/>
  <c r="BX44" i="13" s="1"/>
  <c r="BE35" i="14"/>
  <c r="T42" i="13"/>
  <c r="U42" i="13" s="1"/>
  <c r="EZ42" i="13"/>
  <c r="Y42" i="13"/>
  <c r="AR49" i="15"/>
  <c r="CU30" i="1"/>
  <c r="CY30" i="1" s="1"/>
  <c r="DB30" i="1" s="1"/>
  <c r="U46" i="14"/>
  <c r="EP17" i="14"/>
  <c r="EH17" i="14"/>
  <c r="AE84" i="14"/>
  <c r="AE49" i="14"/>
  <c r="AE54" i="14"/>
  <c r="AE53" i="14"/>
  <c r="AE51" i="14"/>
  <c r="BM34" i="13"/>
  <c r="CI34" i="13"/>
  <c r="BA34" i="13"/>
  <c r="AZ34" i="13"/>
  <c r="BB34" i="13"/>
  <c r="DG35" i="14"/>
  <c r="DF35" i="14"/>
  <c r="CI29" i="13"/>
  <c r="BM29" i="13"/>
  <c r="AZ29" i="13"/>
  <c r="BB29" i="13"/>
  <c r="CI26" i="13"/>
  <c r="CT29" i="13"/>
  <c r="CO29" i="13" s="1"/>
  <c r="CP29" i="13" s="1"/>
  <c r="CT35" i="13"/>
  <c r="CT24" i="13"/>
  <c r="EP36" i="13"/>
  <c r="CC36" i="13"/>
  <c r="FB36" i="13"/>
  <c r="AR36" i="13"/>
  <c r="EP27" i="13"/>
  <c r="CC27" i="13"/>
  <c r="FB27" i="13"/>
  <c r="BE29" i="14"/>
  <c r="CV37" i="14"/>
  <c r="AU60" i="14"/>
  <c r="AU61" i="14" s="1"/>
  <c r="AU63" i="14" s="1"/>
  <c r="AU64" i="14" s="1"/>
  <c r="AV58" i="14"/>
  <c r="BB34" i="14"/>
  <c r="CJ34" i="14"/>
  <c r="BN34" i="14"/>
  <c r="AZ34" i="14"/>
  <c r="AY34" i="14"/>
  <c r="BA34" i="14"/>
  <c r="BC34" i="14"/>
  <c r="BN33" i="14"/>
  <c r="BB33" i="14"/>
  <c r="CJ33" i="14"/>
  <c r="AZ33" i="14"/>
  <c r="AY33" i="14"/>
  <c r="BA33" i="14"/>
  <c r="BC33" i="14"/>
  <c r="CT34" i="13"/>
  <c r="CO34" i="13" s="1"/>
  <c r="CP34" i="13" s="1"/>
  <c r="CI36" i="13"/>
  <c r="AY36" i="13"/>
  <c r="AZ36" i="13"/>
  <c r="DG26" i="14"/>
  <c r="DF26" i="14"/>
  <c r="BB35" i="14"/>
  <c r="CJ35" i="14"/>
  <c r="BN35" i="14"/>
  <c r="AZ35" i="14"/>
  <c r="AY35" i="14"/>
  <c r="BA35" i="14"/>
  <c r="BC35" i="14"/>
  <c r="CP23" i="14"/>
  <c r="CQ23" i="14" s="1"/>
  <c r="CT27" i="13"/>
  <c r="CO27" i="13" s="1"/>
  <c r="CP27" i="13" s="1"/>
  <c r="BB31" i="14"/>
  <c r="BN31" i="14"/>
  <c r="CJ31" i="14"/>
  <c r="AZ31" i="14"/>
  <c r="BA31" i="14"/>
  <c r="AY31" i="14"/>
  <c r="BC31" i="14"/>
  <c r="DB31" i="14"/>
  <c r="DC31" i="14"/>
  <c r="EP31" i="13"/>
  <c r="AT58" i="13"/>
  <c r="CC31" i="13"/>
  <c r="AS58" i="13"/>
  <c r="AS60" i="13" s="1"/>
  <c r="AT66" i="13"/>
  <c r="FB31" i="13"/>
  <c r="AR31" i="13"/>
  <c r="CO33" i="13"/>
  <c r="CP33" i="13" s="1"/>
  <c r="DA33" i="13"/>
  <c r="DK18" i="13"/>
  <c r="AJ18" i="13"/>
  <c r="AK18" i="14"/>
  <c r="DX18" i="14"/>
  <c r="DZ18" i="14" s="1"/>
  <c r="BZ18" i="14"/>
  <c r="CA18" i="14" s="1"/>
  <c r="CI18" i="14"/>
  <c r="BM18" i="14"/>
  <c r="DF23" i="14"/>
  <c r="DG23" i="14"/>
  <c r="AS29" i="14"/>
  <c r="BE31" i="14"/>
  <c r="CO23" i="13"/>
  <c r="CP23" i="13" s="1"/>
  <c r="CU23" i="13"/>
  <c r="CY23" i="13" s="1"/>
  <c r="BC28" i="13"/>
  <c r="EP28" i="13"/>
  <c r="CC28" i="13"/>
  <c r="FB28" i="13"/>
  <c r="BD28" i="13"/>
  <c r="DB29" i="14"/>
  <c r="DC29" i="14"/>
  <c r="BD35" i="14"/>
  <c r="CC26" i="13"/>
  <c r="EP26" i="13"/>
  <c r="FB26" i="13"/>
  <c r="BC31" i="13"/>
  <c r="BM31" i="13"/>
  <c r="CI31" i="13"/>
  <c r="AY31" i="13"/>
  <c r="AX31" i="13"/>
  <c r="AZ31" i="13"/>
  <c r="BB31" i="13"/>
  <c r="CU22" i="13"/>
  <c r="CY22" i="13" s="1"/>
  <c r="DA22" i="13" s="1"/>
  <c r="CT28" i="13"/>
  <c r="CO28" i="13" s="1"/>
  <c r="CP28" i="13" s="1"/>
  <c r="CT26" i="13"/>
  <c r="CO26" i="13" s="1"/>
  <c r="CP26" i="13" s="1"/>
  <c r="CP35" i="14"/>
  <c r="CQ35" i="14" s="1"/>
  <c r="CU21" i="13"/>
  <c r="CY21" i="13" s="1"/>
  <c r="DA21" i="13" s="1"/>
  <c r="AS31" i="14"/>
  <c r="FB35" i="13"/>
  <c r="EP35" i="13"/>
  <c r="CC35" i="13"/>
  <c r="EP34" i="13"/>
  <c r="CC34" i="13"/>
  <c r="BC34" i="13"/>
  <c r="FB34" i="13"/>
  <c r="AR34" i="13"/>
  <c r="BD34" i="13"/>
  <c r="BN29" i="14"/>
  <c r="BB29" i="14"/>
  <c r="CJ29" i="14"/>
  <c r="AZ29" i="14"/>
  <c r="AY29" i="14"/>
  <c r="BA29" i="14"/>
  <c r="BC29" i="14"/>
  <c r="DB35" i="14"/>
  <c r="CW35" i="14"/>
  <c r="EP29" i="13"/>
  <c r="BC29" i="13"/>
  <c r="CC29" i="13"/>
  <c r="FB29" i="13"/>
  <c r="BD29" i="13"/>
  <c r="CV36" i="14"/>
  <c r="CZ36" i="14" s="1"/>
  <c r="DB36" i="14"/>
  <c r="CW36" i="14"/>
  <c r="DC36" i="14"/>
  <c r="CT31" i="13"/>
  <c r="CO31" i="13" s="1"/>
  <c r="CP31" i="13" s="1"/>
  <c r="EP33" i="13"/>
  <c r="CC33" i="13"/>
  <c r="FB33" i="13"/>
  <c r="AX28" i="13"/>
  <c r="BB28" i="13"/>
  <c r="CT36" i="13"/>
  <c r="CO36" i="13" s="1"/>
  <c r="CP36" i="13" s="1"/>
  <c r="AU66" i="14"/>
  <c r="BN36" i="14"/>
  <c r="CJ36" i="14"/>
  <c r="BB36" i="14"/>
  <c r="AZ36" i="14"/>
  <c r="AY36" i="14"/>
  <c r="BA36" i="14"/>
  <c r="BC36" i="14"/>
  <c r="CB18" i="13"/>
  <c r="DE43" i="1"/>
  <c r="DF43" i="1"/>
  <c r="AX60" i="1"/>
  <c r="AX61" i="1" s="1"/>
  <c r="AX63" i="1" s="1"/>
  <c r="AX64" i="1" s="1"/>
  <c r="AY58" i="1"/>
  <c r="AY60" i="1" s="1"/>
  <c r="AY61" i="1" s="1"/>
  <c r="AY63" i="1" s="1"/>
  <c r="AY64" i="1" s="1"/>
  <c r="AN28" i="17" l="1"/>
  <c r="T28" i="17"/>
  <c r="AP20" i="17"/>
  <c r="BX20" i="13"/>
  <c r="CB20" i="13"/>
  <c r="N8" i="17"/>
  <c r="AK8" i="17" s="1"/>
  <c r="AJ15" i="13"/>
  <c r="DK15" i="13"/>
  <c r="N13" i="17"/>
  <c r="AK13" i="17" s="1"/>
  <c r="AJ20" i="13"/>
  <c r="DK20" i="13"/>
  <c r="EX20" i="14"/>
  <c r="CB20" i="14"/>
  <c r="BX13" i="13"/>
  <c r="CB13" i="13" s="1"/>
  <c r="BX15" i="13"/>
  <c r="CB15" i="13"/>
  <c r="DX20" i="14"/>
  <c r="DZ20" i="14" s="1"/>
  <c r="AK20" i="14"/>
  <c r="CI20" i="14"/>
  <c r="BM20" i="14"/>
  <c r="BZ20" i="14"/>
  <c r="CA20" i="14" s="1"/>
  <c r="AP26" i="17"/>
  <c r="N6" i="17"/>
  <c r="AK6" i="17" s="1"/>
  <c r="AJ13" i="13"/>
  <c r="DK13" i="13"/>
  <c r="EX15" i="14"/>
  <c r="CB15" i="14"/>
  <c r="AK13" i="14"/>
  <c r="CI13" i="14"/>
  <c r="BM13" i="14"/>
  <c r="DX13" i="14"/>
  <c r="DZ13" i="14" s="1"/>
  <c r="BZ13" i="14"/>
  <c r="CA13" i="14" s="1"/>
  <c r="N12" i="17"/>
  <c r="AK12" i="17" s="1"/>
  <c r="DK19" i="13"/>
  <c r="AJ19" i="13"/>
  <c r="BZ19" i="14"/>
  <c r="CA19" i="14" s="1"/>
  <c r="CI19" i="14"/>
  <c r="DX19" i="14"/>
  <c r="DZ19" i="14" s="1"/>
  <c r="AK19" i="14"/>
  <c r="BM19" i="14"/>
  <c r="CI15" i="14"/>
  <c r="AK15" i="14"/>
  <c r="BM15" i="14"/>
  <c r="BZ15" i="14"/>
  <c r="CA15" i="14" s="1"/>
  <c r="DX15" i="14"/>
  <c r="DZ15" i="14" s="1"/>
  <c r="BX19" i="13"/>
  <c r="CB19" i="13"/>
  <c r="CC20" i="14"/>
  <c r="EX19" i="14"/>
  <c r="CB19" i="14"/>
  <c r="AP28" i="17"/>
  <c r="AZ28" i="13"/>
  <c r="AR28" i="13"/>
  <c r="AY28" i="13"/>
  <c r="BA28" i="13"/>
  <c r="CI28" i="13"/>
  <c r="BM28" i="13"/>
  <c r="BM35" i="13"/>
  <c r="AP27" i="17"/>
  <c r="BA36" i="13"/>
  <c r="BC36" i="13"/>
  <c r="BD36" i="13"/>
  <c r="AX27" i="13"/>
  <c r="BB36" i="13"/>
  <c r="AP22" i="17"/>
  <c r="BC33" i="13"/>
  <c r="AR29" i="13"/>
  <c r="CI35" i="13"/>
  <c r="AR26" i="13"/>
  <c r="BA29" i="13"/>
  <c r="AY34" i="13"/>
  <c r="EC25" i="13"/>
  <c r="O18" i="17"/>
  <c r="AL18" i="17" s="1"/>
  <c r="AZ2" i="13"/>
  <c r="BB2" i="13" s="1"/>
  <c r="EC30" i="13"/>
  <c r="O23" i="17"/>
  <c r="AL23" i="17" s="1"/>
  <c r="BA31" i="13"/>
  <c r="BD31" i="13"/>
  <c r="BM26" i="13"/>
  <c r="BA33" i="13"/>
  <c r="ED32" i="13"/>
  <c r="O25" i="17"/>
  <c r="AL25" i="17" s="1"/>
  <c r="BA27" i="13"/>
  <c r="BC26" i="13"/>
  <c r="DF33" i="13"/>
  <c r="AJ40" i="14"/>
  <c r="AA33" i="17"/>
  <c r="AJ45" i="13"/>
  <c r="CH45" i="13" s="1"/>
  <c r="N38" i="17"/>
  <c r="AP29" i="17"/>
  <c r="AM21" i="17"/>
  <c r="Q21" i="17"/>
  <c r="BB35" i="13"/>
  <c r="BM27" i="13"/>
  <c r="AX36" i="13"/>
  <c r="BD27" i="13"/>
  <c r="BB26" i="13"/>
  <c r="AX29" i="13"/>
  <c r="BB33" i="13"/>
  <c r="AX34" i="13"/>
  <c r="AJ42" i="14"/>
  <c r="BD62" i="14" s="1"/>
  <c r="AA35" i="17"/>
  <c r="AJ45" i="14"/>
  <c r="AA38" i="17"/>
  <c r="AP21" i="17"/>
  <c r="AJ37" i="14"/>
  <c r="AY62" i="14" s="1"/>
  <c r="AA30" i="17"/>
  <c r="AJ46" i="14"/>
  <c r="AK46" i="14" s="1"/>
  <c r="AA39" i="17"/>
  <c r="AK39" i="17" s="1"/>
  <c r="AM19" i="17"/>
  <c r="Q19" i="17"/>
  <c r="AY27" i="13"/>
  <c r="AZ26" i="13"/>
  <c r="AJ32" i="14"/>
  <c r="DX32" i="14" s="1"/>
  <c r="DZ32" i="14" s="1"/>
  <c r="AA25" i="17"/>
  <c r="AJ38" i="14"/>
  <c r="AA31" i="17"/>
  <c r="AJ41" i="14"/>
  <c r="BM41" i="14" s="1"/>
  <c r="AA34" i="17"/>
  <c r="AM24" i="17"/>
  <c r="Q24" i="17"/>
  <c r="BD33" i="13"/>
  <c r="BD35" i="13"/>
  <c r="AX35" i="13"/>
  <c r="BM36" i="13"/>
  <c r="AX26" i="13"/>
  <c r="AY29" i="13"/>
  <c r="AX33" i="13"/>
  <c r="AP24" i="17"/>
  <c r="AZ35" i="13"/>
  <c r="CI27" i="13"/>
  <c r="AR27" i="13"/>
  <c r="AZ33" i="13"/>
  <c r="AR33" i="13"/>
  <c r="AR35" i="13"/>
  <c r="AY35" i="13"/>
  <c r="BB27" i="13"/>
  <c r="AY26" i="13"/>
  <c r="AY33" i="13"/>
  <c r="AM22" i="17"/>
  <c r="Q22" i="17"/>
  <c r="AM27" i="17"/>
  <c r="Q27" i="17"/>
  <c r="AJ44" i="13"/>
  <c r="BE62" i="13" s="1"/>
  <c r="N37" i="17"/>
  <c r="BM33" i="13"/>
  <c r="AM29" i="17"/>
  <c r="Q29" i="17"/>
  <c r="BC35" i="13"/>
  <c r="BA35" i="13"/>
  <c r="AZ27" i="13"/>
  <c r="BD26" i="13"/>
  <c r="BC27" i="13"/>
  <c r="BA26" i="13"/>
  <c r="CI33" i="13"/>
  <c r="AJ39" i="14"/>
  <c r="DX39" i="14" s="1"/>
  <c r="DZ39" i="14" s="1"/>
  <c r="AA32" i="17"/>
  <c r="AJ43" i="14"/>
  <c r="CI43" i="14" s="1"/>
  <c r="AA36" i="17"/>
  <c r="AJ30" i="14"/>
  <c r="DX30" i="14" s="1"/>
  <c r="DZ30" i="14" s="1"/>
  <c r="AA23" i="17"/>
  <c r="AJ40" i="13"/>
  <c r="BA62" i="13" s="1"/>
  <c r="N33" i="17"/>
  <c r="AM20" i="17"/>
  <c r="Q20" i="17"/>
  <c r="AM26" i="17"/>
  <c r="Q26" i="17"/>
  <c r="BY37" i="14"/>
  <c r="BY25" i="14"/>
  <c r="BY39" i="14"/>
  <c r="CB39" i="14" s="1"/>
  <c r="DB22" i="13"/>
  <c r="DE22" i="13" s="1"/>
  <c r="ED30" i="13"/>
  <c r="AJ53" i="1"/>
  <c r="DD30" i="1"/>
  <c r="DD31" i="1" s="1"/>
  <c r="DD32" i="1" s="1"/>
  <c r="DD33" i="1" s="1"/>
  <c r="DD34" i="1" s="1"/>
  <c r="DD35" i="1" s="1"/>
  <c r="DD36" i="1" s="1"/>
  <c r="DD37" i="1" s="1"/>
  <c r="DD38" i="1" s="1"/>
  <c r="BY41" i="14"/>
  <c r="CB41" i="14" s="1"/>
  <c r="AJ51" i="1"/>
  <c r="AJ87" i="1" s="1"/>
  <c r="AJ88" i="1" s="1"/>
  <c r="AJ50" i="1"/>
  <c r="CZ37" i="14"/>
  <c r="BC2" i="14"/>
  <c r="AA39" i="13"/>
  <c r="EG39" i="13"/>
  <c r="BW39" i="13"/>
  <c r="BX39" i="13" s="1"/>
  <c r="EO39" i="13"/>
  <c r="BW43" i="13"/>
  <c r="BX43" i="13" s="1"/>
  <c r="AA43" i="13"/>
  <c r="CB43" i="14"/>
  <c r="CC43" i="14"/>
  <c r="EG17" i="13"/>
  <c r="EO17" i="13"/>
  <c r="AE54" i="13"/>
  <c r="AE53" i="13"/>
  <c r="AE49" i="13"/>
  <c r="AE51" i="13"/>
  <c r="AE84" i="13"/>
  <c r="EX37" i="14"/>
  <c r="CB37" i="14"/>
  <c r="CC37" i="14"/>
  <c r="CX37" i="13"/>
  <c r="BZ46" i="14"/>
  <c r="CA46" i="14" s="1"/>
  <c r="BM46" i="14"/>
  <c r="CI46" i="14"/>
  <c r="AJ46" i="13"/>
  <c r="CP44" i="14"/>
  <c r="CQ44" i="14" s="1"/>
  <c r="DB44" i="14"/>
  <c r="CW44" i="14"/>
  <c r="DC44" i="14"/>
  <c r="DG44" i="14" s="1"/>
  <c r="CY38" i="14"/>
  <c r="BY38" i="14"/>
  <c r="Y51" i="13"/>
  <c r="U25" i="13"/>
  <c r="T50" i="13"/>
  <c r="CC40" i="14"/>
  <c r="CB40" i="14"/>
  <c r="EX40" i="14"/>
  <c r="EO42" i="13"/>
  <c r="BW42" i="13"/>
  <c r="BX42" i="13" s="1"/>
  <c r="AA42" i="13"/>
  <c r="EG42" i="13"/>
  <c r="CT44" i="1"/>
  <c r="CO44" i="1" s="1"/>
  <c r="CP44" i="1" s="1"/>
  <c r="EO38" i="13"/>
  <c r="AA38" i="13"/>
  <c r="EG38" i="13"/>
  <c r="BW38" i="13"/>
  <c r="BX38" i="13" s="1"/>
  <c r="DL17" i="14"/>
  <c r="AJ17" i="14"/>
  <c r="AA51" i="14"/>
  <c r="AA53" i="14"/>
  <c r="AA54" i="14"/>
  <c r="AA49" i="14"/>
  <c r="AA84" i="14"/>
  <c r="BA46" i="15"/>
  <c r="AX46" i="15"/>
  <c r="BB46" i="15"/>
  <c r="CI46" i="15"/>
  <c r="BD46" i="15"/>
  <c r="BM46" i="15"/>
  <c r="AR46" i="15"/>
  <c r="AZ46" i="15"/>
  <c r="AY46" i="15"/>
  <c r="EX25" i="14"/>
  <c r="CB25" i="14"/>
  <c r="CC25" i="14"/>
  <c r="BB62" i="14"/>
  <c r="BZ40" i="14"/>
  <c r="CA40" i="14" s="1"/>
  <c r="AK40" i="14"/>
  <c r="CI40" i="14"/>
  <c r="DX40" i="14"/>
  <c r="DZ40" i="14" s="1"/>
  <c r="CO40" i="14"/>
  <c r="BM40" i="14"/>
  <c r="BL16" i="13"/>
  <c r="BY16" i="13"/>
  <c r="BZ16" i="13" s="1"/>
  <c r="DW16" i="13"/>
  <c r="DY16" i="13" s="1"/>
  <c r="CH16" i="13"/>
  <c r="EX32" i="14"/>
  <c r="CB32" i="14"/>
  <c r="CC32" i="14"/>
  <c r="EO41" i="13"/>
  <c r="AA41" i="13"/>
  <c r="BW41" i="13"/>
  <c r="BX41" i="13" s="1"/>
  <c r="EG41" i="13"/>
  <c r="DF32" i="1"/>
  <c r="DE32" i="1"/>
  <c r="CT39" i="1"/>
  <c r="CO39" i="1" s="1"/>
  <c r="CP39" i="1" s="1"/>
  <c r="CI32" i="14"/>
  <c r="CZ32" i="14"/>
  <c r="BD44" i="15"/>
  <c r="AR44" i="15"/>
  <c r="BB44" i="15"/>
  <c r="CI44" i="15"/>
  <c r="AZ44" i="15"/>
  <c r="AY44" i="15"/>
  <c r="AX44" i="15"/>
  <c r="BA44" i="15"/>
  <c r="BW25" i="13"/>
  <c r="Y84" i="13"/>
  <c r="AA25" i="13"/>
  <c r="EO25" i="13"/>
  <c r="EG25" i="13"/>
  <c r="Y50" i="13"/>
  <c r="Y53" i="13"/>
  <c r="Y54" i="13"/>
  <c r="DA41" i="1"/>
  <c r="CV41" i="1"/>
  <c r="CU41" i="1"/>
  <c r="CY41" i="1" s="1"/>
  <c r="DB41" i="1" s="1"/>
  <c r="CB44" i="13"/>
  <c r="CA44" i="13"/>
  <c r="ED19" i="14"/>
  <c r="EE19" i="14" s="1"/>
  <c r="EF19" i="14" s="1"/>
  <c r="ED17" i="14"/>
  <c r="EE17" i="14" s="1"/>
  <c r="EF17" i="14" s="1"/>
  <c r="ED14" i="14"/>
  <c r="EE14" i="14" s="1"/>
  <c r="EF14" i="14" s="1"/>
  <c r="ED13" i="14"/>
  <c r="EE13" i="14" s="1"/>
  <c r="EF13" i="14" s="1"/>
  <c r="ED20" i="14"/>
  <c r="EE20" i="14" s="1"/>
  <c r="EF20" i="14" s="1"/>
  <c r="ED16" i="14"/>
  <c r="EE16" i="14" s="1"/>
  <c r="EF16" i="14" s="1"/>
  <c r="ED18" i="14"/>
  <c r="EE18" i="14" s="1"/>
  <c r="EF18" i="14" s="1"/>
  <c r="ED15" i="14"/>
  <c r="EE15" i="14" s="1"/>
  <c r="EF15" i="14" s="1"/>
  <c r="CO41" i="14"/>
  <c r="BZ41" i="14"/>
  <c r="CX38" i="13"/>
  <c r="CB17" i="14"/>
  <c r="CC17" i="14"/>
  <c r="EX17" i="14"/>
  <c r="BD40" i="15"/>
  <c r="BB40" i="15"/>
  <c r="BM40" i="15"/>
  <c r="AR40" i="15"/>
  <c r="BA40" i="15"/>
  <c r="AY40" i="15"/>
  <c r="AX40" i="15"/>
  <c r="CI40" i="15"/>
  <c r="AZ40" i="15"/>
  <c r="AZ42" i="15"/>
  <c r="CI42" i="15"/>
  <c r="BD42" i="15"/>
  <c r="BM42" i="15"/>
  <c r="BB42" i="15"/>
  <c r="AR42" i="15"/>
  <c r="AY42" i="15"/>
  <c r="AX42" i="15"/>
  <c r="BA42" i="15"/>
  <c r="CC42" i="14"/>
  <c r="EX42" i="14"/>
  <c r="CB42" i="14"/>
  <c r="AA17" i="13"/>
  <c r="N10" i="17" s="1"/>
  <c r="EN17" i="13"/>
  <c r="BT17" i="13"/>
  <c r="BX17" i="13" s="1"/>
  <c r="Z53" i="13"/>
  <c r="Z84" i="13"/>
  <c r="Z49" i="13"/>
  <c r="Z51" i="13"/>
  <c r="Z54" i="13"/>
  <c r="BW30" i="13"/>
  <c r="BX30" i="13" s="1"/>
  <c r="EG30" i="13"/>
  <c r="EO30" i="13"/>
  <c r="AA30" i="13"/>
  <c r="CC46" i="14"/>
  <c r="CB46" i="14"/>
  <c r="BM30" i="14"/>
  <c r="CO30" i="14"/>
  <c r="AK30" i="14"/>
  <c r="AL30" i="14" s="1"/>
  <c r="AC23" i="17" s="1"/>
  <c r="BZ30" i="14"/>
  <c r="DL30" i="14"/>
  <c r="AG44" i="2"/>
  <c r="AG47" i="2"/>
  <c r="AG55" i="2"/>
  <c r="BF33" i="2"/>
  <c r="AG54" i="2"/>
  <c r="AG45" i="2"/>
  <c r="AG48" i="2"/>
  <c r="AG53" i="2"/>
  <c r="BT25" i="13"/>
  <c r="EN25" i="13"/>
  <c r="Z50" i="13"/>
  <c r="BZ42" i="14"/>
  <c r="CA42" i="14" s="1"/>
  <c r="DX42" i="14"/>
  <c r="DZ42" i="14" s="1"/>
  <c r="BM42" i="14"/>
  <c r="AK42" i="14"/>
  <c r="CI42" i="14"/>
  <c r="CT42" i="1"/>
  <c r="CO42" i="1" s="1"/>
  <c r="CP42" i="1" s="1"/>
  <c r="BZ43" i="14"/>
  <c r="CA43" i="14" s="1"/>
  <c r="DB21" i="13"/>
  <c r="DF21" i="13" s="1"/>
  <c r="AK38" i="14"/>
  <c r="AL38" i="14" s="1"/>
  <c r="AC31" i="17" s="1"/>
  <c r="CI38" i="14"/>
  <c r="BZ38" i="14"/>
  <c r="CO38" i="14"/>
  <c r="BM38" i="14"/>
  <c r="AZ62" i="14"/>
  <c r="DX38" i="14"/>
  <c r="DZ38" i="14" s="1"/>
  <c r="BD3" i="1"/>
  <c r="CA46" i="13"/>
  <c r="DF30" i="1"/>
  <c r="DE30" i="1"/>
  <c r="EP39" i="15"/>
  <c r="CC39" i="15"/>
  <c r="FB39" i="15"/>
  <c r="AL39" i="15"/>
  <c r="AK50" i="15"/>
  <c r="AK54" i="15"/>
  <c r="AK51" i="15"/>
  <c r="AK53" i="15"/>
  <c r="BY14" i="13"/>
  <c r="BZ14" i="13" s="1"/>
  <c r="CH14" i="13"/>
  <c r="DW14" i="13"/>
  <c r="DY14" i="13" s="1"/>
  <c r="BL14" i="13"/>
  <c r="BY30" i="14"/>
  <c r="EW40" i="13"/>
  <c r="CA40" i="13"/>
  <c r="CB40" i="13"/>
  <c r="AK9" i="1"/>
  <c r="AK18" i="1"/>
  <c r="AL18" i="14" s="1"/>
  <c r="AC11" i="17" s="1"/>
  <c r="AD11" i="17" s="1"/>
  <c r="AK7" i="1"/>
  <c r="AK16" i="1"/>
  <c r="AK10" i="1"/>
  <c r="AK8" i="1"/>
  <c r="AK15" i="1"/>
  <c r="AK21" i="1"/>
  <c r="BC44" i="1"/>
  <c r="AK11" i="1"/>
  <c r="AK13" i="1"/>
  <c r="BC40" i="1"/>
  <c r="BC42" i="1"/>
  <c r="BC41" i="1"/>
  <c r="BB58" i="1" s="1"/>
  <c r="BB60" i="1" s="1"/>
  <c r="BB61" i="1" s="1"/>
  <c r="BB63" i="1" s="1"/>
  <c r="AK17" i="1"/>
  <c r="BC39" i="1"/>
  <c r="AK24" i="1"/>
  <c r="AK14" i="1"/>
  <c r="AK20" i="1"/>
  <c r="BC46" i="1"/>
  <c r="BC43" i="1"/>
  <c r="AK22" i="1"/>
  <c r="BC45" i="1"/>
  <c r="AK19" i="1"/>
  <c r="BO58" i="1"/>
  <c r="AK23" i="1"/>
  <c r="AK12" i="1"/>
  <c r="ED25" i="13"/>
  <c r="AE50" i="13"/>
  <c r="CZ39" i="14"/>
  <c r="BW32" i="13"/>
  <c r="BX32" i="13" s="1"/>
  <c r="EO32" i="13"/>
  <c r="EG32" i="13"/>
  <c r="AA32" i="13"/>
  <c r="CX32" i="13"/>
  <c r="AK39" i="14"/>
  <c r="CO39" i="14"/>
  <c r="BZ39" i="14"/>
  <c r="BM39" i="14"/>
  <c r="BA62" i="14"/>
  <c r="CI39" i="14"/>
  <c r="DW40" i="1"/>
  <c r="DY40" i="1" s="1"/>
  <c r="CN40" i="1"/>
  <c r="CT40" i="1" s="1"/>
  <c r="CH40" i="1"/>
  <c r="CH53" i="1" s="1"/>
  <c r="BY40" i="1"/>
  <c r="BZ40" i="1" s="1"/>
  <c r="BA62" i="1"/>
  <c r="BL40" i="1"/>
  <c r="AJ25" i="14"/>
  <c r="AA50" i="14"/>
  <c r="CO46" i="1"/>
  <c r="CP46" i="1" s="1"/>
  <c r="CU46" i="1"/>
  <c r="CY46" i="1" s="1"/>
  <c r="DB46" i="1" s="1"/>
  <c r="DA46" i="1"/>
  <c r="CV46" i="1"/>
  <c r="T49" i="13"/>
  <c r="T84" i="13"/>
  <c r="T54" i="13"/>
  <c r="T53" i="13"/>
  <c r="T51" i="13"/>
  <c r="AK37" i="14"/>
  <c r="AL37" i="14" s="1"/>
  <c r="AC30" i="17" s="1"/>
  <c r="CO37" i="14"/>
  <c r="BB43" i="15"/>
  <c r="AY43" i="15"/>
  <c r="CI43" i="15"/>
  <c r="AZ43" i="15"/>
  <c r="BA43" i="15"/>
  <c r="BD43" i="15"/>
  <c r="BM43" i="15"/>
  <c r="AR43" i="15"/>
  <c r="AX43" i="15"/>
  <c r="BW37" i="13"/>
  <c r="BX37" i="13" s="1"/>
  <c r="EG37" i="13"/>
  <c r="AA37" i="13"/>
  <c r="EO37" i="13"/>
  <c r="DF22" i="13"/>
  <c r="CU35" i="13"/>
  <c r="CY35" i="13" s="1"/>
  <c r="DB35" i="13" s="1"/>
  <c r="DA35" i="13"/>
  <c r="CV35" i="13"/>
  <c r="CU27" i="13"/>
  <c r="CY27" i="13" s="1"/>
  <c r="DB27" i="13" s="1"/>
  <c r="DA27" i="13"/>
  <c r="BL18" i="13"/>
  <c r="DW18" i="13"/>
  <c r="DY18" i="13" s="1"/>
  <c r="BY18" i="13"/>
  <c r="BZ18" i="13" s="1"/>
  <c r="CH18" i="13"/>
  <c r="DA34" i="13"/>
  <c r="DB34" i="13"/>
  <c r="CV34" i="13"/>
  <c r="CU24" i="13"/>
  <c r="CY24" i="13" s="1"/>
  <c r="DB24" i="13" s="1"/>
  <c r="DA24" i="13"/>
  <c r="DA23" i="13"/>
  <c r="DB23" i="13"/>
  <c r="DG31" i="14"/>
  <c r="DF31" i="14"/>
  <c r="DG29" i="14"/>
  <c r="DF29" i="14"/>
  <c r="CU31" i="13"/>
  <c r="CY31" i="13" s="1"/>
  <c r="DB31" i="13" s="1"/>
  <c r="DA31" i="13"/>
  <c r="CU29" i="13"/>
  <c r="CY29" i="13" s="1"/>
  <c r="DB29" i="13" s="1"/>
  <c r="DA29" i="13"/>
  <c r="AW58" i="14"/>
  <c r="AV60" i="14"/>
  <c r="AV61" i="14" s="1"/>
  <c r="AV63" i="14" s="1"/>
  <c r="AV64" i="14" s="1"/>
  <c r="DF44" i="14"/>
  <c r="CU26" i="13"/>
  <c r="CY26" i="13" s="1"/>
  <c r="DB26" i="13" s="1"/>
  <c r="DA26" i="13"/>
  <c r="CU36" i="13"/>
  <c r="CY36" i="13" s="1"/>
  <c r="DB36" i="13" s="1"/>
  <c r="DA36" i="13"/>
  <c r="CV36" i="13"/>
  <c r="DG36" i="14"/>
  <c r="DF36" i="14"/>
  <c r="CU28" i="13"/>
  <c r="CY28" i="13" s="1"/>
  <c r="DB28" i="13" s="1"/>
  <c r="DA28" i="13"/>
  <c r="AT60" i="13"/>
  <c r="AT61" i="13" s="1"/>
  <c r="AT63" i="13" s="1"/>
  <c r="AT64" i="13" s="1"/>
  <c r="AU58" i="13"/>
  <c r="CO24" i="13"/>
  <c r="CP24" i="13" s="1"/>
  <c r="CO35" i="13"/>
  <c r="CP35" i="13" s="1"/>
  <c r="AN20" i="17" l="1"/>
  <c r="T20" i="17"/>
  <c r="AN22" i="17"/>
  <c r="T22" i="17"/>
  <c r="AN21" i="17"/>
  <c r="T21" i="17"/>
  <c r="AN26" i="17"/>
  <c r="T26" i="17"/>
  <c r="AN27" i="17"/>
  <c r="T27" i="17"/>
  <c r="AN29" i="17"/>
  <c r="T29" i="17"/>
  <c r="AN19" i="17"/>
  <c r="T19" i="17"/>
  <c r="AN24" i="17"/>
  <c r="T24" i="17"/>
  <c r="AK32" i="14"/>
  <c r="AL32" i="14" s="1"/>
  <c r="AC25" i="17" s="1"/>
  <c r="AD25" i="17" s="1"/>
  <c r="CO46" i="14"/>
  <c r="CH20" i="13"/>
  <c r="DW20" i="13"/>
  <c r="DY20" i="13" s="1"/>
  <c r="BY20" i="13"/>
  <c r="BZ20" i="13" s="1"/>
  <c r="BL20" i="13"/>
  <c r="BM37" i="14"/>
  <c r="DL32" i="14"/>
  <c r="BH62" i="14"/>
  <c r="BY13" i="13"/>
  <c r="BZ13" i="13" s="1"/>
  <c r="CH13" i="13"/>
  <c r="BL13" i="13"/>
  <c r="DW13" i="13"/>
  <c r="DY13" i="13" s="1"/>
  <c r="CA39" i="14"/>
  <c r="DM32" i="14"/>
  <c r="EW15" i="13"/>
  <c r="CA15" i="13"/>
  <c r="DX37" i="14"/>
  <c r="DZ37" i="14" s="1"/>
  <c r="CI37" i="14"/>
  <c r="BZ37" i="14"/>
  <c r="CA37" i="14" s="1"/>
  <c r="CO32" i="14"/>
  <c r="CH54" i="1"/>
  <c r="EW19" i="13"/>
  <c r="CA19" i="13"/>
  <c r="BY15" i="13"/>
  <c r="BZ15" i="13" s="1"/>
  <c r="CH15" i="13"/>
  <c r="DW15" i="13"/>
  <c r="DY15" i="13" s="1"/>
  <c r="BL15" i="13"/>
  <c r="BM32" i="14"/>
  <c r="BZ32" i="14"/>
  <c r="CA32" i="14" s="1"/>
  <c r="CA13" i="13"/>
  <c r="EW13" i="13"/>
  <c r="AT61" i="14"/>
  <c r="AT62" i="14"/>
  <c r="CH19" i="13"/>
  <c r="BL19" i="13"/>
  <c r="DW19" i="13"/>
  <c r="DY19" i="13" s="1"/>
  <c r="BY19" i="13"/>
  <c r="BZ19" i="13" s="1"/>
  <c r="EW20" i="13"/>
  <c r="CA20" i="13"/>
  <c r="EC48" i="13"/>
  <c r="EC19" i="13" s="1"/>
  <c r="ED19" i="13" s="1"/>
  <c r="EE19" i="13" s="1"/>
  <c r="DW40" i="13"/>
  <c r="DY40" i="13" s="1"/>
  <c r="CH40" i="13"/>
  <c r="CN40" i="13"/>
  <c r="CT40" i="13" s="1"/>
  <c r="BF62" i="13"/>
  <c r="BL40" i="13"/>
  <c r="AD30" i="17"/>
  <c r="CH44" i="13"/>
  <c r="AD31" i="17"/>
  <c r="EC17" i="13"/>
  <c r="ED17" i="13" s="1"/>
  <c r="EE17" i="13" s="1"/>
  <c r="CN45" i="13"/>
  <c r="AK38" i="17"/>
  <c r="AJ37" i="13"/>
  <c r="AX62" i="13" s="1"/>
  <c r="N30" i="17"/>
  <c r="AK43" i="14"/>
  <c r="AJ30" i="13"/>
  <c r="DW30" i="13" s="1"/>
  <c r="DY30" i="13" s="1"/>
  <c r="N23" i="17"/>
  <c r="AJ39" i="13"/>
  <c r="BY39" i="13" s="1"/>
  <c r="BZ39" i="13" s="1"/>
  <c r="N32" i="17"/>
  <c r="CN44" i="13"/>
  <c r="CT44" i="13" s="1"/>
  <c r="CO44" i="13" s="1"/>
  <c r="CP44" i="13" s="1"/>
  <c r="BY40" i="13"/>
  <c r="BZ40" i="13" s="1"/>
  <c r="CO43" i="14"/>
  <c r="CU43" i="14" s="1"/>
  <c r="CI30" i="14"/>
  <c r="BC62" i="14"/>
  <c r="AJ25" i="13"/>
  <c r="BL25" i="13" s="1"/>
  <c r="N18" i="17"/>
  <c r="AJ38" i="13"/>
  <c r="BY38" i="13" s="1"/>
  <c r="BZ38" i="13" s="1"/>
  <c r="N31" i="17"/>
  <c r="BY44" i="13"/>
  <c r="BZ44" i="13" s="1"/>
  <c r="BM43" i="14"/>
  <c r="CO42" i="14"/>
  <c r="DM30" i="14"/>
  <c r="DX41" i="14"/>
  <c r="DZ41" i="14" s="1"/>
  <c r="EX39" i="14"/>
  <c r="AK33" i="17"/>
  <c r="AJ41" i="13"/>
  <c r="DW41" i="13" s="1"/>
  <c r="DY41" i="13" s="1"/>
  <c r="N34" i="17"/>
  <c r="AJ43" i="13"/>
  <c r="BY43" i="13" s="1"/>
  <c r="BZ43" i="13" s="1"/>
  <c r="N36" i="17"/>
  <c r="AJ32" i="13"/>
  <c r="AS61" i="13" s="1"/>
  <c r="N25" i="17"/>
  <c r="AK41" i="14"/>
  <c r="AD23" i="17"/>
  <c r="AK37" i="17"/>
  <c r="BE62" i="14"/>
  <c r="CI41" i="14"/>
  <c r="CO45" i="14"/>
  <c r="BG62" i="14"/>
  <c r="AK45" i="14"/>
  <c r="CI45" i="14"/>
  <c r="AJ42" i="13"/>
  <c r="DW42" i="13" s="1"/>
  <c r="DY42" i="13" s="1"/>
  <c r="N35" i="17"/>
  <c r="AK10" i="17"/>
  <c r="AM30" i="14"/>
  <c r="AF23" i="17" s="1"/>
  <c r="CA38" i="14"/>
  <c r="CC41" i="14"/>
  <c r="EX41" i="14"/>
  <c r="CC39" i="14"/>
  <c r="AM37" i="14"/>
  <c r="AK18" i="13"/>
  <c r="P11" i="17" s="1"/>
  <c r="FC18" i="14"/>
  <c r="EQ18" i="14"/>
  <c r="CD18" i="14"/>
  <c r="CH50" i="1"/>
  <c r="CH51" i="1"/>
  <c r="AT63" i="14"/>
  <c r="AT64" i="14" s="1"/>
  <c r="CA41" i="14"/>
  <c r="DE21" i="13"/>
  <c r="AM38" i="14"/>
  <c r="EW30" i="13"/>
  <c r="CA30" i="13"/>
  <c r="CB30" i="13"/>
  <c r="EW17" i="13"/>
  <c r="CA17" i="13"/>
  <c r="CB17" i="13"/>
  <c r="EW37" i="13"/>
  <c r="CB37" i="13"/>
  <c r="CA37" i="13"/>
  <c r="CZ38" i="14"/>
  <c r="CU39" i="14"/>
  <c r="CP39" i="14" s="1"/>
  <c r="CQ39" i="14" s="1"/>
  <c r="CO40" i="1"/>
  <c r="CP40" i="1" s="1"/>
  <c r="CV40" i="1"/>
  <c r="DA40" i="1"/>
  <c r="CU40" i="1"/>
  <c r="CY40" i="1" s="1"/>
  <c r="DB40" i="1" s="1"/>
  <c r="AH11" i="2"/>
  <c r="EP17" i="1"/>
  <c r="CC17" i="1"/>
  <c r="FB17" i="1"/>
  <c r="AL17" i="1"/>
  <c r="AK41" i="1"/>
  <c r="BB64" i="1"/>
  <c r="CU32" i="14"/>
  <c r="CP32" i="14" s="1"/>
  <c r="CQ32" i="14" s="1"/>
  <c r="DX17" i="14"/>
  <c r="DZ17" i="14" s="1"/>
  <c r="BZ17" i="14"/>
  <c r="CA17" i="14" s="1"/>
  <c r="BM17" i="14"/>
  <c r="CI17" i="14"/>
  <c r="AK17" i="14"/>
  <c r="AL17" i="14" s="1"/>
  <c r="AC10" i="17" s="1"/>
  <c r="AD10" i="17" s="1"/>
  <c r="AJ54" i="14"/>
  <c r="AJ84" i="14"/>
  <c r="AJ78" i="14"/>
  <c r="AL78" i="14" s="1"/>
  <c r="AJ51" i="14"/>
  <c r="AJ87" i="14" s="1"/>
  <c r="AJ88" i="14" s="1"/>
  <c r="AJ53" i="14"/>
  <c r="AJ49" i="14"/>
  <c r="BD58" i="1"/>
  <c r="BD60" i="1" s="1"/>
  <c r="BD61" i="1" s="1"/>
  <c r="BD63" i="1" s="1"/>
  <c r="BC58" i="1"/>
  <c r="BC60" i="1" s="1"/>
  <c r="BC61" i="1" s="1"/>
  <c r="BC63" i="1" s="1"/>
  <c r="CC30" i="14"/>
  <c r="EX30" i="14"/>
  <c r="CB30" i="14"/>
  <c r="BX25" i="13"/>
  <c r="CX25" i="13"/>
  <c r="CU46" i="14"/>
  <c r="CP46" i="14" s="1"/>
  <c r="CQ46" i="14" s="1"/>
  <c r="CU30" i="14"/>
  <c r="DF41" i="1"/>
  <c r="DE41" i="1"/>
  <c r="AH17" i="2"/>
  <c r="FB23" i="1"/>
  <c r="AL23" i="1"/>
  <c r="AL23" i="14"/>
  <c r="EP23" i="1"/>
  <c r="CC23" i="1"/>
  <c r="CA38" i="13"/>
  <c r="EW38" i="13"/>
  <c r="CB38" i="13"/>
  <c r="BC30" i="14"/>
  <c r="AS30" i="14"/>
  <c r="BB30" i="14"/>
  <c r="AZ30" i="14"/>
  <c r="AY30" i="14"/>
  <c r="CJ30" i="14"/>
  <c r="BA30" i="14"/>
  <c r="BN30" i="14"/>
  <c r="BE30" i="14"/>
  <c r="AM18" i="14"/>
  <c r="AF11" i="17" s="1"/>
  <c r="CC12" i="1"/>
  <c r="EP12" i="1"/>
  <c r="AL12" i="1"/>
  <c r="AL13" i="14"/>
  <c r="AC6" i="17" s="1"/>
  <c r="AD6" i="17" s="1"/>
  <c r="AH7" i="2"/>
  <c r="AK84" i="1"/>
  <c r="FB13" i="1"/>
  <c r="AL13" i="1"/>
  <c r="AK49" i="1"/>
  <c r="CC13" i="1"/>
  <c r="EP13" i="1"/>
  <c r="DK17" i="13"/>
  <c r="AJ17" i="13"/>
  <c r="AA51" i="13"/>
  <c r="AA49" i="13"/>
  <c r="AA53" i="13"/>
  <c r="AA84" i="13"/>
  <c r="AA54" i="13"/>
  <c r="CU41" i="14"/>
  <c r="CP41" i="14" s="1"/>
  <c r="CQ41" i="14" s="1"/>
  <c r="DA39" i="1"/>
  <c r="CV39" i="1"/>
  <c r="CU39" i="1"/>
  <c r="CY39" i="1" s="1"/>
  <c r="DB39" i="1" s="1"/>
  <c r="CC38" i="14"/>
  <c r="EX38" i="14"/>
  <c r="CB38" i="14"/>
  <c r="CU40" i="14"/>
  <c r="CP40" i="14" s="1"/>
  <c r="CQ40" i="14" s="1"/>
  <c r="CA43" i="13"/>
  <c r="CB43" i="13"/>
  <c r="DF46" i="1"/>
  <c r="DE46" i="1"/>
  <c r="AL19" i="14"/>
  <c r="AC12" i="17" s="1"/>
  <c r="AD12" i="17" s="1"/>
  <c r="AH13" i="2"/>
  <c r="CC19" i="1"/>
  <c r="AL19" i="1"/>
  <c r="BC19" i="1" s="1"/>
  <c r="EP19" i="1"/>
  <c r="FB19" i="1"/>
  <c r="AL21" i="14"/>
  <c r="AL21" i="1"/>
  <c r="AH15" i="2"/>
  <c r="EP21" i="1"/>
  <c r="CC21" i="1"/>
  <c r="FB21" i="1"/>
  <c r="BL37" i="13"/>
  <c r="AL15" i="14"/>
  <c r="AL15" i="1"/>
  <c r="CC15" i="1"/>
  <c r="EP15" i="1"/>
  <c r="AH9" i="2"/>
  <c r="FB15" i="1"/>
  <c r="CV44" i="1"/>
  <c r="DA44" i="1"/>
  <c r="CU44" i="1"/>
  <c r="CY44" i="1" s="1"/>
  <c r="DB44" i="1" s="1"/>
  <c r="CN43" i="13"/>
  <c r="AL22" i="14"/>
  <c r="AC15" i="17" s="1"/>
  <c r="AD15" i="17" s="1"/>
  <c r="EP22" i="1"/>
  <c r="CC22" i="1"/>
  <c r="FB22" i="1"/>
  <c r="AL22" i="1"/>
  <c r="BC22" i="1" s="1"/>
  <c r="AH16" i="2"/>
  <c r="EP8" i="1"/>
  <c r="CC8" i="1"/>
  <c r="AL8" i="1"/>
  <c r="EW32" i="13"/>
  <c r="CA32" i="13"/>
  <c r="CB32" i="13"/>
  <c r="CC10" i="1"/>
  <c r="EP10" i="1"/>
  <c r="AL10" i="1"/>
  <c r="CU38" i="14"/>
  <c r="DB38" i="14" s="1"/>
  <c r="AG60" i="2"/>
  <c r="AG58" i="2"/>
  <c r="AG59" i="2" s="1"/>
  <c r="BE37" i="14"/>
  <c r="CJ37" i="14"/>
  <c r="BN37" i="14"/>
  <c r="BB37" i="14"/>
  <c r="BA37" i="14"/>
  <c r="BC37" i="14"/>
  <c r="BF58" i="1"/>
  <c r="BF60" i="1" s="1"/>
  <c r="BF61" i="1" s="1"/>
  <c r="BF63" i="1" s="1"/>
  <c r="BG58" i="1"/>
  <c r="BG60" i="1" s="1"/>
  <c r="BG61" i="1" s="1"/>
  <c r="BG63" i="1" s="1"/>
  <c r="BE58" i="1"/>
  <c r="BE60" i="1" s="1"/>
  <c r="BE61" i="1" s="1"/>
  <c r="BE63" i="1" s="1"/>
  <c r="AL16" i="14"/>
  <c r="AL16" i="1"/>
  <c r="BC16" i="1" s="1"/>
  <c r="CC16" i="1"/>
  <c r="EP16" i="1"/>
  <c r="AH10" i="2"/>
  <c r="FB16" i="1"/>
  <c r="AZ39" i="15"/>
  <c r="BB39" i="15"/>
  <c r="BD39" i="15"/>
  <c r="BM39" i="15"/>
  <c r="CI39" i="15"/>
  <c r="AR39" i="15"/>
  <c r="AY39" i="15"/>
  <c r="BA39" i="15"/>
  <c r="AX39" i="15"/>
  <c r="AL50" i="15"/>
  <c r="AL54" i="15"/>
  <c r="AL53" i="15"/>
  <c r="AL51" i="15"/>
  <c r="CB42" i="13"/>
  <c r="CA42" i="13"/>
  <c r="EW42" i="13"/>
  <c r="AH14" i="2"/>
  <c r="FB20" i="1"/>
  <c r="EP20" i="1"/>
  <c r="AL20" i="14"/>
  <c r="CC20" i="1"/>
  <c r="AL20" i="1"/>
  <c r="BC20" i="1" s="1"/>
  <c r="CC7" i="1"/>
  <c r="AL7" i="1"/>
  <c r="EP7" i="1"/>
  <c r="CC11" i="1"/>
  <c r="EP11" i="1"/>
  <c r="AL11" i="1"/>
  <c r="BL38" i="13"/>
  <c r="BC66" i="1"/>
  <c r="BO60" i="1"/>
  <c r="BO61" i="1" s="1"/>
  <c r="BO63" i="1" s="1"/>
  <c r="BO64" i="1" s="1"/>
  <c r="CU37" i="14"/>
  <c r="CP37" i="14" s="1"/>
  <c r="CQ37" i="14" s="1"/>
  <c r="CV42" i="1"/>
  <c r="DA42" i="1"/>
  <c r="CU42" i="1"/>
  <c r="CY42" i="1" s="1"/>
  <c r="DB42" i="1" s="1"/>
  <c r="BZ25" i="14"/>
  <c r="CA25" i="14" s="1"/>
  <c r="DX25" i="14"/>
  <c r="DZ25" i="14" s="1"/>
  <c r="BM25" i="14"/>
  <c r="AK25" i="14"/>
  <c r="AL25" i="14" s="1"/>
  <c r="AC18" i="17" s="1"/>
  <c r="AD18" i="17" s="1"/>
  <c r="CI25" i="14"/>
  <c r="CO25" i="14"/>
  <c r="DM25" i="14"/>
  <c r="DL25" i="14"/>
  <c r="AJ50" i="14"/>
  <c r="AL14" i="14"/>
  <c r="AC7" i="17" s="1"/>
  <c r="AD7" i="17" s="1"/>
  <c r="AH8" i="2"/>
  <c r="AI8" i="2" s="1"/>
  <c r="CC14" i="1"/>
  <c r="AL14" i="1"/>
  <c r="EP14" i="1"/>
  <c r="FB14" i="1"/>
  <c r="FB18" i="1"/>
  <c r="AL18" i="1"/>
  <c r="EP18" i="1"/>
  <c r="AH12" i="2"/>
  <c r="CC18" i="1"/>
  <c r="EQ38" i="14"/>
  <c r="AK38" i="13"/>
  <c r="CD38" i="14"/>
  <c r="FC38" i="14"/>
  <c r="AK32" i="13"/>
  <c r="CD32" i="14"/>
  <c r="EQ32" i="14"/>
  <c r="FC32" i="14"/>
  <c r="BL46" i="13"/>
  <c r="BY46" i="13"/>
  <c r="BZ46" i="13" s="1"/>
  <c r="CH46" i="13"/>
  <c r="CN46" i="13"/>
  <c r="BG62" i="13"/>
  <c r="EW39" i="13"/>
  <c r="CA39" i="13"/>
  <c r="CB39" i="13"/>
  <c r="CB41" i="13"/>
  <c r="CA41" i="13"/>
  <c r="EW41" i="13"/>
  <c r="AA50" i="13"/>
  <c r="AH18" i="2"/>
  <c r="AL24" i="14"/>
  <c r="AC17" i="17" s="1"/>
  <c r="AD17" i="17" s="1"/>
  <c r="CC24" i="1"/>
  <c r="AL24" i="1"/>
  <c r="EP24" i="1"/>
  <c r="FB24" i="1"/>
  <c r="EP9" i="1"/>
  <c r="AL9" i="1"/>
  <c r="CC9" i="1"/>
  <c r="CA30" i="14"/>
  <c r="AK37" i="13"/>
  <c r="P30" i="17" s="1"/>
  <c r="AM30" i="17" s="1"/>
  <c r="CD37" i="14"/>
  <c r="BD37" i="14"/>
  <c r="EQ37" i="14"/>
  <c r="FC37" i="14"/>
  <c r="BA58" i="1"/>
  <c r="BA60" i="1" s="1"/>
  <c r="BA61" i="1" s="1"/>
  <c r="BA63" i="1" s="1"/>
  <c r="AZ58" i="1"/>
  <c r="CU42" i="14"/>
  <c r="CP42" i="14" s="1"/>
  <c r="CQ42" i="14" s="1"/>
  <c r="EQ30" i="14"/>
  <c r="BD2" i="14"/>
  <c r="BD30" i="14"/>
  <c r="FC30" i="14"/>
  <c r="CD30" i="14"/>
  <c r="AK30" i="13"/>
  <c r="P23" i="17" s="1"/>
  <c r="AM23" i="17" s="1"/>
  <c r="CY38" i="13"/>
  <c r="AM32" i="14"/>
  <c r="DF28" i="13"/>
  <c r="DE28" i="13"/>
  <c r="DF31" i="13"/>
  <c r="DE31" i="13"/>
  <c r="DF35" i="13"/>
  <c r="DE35" i="13"/>
  <c r="DF27" i="13"/>
  <c r="DE27" i="13"/>
  <c r="DF26" i="13"/>
  <c r="DE26" i="13"/>
  <c r="DF29" i="13"/>
  <c r="DE29" i="13"/>
  <c r="DF36" i="13"/>
  <c r="DE36" i="13"/>
  <c r="DF23" i="13"/>
  <c r="DE23" i="13"/>
  <c r="AV58" i="13"/>
  <c r="AU60" i="13"/>
  <c r="AU61" i="13" s="1"/>
  <c r="AU63" i="13" s="1"/>
  <c r="AU64" i="13" s="1"/>
  <c r="AW60" i="14"/>
  <c r="AW61" i="14" s="1"/>
  <c r="AW63" i="14" s="1"/>
  <c r="AW64" i="14" s="1"/>
  <c r="AX58" i="14"/>
  <c r="DD24" i="13"/>
  <c r="DF24" i="13"/>
  <c r="DE24" i="13"/>
  <c r="DF34" i="13"/>
  <c r="DE34" i="13"/>
  <c r="BY37" i="13" l="1"/>
  <c r="BZ37" i="13" s="1"/>
  <c r="CH25" i="13"/>
  <c r="CH32" i="13"/>
  <c r="EC16" i="13"/>
  <c r="ED16" i="13" s="1"/>
  <c r="EE16" i="13" s="1"/>
  <c r="EC14" i="13"/>
  <c r="ED14" i="13" s="1"/>
  <c r="EE14" i="13" s="1"/>
  <c r="CH39" i="13"/>
  <c r="EC15" i="13"/>
  <c r="ED15" i="13" s="1"/>
  <c r="EE15" i="13" s="1"/>
  <c r="EC20" i="13"/>
  <c r="ED20" i="13" s="1"/>
  <c r="EE20" i="13" s="1"/>
  <c r="EC13" i="13"/>
  <c r="ED13" i="13" s="1"/>
  <c r="EE13" i="13" s="1"/>
  <c r="EC18" i="13"/>
  <c r="ED18" i="13" s="1"/>
  <c r="EE18" i="13" s="1"/>
  <c r="CN32" i="13"/>
  <c r="DW32" i="13"/>
  <c r="DY32" i="13" s="1"/>
  <c r="BL39" i="13"/>
  <c r="DK25" i="13"/>
  <c r="BY30" i="13"/>
  <c r="BZ30" i="13" s="1"/>
  <c r="BY25" i="13"/>
  <c r="BZ25" i="13" s="1"/>
  <c r="AS62" i="13"/>
  <c r="AS63" i="13" s="1"/>
  <c r="AS64" i="13" s="1"/>
  <c r="DW39" i="13"/>
  <c r="DY39" i="13" s="1"/>
  <c r="AZ62" i="13"/>
  <c r="DW25" i="13"/>
  <c r="DY25" i="13" s="1"/>
  <c r="CN39" i="13"/>
  <c r="CN25" i="13"/>
  <c r="CT25" i="13" s="1"/>
  <c r="DL25" i="13"/>
  <c r="CN38" i="13"/>
  <c r="CT38" i="13" s="1"/>
  <c r="CO38" i="13" s="1"/>
  <c r="CP38" i="13" s="1"/>
  <c r="CH43" i="13"/>
  <c r="CN37" i="13"/>
  <c r="CT37" i="13" s="1"/>
  <c r="CH41" i="13"/>
  <c r="DW38" i="13"/>
  <c r="DY38" i="13" s="1"/>
  <c r="BD62" i="13"/>
  <c r="CH38" i="13"/>
  <c r="BL43" i="13"/>
  <c r="CH42" i="13"/>
  <c r="AZ18" i="14"/>
  <c r="BB62" i="13"/>
  <c r="AY62" i="13"/>
  <c r="DK32" i="13"/>
  <c r="CN42" i="13"/>
  <c r="DK30" i="13"/>
  <c r="CH37" i="13"/>
  <c r="AK25" i="17"/>
  <c r="AK31" i="17"/>
  <c r="Q30" i="17"/>
  <c r="AK30" i="17"/>
  <c r="BE18" i="14"/>
  <c r="BL42" i="13"/>
  <c r="BN18" i="14"/>
  <c r="AL38" i="13"/>
  <c r="S31" i="17" s="1"/>
  <c r="P31" i="17"/>
  <c r="AM31" i="17" s="1"/>
  <c r="BY41" i="13"/>
  <c r="BZ41" i="13" s="1"/>
  <c r="CP43" i="14"/>
  <c r="CQ43" i="14" s="1"/>
  <c r="DL32" i="13"/>
  <c r="BC62" i="13"/>
  <c r="CN30" i="13"/>
  <c r="CT30" i="13" s="1"/>
  <c r="CO30" i="13" s="1"/>
  <c r="CP30" i="13" s="1"/>
  <c r="DW37" i="13"/>
  <c r="DY37" i="13" s="1"/>
  <c r="AK36" i="17"/>
  <c r="AK18" i="17"/>
  <c r="CN41" i="13"/>
  <c r="BB38" i="14"/>
  <c r="AF31" i="17"/>
  <c r="BB18" i="14"/>
  <c r="CI50" i="14"/>
  <c r="BL41" i="13"/>
  <c r="AJ50" i="13"/>
  <c r="BY32" i="13"/>
  <c r="BZ32" i="13" s="1"/>
  <c r="BY42" i="13"/>
  <c r="BZ42" i="13" s="1"/>
  <c r="BL30" i="13"/>
  <c r="AS37" i="14"/>
  <c r="AF30" i="17"/>
  <c r="AK32" i="17"/>
  <c r="AK23" i="13"/>
  <c r="P16" i="17" s="1"/>
  <c r="AC16" i="17"/>
  <c r="AD16" i="17" s="1"/>
  <c r="AK23" i="17"/>
  <c r="Q23" i="17"/>
  <c r="BA18" i="14"/>
  <c r="AL32" i="13"/>
  <c r="S25" i="17" s="1"/>
  <c r="P25" i="17"/>
  <c r="AM25" i="17" s="1"/>
  <c r="DL30" i="13"/>
  <c r="CJ18" i="14"/>
  <c r="CH30" i="13"/>
  <c r="CH50" i="13" s="1"/>
  <c r="AT66" i="14"/>
  <c r="AF25" i="17"/>
  <c r="BL32" i="13"/>
  <c r="AK35" i="17"/>
  <c r="AK34" i="17"/>
  <c r="FB18" i="13"/>
  <c r="EP18" i="13"/>
  <c r="AL18" i="13"/>
  <c r="S11" i="17" s="1"/>
  <c r="AP11" i="17" s="1"/>
  <c r="CC18" i="13"/>
  <c r="AK21" i="13"/>
  <c r="P14" i="17" s="1"/>
  <c r="AC14" i="17"/>
  <c r="AD14" i="17" s="1"/>
  <c r="AK20" i="13"/>
  <c r="P13" i="17" s="1"/>
  <c r="AC13" i="17"/>
  <c r="AD13" i="17" s="1"/>
  <c r="AM11" i="17"/>
  <c r="Q11" i="17"/>
  <c r="AK16" i="13"/>
  <c r="P9" i="17" s="1"/>
  <c r="AC9" i="17"/>
  <c r="AD9" i="17" s="1"/>
  <c r="AK15" i="13"/>
  <c r="P8" i="17" s="1"/>
  <c r="AC8" i="17"/>
  <c r="AD8" i="17" s="1"/>
  <c r="AK14" i="13"/>
  <c r="P7" i="17" s="1"/>
  <c r="AY38" i="14"/>
  <c r="BC38" i="14"/>
  <c r="AS38" i="14"/>
  <c r="BE38" i="14"/>
  <c r="BD32" i="14"/>
  <c r="BD38" i="14"/>
  <c r="CJ38" i="14"/>
  <c r="AZ38" i="14"/>
  <c r="BA38" i="14"/>
  <c r="AY37" i="14"/>
  <c r="AZ37" i="14"/>
  <c r="BN38" i="14"/>
  <c r="AM25" i="14"/>
  <c r="BB25" i="14" s="1"/>
  <c r="DC38" i="14"/>
  <c r="DG38" i="14" s="1"/>
  <c r="CW38" i="14"/>
  <c r="BD13" i="1"/>
  <c r="AZ13" i="1"/>
  <c r="AL84" i="1"/>
  <c r="CI13" i="1"/>
  <c r="BB13" i="1"/>
  <c r="AR13" i="1"/>
  <c r="AL49" i="1"/>
  <c r="AY13" i="1"/>
  <c r="BA13" i="1"/>
  <c r="BM13" i="1"/>
  <c r="AX13" i="1"/>
  <c r="BC13" i="1"/>
  <c r="EQ17" i="14"/>
  <c r="CD17" i="14"/>
  <c r="FC17" i="14"/>
  <c r="AK17" i="13"/>
  <c r="BC17" i="1"/>
  <c r="AX17" i="1"/>
  <c r="BD17" i="1"/>
  <c r="AR17" i="1"/>
  <c r="BB17" i="1"/>
  <c r="BA17" i="1"/>
  <c r="AZ17" i="1"/>
  <c r="AY17" i="1"/>
  <c r="CI17" i="1"/>
  <c r="BM17" i="1"/>
  <c r="AR18" i="1"/>
  <c r="BD18" i="1"/>
  <c r="BB18" i="1"/>
  <c r="AX18" i="1"/>
  <c r="BM18" i="1"/>
  <c r="AY18" i="1"/>
  <c r="CI18" i="1"/>
  <c r="BA18" i="1"/>
  <c r="AZ18" i="1"/>
  <c r="BC18" i="1"/>
  <c r="AI10" i="2"/>
  <c r="AR10" i="2" s="1"/>
  <c r="DC30" i="14"/>
  <c r="DB30" i="14"/>
  <c r="CP30" i="14"/>
  <c r="CQ30" i="14" s="1"/>
  <c r="AR24" i="1"/>
  <c r="BA24" i="1"/>
  <c r="BM24" i="1"/>
  <c r="BD24" i="1"/>
  <c r="CI24" i="1"/>
  <c r="AZ24" i="1"/>
  <c r="BB24" i="1"/>
  <c r="AY24" i="1"/>
  <c r="AX24" i="1"/>
  <c r="BC24" i="1"/>
  <c r="CV40" i="13"/>
  <c r="CU40" i="13"/>
  <c r="CY40" i="13" s="1"/>
  <c r="DB40" i="13" s="1"/>
  <c r="DA40" i="13"/>
  <c r="CO40" i="13"/>
  <c r="CP40" i="13" s="1"/>
  <c r="FC24" i="14"/>
  <c r="AM24" i="14"/>
  <c r="EQ24" i="14"/>
  <c r="CD24" i="14"/>
  <c r="AK24" i="13"/>
  <c r="P17" i="17" s="1"/>
  <c r="DD39" i="1"/>
  <c r="DD40" i="1" s="1"/>
  <c r="DD41" i="1" s="1"/>
  <c r="DD42" i="1" s="1"/>
  <c r="DD43" i="1" s="1"/>
  <c r="DD44" i="1" s="1"/>
  <c r="DD45" i="1" s="1"/>
  <c r="DD46" i="1" s="1"/>
  <c r="DE39" i="1"/>
  <c r="DF39" i="1"/>
  <c r="AZ60" i="1"/>
  <c r="AZ61" i="1" s="1"/>
  <c r="AZ63" i="1" s="1"/>
  <c r="AZ66" i="1"/>
  <c r="BA64" i="1"/>
  <c r="AK40" i="1"/>
  <c r="BM15" i="1"/>
  <c r="BA15" i="1"/>
  <c r="AX15" i="1"/>
  <c r="BB15" i="1"/>
  <c r="AR15" i="1"/>
  <c r="AZ15" i="1"/>
  <c r="AY15" i="1"/>
  <c r="BD15" i="1"/>
  <c r="CI15" i="1"/>
  <c r="BC15" i="1"/>
  <c r="CT39" i="13"/>
  <c r="CO39" i="13" s="1"/>
  <c r="CP39" i="13" s="1"/>
  <c r="AM22" i="14"/>
  <c r="CD22" i="14"/>
  <c r="EQ22" i="14"/>
  <c r="FC22" i="14"/>
  <c r="AK22" i="13"/>
  <c r="P15" i="17" s="1"/>
  <c r="AI9" i="2"/>
  <c r="AR9" i="2" s="1"/>
  <c r="AI15" i="2"/>
  <c r="CH17" i="13"/>
  <c r="BL17" i="13"/>
  <c r="DW17" i="13"/>
  <c r="DY17" i="13" s="1"/>
  <c r="BY17" i="13"/>
  <c r="BZ17" i="13" s="1"/>
  <c r="AJ53" i="13"/>
  <c r="AJ49" i="13"/>
  <c r="AJ78" i="13"/>
  <c r="AK78" i="13" s="1"/>
  <c r="AJ51" i="13"/>
  <c r="AJ87" i="13" s="1"/>
  <c r="AJ88" i="13" s="1"/>
  <c r="AJ84" i="13"/>
  <c r="AJ54" i="13"/>
  <c r="BC23" i="1"/>
  <c r="AZ23" i="1"/>
  <c r="BB23" i="1"/>
  <c r="AX23" i="1"/>
  <c r="CI23" i="1"/>
  <c r="AR23" i="1"/>
  <c r="BA23" i="1"/>
  <c r="BM23" i="1"/>
  <c r="BD23" i="1"/>
  <c r="AY23" i="1"/>
  <c r="FB37" i="13"/>
  <c r="CC37" i="13"/>
  <c r="EP37" i="13"/>
  <c r="BE64" i="1"/>
  <c r="AK44" i="1"/>
  <c r="EQ19" i="14"/>
  <c r="CD19" i="14"/>
  <c r="FC19" i="14"/>
  <c r="AM19" i="14"/>
  <c r="EQ13" i="14"/>
  <c r="CD13" i="14"/>
  <c r="FC13" i="14"/>
  <c r="AM13" i="14"/>
  <c r="AL84" i="14"/>
  <c r="AL49" i="14"/>
  <c r="FC14" i="14"/>
  <c r="CD14" i="14"/>
  <c r="EQ14" i="14"/>
  <c r="AM14" i="14"/>
  <c r="CW43" i="14"/>
  <c r="DB43" i="14"/>
  <c r="DC43" i="14"/>
  <c r="AY50" i="15"/>
  <c r="AY49" i="15"/>
  <c r="AY51" i="15"/>
  <c r="CI51" i="14"/>
  <c r="CI54" i="14"/>
  <c r="CI53" i="14"/>
  <c r="DE42" i="1"/>
  <c r="DF42" i="1"/>
  <c r="BF64" i="1"/>
  <c r="AK45" i="1"/>
  <c r="BD53" i="14"/>
  <c r="BD3" i="14"/>
  <c r="CI54" i="15"/>
  <c r="CI53" i="15"/>
  <c r="CI51" i="15"/>
  <c r="CI50" i="15"/>
  <c r="DL51" i="14"/>
  <c r="DL50" i="14"/>
  <c r="BD18" i="14"/>
  <c r="AS18" i="14"/>
  <c r="CU25" i="14"/>
  <c r="BB49" i="15"/>
  <c r="BB50" i="15"/>
  <c r="BB51" i="15"/>
  <c r="CW42" i="14"/>
  <c r="DB42" i="14"/>
  <c r="DC42" i="14"/>
  <c r="AI12" i="2"/>
  <c r="AR12" i="2" s="1"/>
  <c r="AZ50" i="15"/>
  <c r="AZ49" i="15"/>
  <c r="AZ51" i="15"/>
  <c r="CT32" i="13"/>
  <c r="CO32" i="13" s="1"/>
  <c r="CP32" i="13" s="1"/>
  <c r="BC21" i="1"/>
  <c r="BC50" i="1" s="1"/>
  <c r="BB21" i="1"/>
  <c r="AZ21" i="1"/>
  <c r="CI21" i="1"/>
  <c r="BD21" i="1"/>
  <c r="BA21" i="1"/>
  <c r="BM21" i="1"/>
  <c r="AR21" i="1"/>
  <c r="AX21" i="1"/>
  <c r="AY21" i="1"/>
  <c r="AI17" i="2"/>
  <c r="AR17" i="2" s="1"/>
  <c r="AK42" i="1"/>
  <c r="BC64" i="1"/>
  <c r="BC2" i="13"/>
  <c r="CC30" i="13"/>
  <c r="EP30" i="13"/>
  <c r="FB30" i="13"/>
  <c r="DE44" i="1"/>
  <c r="DF44" i="1"/>
  <c r="DE40" i="1"/>
  <c r="DF40" i="1"/>
  <c r="BG64" i="1"/>
  <c r="AK46" i="1"/>
  <c r="AL46" i="14" s="1"/>
  <c r="AC39" i="17" s="1"/>
  <c r="AD39" i="17" s="1"/>
  <c r="CB25" i="13"/>
  <c r="EW25" i="13"/>
  <c r="CA25" i="13"/>
  <c r="CU25" i="13"/>
  <c r="CY25" i="13" s="1"/>
  <c r="DB25" i="13" s="1"/>
  <c r="DD25" i="13" s="1"/>
  <c r="DD26" i="13" s="1"/>
  <c r="DD27" i="13" s="1"/>
  <c r="DD28" i="13" s="1"/>
  <c r="DD29" i="13" s="1"/>
  <c r="AY25" i="14"/>
  <c r="AR54" i="15"/>
  <c r="AR53" i="15"/>
  <c r="CC38" i="13"/>
  <c r="EP38" i="13"/>
  <c r="FB38" i="13"/>
  <c r="AI16" i="2"/>
  <c r="AR16" i="2"/>
  <c r="DA44" i="13"/>
  <c r="CV44" i="13"/>
  <c r="CU44" i="13"/>
  <c r="CY44" i="13" s="1"/>
  <c r="DB44" i="13" s="1"/>
  <c r="DL51" i="13"/>
  <c r="EQ23" i="14"/>
  <c r="FC23" i="14"/>
  <c r="CD23" i="14"/>
  <c r="AM23" i="14"/>
  <c r="DM51" i="14"/>
  <c r="DM50" i="14"/>
  <c r="DK50" i="13"/>
  <c r="DN17" i="13" s="1"/>
  <c r="DO17" i="13" s="1"/>
  <c r="CT42" i="13"/>
  <c r="CO42" i="13" s="1"/>
  <c r="CP42" i="13" s="1"/>
  <c r="BA22" i="1"/>
  <c r="AX22" i="1"/>
  <c r="AY22" i="1"/>
  <c r="AZ22" i="1"/>
  <c r="BD22" i="1"/>
  <c r="BB22" i="1"/>
  <c r="CI22" i="1"/>
  <c r="BM22" i="1"/>
  <c r="AR22" i="1"/>
  <c r="CT46" i="13"/>
  <c r="CO46" i="13" s="1"/>
  <c r="CP46" i="13" s="1"/>
  <c r="DB37" i="14"/>
  <c r="CW37" i="14"/>
  <c r="DC37" i="14"/>
  <c r="DB40" i="14"/>
  <c r="DC40" i="14"/>
  <c r="CW40" i="14"/>
  <c r="DB32" i="14"/>
  <c r="DC32" i="14"/>
  <c r="CW32" i="14"/>
  <c r="AK25" i="13"/>
  <c r="P18" i="17" s="1"/>
  <c r="AM18" i="17" s="1"/>
  <c r="CD25" i="14"/>
  <c r="EQ25" i="14"/>
  <c r="FC25" i="14"/>
  <c r="CO25" i="13"/>
  <c r="CP25" i="13" s="1"/>
  <c r="DA25" i="13"/>
  <c r="AX32" i="13"/>
  <c r="FC21" i="14"/>
  <c r="CD21" i="14"/>
  <c r="EQ21" i="14"/>
  <c r="AM21" i="14"/>
  <c r="AF14" i="17" s="1"/>
  <c r="BD64" i="1"/>
  <c r="AK43" i="1"/>
  <c r="AL41" i="14"/>
  <c r="AC34" i="17" s="1"/>
  <c r="AD34" i="17" s="1"/>
  <c r="FB41" i="1"/>
  <c r="AL41" i="1"/>
  <c r="AH35" i="2"/>
  <c r="AI35" i="2" s="1"/>
  <c r="CC41" i="1"/>
  <c r="EP41" i="1"/>
  <c r="AR20" i="1"/>
  <c r="BM20" i="1"/>
  <c r="AY20" i="1"/>
  <c r="BB20" i="1"/>
  <c r="CI20" i="1"/>
  <c r="BD20" i="1"/>
  <c r="AZ20" i="1"/>
  <c r="AX20" i="1"/>
  <c r="BA20" i="1"/>
  <c r="AL30" i="13"/>
  <c r="S23" i="17" s="1"/>
  <c r="AP23" i="17" s="1"/>
  <c r="CD15" i="14"/>
  <c r="EQ15" i="14"/>
  <c r="FC15" i="14"/>
  <c r="AM15" i="14"/>
  <c r="AF8" i="17" s="1"/>
  <c r="AR38" i="13"/>
  <c r="CD20" i="14"/>
  <c r="EQ20" i="14"/>
  <c r="FC20" i="14"/>
  <c r="AM20" i="14"/>
  <c r="AL37" i="13"/>
  <c r="S30" i="17" s="1"/>
  <c r="AZ19" i="1"/>
  <c r="CI19" i="1"/>
  <c r="BD19" i="1"/>
  <c r="BB19" i="1"/>
  <c r="AR19" i="1"/>
  <c r="BM19" i="1"/>
  <c r="AX19" i="1"/>
  <c r="BA19" i="1"/>
  <c r="AY19" i="1"/>
  <c r="AK13" i="13"/>
  <c r="P6" i="17" s="1"/>
  <c r="BC18" i="14"/>
  <c r="BC14" i="1"/>
  <c r="AY14" i="1"/>
  <c r="BA14" i="1"/>
  <c r="AX14" i="1"/>
  <c r="BD14" i="1"/>
  <c r="BB14" i="1"/>
  <c r="AR14" i="1"/>
  <c r="AZ14" i="1"/>
  <c r="CI14" i="1"/>
  <c r="BM14" i="1"/>
  <c r="CP38" i="14"/>
  <c r="CQ38" i="14" s="1"/>
  <c r="AK19" i="13"/>
  <c r="P12" i="17" s="1"/>
  <c r="CV46" i="14"/>
  <c r="CZ46" i="14" s="1"/>
  <c r="DC46" i="14" s="1"/>
  <c r="DB46" i="14"/>
  <c r="CW46" i="14"/>
  <c r="AI11" i="2"/>
  <c r="AR11" i="2"/>
  <c r="BC32" i="14"/>
  <c r="BC3" i="14" s="1"/>
  <c r="CJ32" i="14"/>
  <c r="BE32" i="14"/>
  <c r="BN32" i="14"/>
  <c r="AZ32" i="14"/>
  <c r="BA32" i="14"/>
  <c r="AS32" i="14"/>
  <c r="BB32" i="14"/>
  <c r="AY32" i="14"/>
  <c r="AY3" i="14" s="1"/>
  <c r="AI18" i="2"/>
  <c r="AR18" i="2" s="1"/>
  <c r="AY18" i="14"/>
  <c r="BD16" i="1"/>
  <c r="AZ16" i="1"/>
  <c r="BB16" i="1"/>
  <c r="AR16" i="1"/>
  <c r="BM16" i="1"/>
  <c r="CI16" i="1"/>
  <c r="BA16" i="1"/>
  <c r="AX16" i="1"/>
  <c r="AY16" i="1"/>
  <c r="CT43" i="13"/>
  <c r="DB39" i="14"/>
  <c r="DC39" i="14"/>
  <c r="CW39" i="14"/>
  <c r="CC32" i="13"/>
  <c r="BC32" i="13"/>
  <c r="EP32" i="13"/>
  <c r="FB32" i="13"/>
  <c r="AR8" i="2"/>
  <c r="AQ8" i="2"/>
  <c r="CR8" i="2"/>
  <c r="BG8" i="2"/>
  <c r="AJ8" i="2"/>
  <c r="AI14" i="2"/>
  <c r="AR14" i="2"/>
  <c r="AX51" i="15"/>
  <c r="AX50" i="15"/>
  <c r="AX49" i="15"/>
  <c r="EQ16" i="14"/>
  <c r="CD16" i="14"/>
  <c r="FC16" i="14"/>
  <c r="AM16" i="14"/>
  <c r="AI13" i="2"/>
  <c r="AR13" i="2"/>
  <c r="DB41" i="14"/>
  <c r="CW41" i="14"/>
  <c r="DC41" i="14"/>
  <c r="AH43" i="2"/>
  <c r="AI7" i="2"/>
  <c r="AM17" i="14"/>
  <c r="AF10" i="17" s="1"/>
  <c r="AY58" i="14"/>
  <c r="AX60" i="14"/>
  <c r="AX61" i="14" s="1"/>
  <c r="AX63" i="14" s="1"/>
  <c r="AX64" i="14" s="1"/>
  <c r="AW58" i="13"/>
  <c r="AV60" i="13"/>
  <c r="AV61" i="13" s="1"/>
  <c r="AV63" i="13" s="1"/>
  <c r="AV64" i="13" s="1"/>
  <c r="AN11" i="17" l="1"/>
  <c r="T11" i="17"/>
  <c r="AN30" i="17"/>
  <c r="T30" i="17"/>
  <c r="AN23" i="17"/>
  <c r="T23" i="17"/>
  <c r="Q25" i="17"/>
  <c r="AY38" i="13"/>
  <c r="BA38" i="13"/>
  <c r="BD38" i="13"/>
  <c r="DL50" i="13"/>
  <c r="DP17" i="13" s="1"/>
  <c r="DQ17" i="13" s="1"/>
  <c r="DK51" i="13"/>
  <c r="CT41" i="13"/>
  <c r="CO41" i="13" s="1"/>
  <c r="CP41" i="13" s="1"/>
  <c r="CC20" i="13"/>
  <c r="AL20" i="13"/>
  <c r="S13" i="17" s="1"/>
  <c r="FB15" i="13"/>
  <c r="CC15" i="13"/>
  <c r="AP25" i="17"/>
  <c r="BB38" i="13"/>
  <c r="EP23" i="13"/>
  <c r="AX38" i="13"/>
  <c r="BC38" i="13"/>
  <c r="AL23" i="13"/>
  <c r="S16" i="17" s="1"/>
  <c r="AZ38" i="13"/>
  <c r="BC30" i="13"/>
  <c r="FB23" i="13"/>
  <c r="BM38" i="13"/>
  <c r="CC23" i="13"/>
  <c r="AX18" i="13"/>
  <c r="BA18" i="13"/>
  <c r="AR18" i="13"/>
  <c r="AY18" i="13"/>
  <c r="CI18" i="13"/>
  <c r="BD18" i="13"/>
  <c r="BM18" i="13"/>
  <c r="BC18" i="13"/>
  <c r="BB18" i="13"/>
  <c r="BD24" i="14"/>
  <c r="AF17" i="17"/>
  <c r="AP30" i="17"/>
  <c r="CI32" i="13"/>
  <c r="BM32" i="13"/>
  <c r="BD23" i="14"/>
  <c r="AF16" i="17"/>
  <c r="AZ18" i="13"/>
  <c r="BB3" i="14"/>
  <c r="CI38" i="13"/>
  <c r="BD32" i="13"/>
  <c r="BA32" i="13"/>
  <c r="AM15" i="17"/>
  <c r="Q15" i="17"/>
  <c r="AR32" i="13"/>
  <c r="BB32" i="13"/>
  <c r="AM17" i="17"/>
  <c r="Q17" i="17"/>
  <c r="AM16" i="17"/>
  <c r="Q16" i="17"/>
  <c r="Q18" i="17"/>
  <c r="Q31" i="17"/>
  <c r="AK41" i="13"/>
  <c r="P34" i="17" s="1"/>
  <c r="AY32" i="13"/>
  <c r="FB16" i="13"/>
  <c r="AS66" i="13"/>
  <c r="AZ32" i="13"/>
  <c r="BD22" i="14"/>
  <c r="AF15" i="17"/>
  <c r="EP20" i="13"/>
  <c r="BA25" i="14"/>
  <c r="AF18" i="17"/>
  <c r="AP31" i="17"/>
  <c r="CC16" i="13"/>
  <c r="AM14" i="17"/>
  <c r="Q14" i="17"/>
  <c r="FB21" i="13"/>
  <c r="EP21" i="13"/>
  <c r="CC21" i="13"/>
  <c r="AL15" i="13"/>
  <c r="S8" i="17" s="1"/>
  <c r="AP8" i="17" s="1"/>
  <c r="AL16" i="13"/>
  <c r="S9" i="17" s="1"/>
  <c r="AL21" i="13"/>
  <c r="BA21" i="13" s="1"/>
  <c r="EP15" i="13"/>
  <c r="EP16" i="13"/>
  <c r="BD20" i="14"/>
  <c r="AF13" i="17"/>
  <c r="AM13" i="17"/>
  <c r="Q13" i="17"/>
  <c r="AL17" i="13"/>
  <c r="S10" i="17" s="1"/>
  <c r="AP10" i="17" s="1"/>
  <c r="P10" i="17"/>
  <c r="AM12" i="17"/>
  <c r="Q12" i="17"/>
  <c r="BD19" i="14"/>
  <c r="AF12" i="17"/>
  <c r="FB20" i="13"/>
  <c r="BD16" i="14"/>
  <c r="AF9" i="17"/>
  <c r="AM8" i="17"/>
  <c r="Q8" i="17"/>
  <c r="AM9" i="17"/>
  <c r="Q9" i="17"/>
  <c r="FB14" i="13"/>
  <c r="BD14" i="14"/>
  <c r="AF7" i="17"/>
  <c r="CC14" i="13"/>
  <c r="AL14" i="13"/>
  <c r="S7" i="17" s="1"/>
  <c r="EP14" i="13"/>
  <c r="AM7" i="17"/>
  <c r="Q7" i="17"/>
  <c r="BD13" i="14"/>
  <c r="AF6" i="17"/>
  <c r="AM6" i="17"/>
  <c r="Q6" i="17"/>
  <c r="BC25" i="14"/>
  <c r="CJ25" i="14"/>
  <c r="BE25" i="14"/>
  <c r="AS25" i="14"/>
  <c r="BN25" i="14"/>
  <c r="BD25" i="14"/>
  <c r="BA3" i="14"/>
  <c r="AZ3" i="14"/>
  <c r="BE3" i="14" s="1"/>
  <c r="AZ25" i="14"/>
  <c r="DF38" i="14"/>
  <c r="DE48" i="1"/>
  <c r="DE50" i="1" s="1"/>
  <c r="BC51" i="1"/>
  <c r="AR50" i="1"/>
  <c r="DF44" i="13"/>
  <c r="DE44" i="13"/>
  <c r="AX37" i="13"/>
  <c r="BB37" i="13"/>
  <c r="BA37" i="13"/>
  <c r="BD37" i="13"/>
  <c r="BM37" i="13"/>
  <c r="AY37" i="13"/>
  <c r="AZ37" i="13"/>
  <c r="CI37" i="13"/>
  <c r="AR37" i="13"/>
  <c r="DA43" i="13"/>
  <c r="CV43" i="13"/>
  <c r="CU43" i="13"/>
  <c r="CY43" i="13" s="1"/>
  <c r="DB43" i="13" s="1"/>
  <c r="DC25" i="14"/>
  <c r="DB25" i="14"/>
  <c r="CR15" i="2"/>
  <c r="AQ15" i="2"/>
  <c r="BG15" i="2"/>
  <c r="AJ15" i="2"/>
  <c r="DF41" i="14"/>
  <c r="DG41" i="14"/>
  <c r="CR14" i="2"/>
  <c r="BG14" i="2"/>
  <c r="AJ14" i="2"/>
  <c r="AQ14" i="2"/>
  <c r="BD20" i="13"/>
  <c r="AL25" i="13"/>
  <c r="S18" i="17" s="1"/>
  <c r="CC25" i="13"/>
  <c r="EP25" i="13"/>
  <c r="FB25" i="13"/>
  <c r="AQ9" i="2"/>
  <c r="CR9" i="2"/>
  <c r="AJ9" i="2"/>
  <c r="BG9" i="2"/>
  <c r="AL24" i="13"/>
  <c r="S17" i="17" s="1"/>
  <c r="CC24" i="13"/>
  <c r="FB24" i="13"/>
  <c r="EP24" i="13"/>
  <c r="BG13" i="2"/>
  <c r="AQ13" i="2"/>
  <c r="CR13" i="2"/>
  <c r="AJ13" i="2"/>
  <c r="DA38" i="13"/>
  <c r="DB38" i="13"/>
  <c r="CV38" i="13"/>
  <c r="AS21" i="14"/>
  <c r="BE21" i="14"/>
  <c r="CJ21" i="14"/>
  <c r="BN21" i="14"/>
  <c r="AZ21" i="14"/>
  <c r="AY21" i="14"/>
  <c r="BA21" i="14"/>
  <c r="BB21" i="14"/>
  <c r="BC21" i="14"/>
  <c r="DG42" i="14"/>
  <c r="DF42" i="14"/>
  <c r="DP16" i="13"/>
  <c r="DQ16" i="13" s="1"/>
  <c r="DP15" i="13"/>
  <c r="DQ15" i="13" s="1"/>
  <c r="DP20" i="13"/>
  <c r="DQ20" i="13" s="1"/>
  <c r="DO19" i="14"/>
  <c r="DP19" i="14" s="1"/>
  <c r="DO18" i="14"/>
  <c r="DP18" i="14" s="1"/>
  <c r="DO20" i="14"/>
  <c r="DP20" i="14" s="1"/>
  <c r="DO13" i="14"/>
  <c r="DP13" i="14" s="1"/>
  <c r="DO15" i="14"/>
  <c r="DP15" i="14" s="1"/>
  <c r="DO14" i="14"/>
  <c r="DP14" i="14" s="1"/>
  <c r="DO16" i="14"/>
  <c r="DP16" i="14" s="1"/>
  <c r="DO17" i="14"/>
  <c r="DP17" i="14" s="1"/>
  <c r="EP22" i="13"/>
  <c r="FB22" i="13"/>
  <c r="AL22" i="13"/>
  <c r="S15" i="17" s="1"/>
  <c r="CC22" i="13"/>
  <c r="CU30" i="13"/>
  <c r="CY30" i="13" s="1"/>
  <c r="DB30" i="13" s="1"/>
  <c r="DD30" i="13" s="1"/>
  <c r="DD31" i="13" s="1"/>
  <c r="DA30" i="13"/>
  <c r="BC49" i="1"/>
  <c r="AY16" i="13"/>
  <c r="BA16" i="13"/>
  <c r="DG43" i="14"/>
  <c r="DF43" i="14"/>
  <c r="BC37" i="13"/>
  <c r="AS22" i="14"/>
  <c r="BE22" i="14"/>
  <c r="AZ22" i="14"/>
  <c r="BN22" i="14"/>
  <c r="BB22" i="14"/>
  <c r="AY22" i="14"/>
  <c r="CJ22" i="14"/>
  <c r="BA22" i="14"/>
  <c r="BC22" i="14"/>
  <c r="AR49" i="1"/>
  <c r="DF32" i="14"/>
  <c r="DG32" i="14"/>
  <c r="BE15" i="14"/>
  <c r="AS15" i="14"/>
  <c r="CJ15" i="14"/>
  <c r="BB15" i="14"/>
  <c r="BA15" i="14"/>
  <c r="AZ15" i="14"/>
  <c r="AY15" i="14"/>
  <c r="BC15" i="14"/>
  <c r="BN15" i="14"/>
  <c r="AR78" i="1"/>
  <c r="AS78" i="1" s="1"/>
  <c r="DA37" i="13"/>
  <c r="CV37" i="13"/>
  <c r="CU37" i="13"/>
  <c r="CY37" i="13" s="1"/>
  <c r="DB37" i="13" s="1"/>
  <c r="BD15" i="14"/>
  <c r="AS13" i="14"/>
  <c r="BN13" i="14"/>
  <c r="BB13" i="14"/>
  <c r="AY13" i="14"/>
  <c r="BE13" i="14"/>
  <c r="CJ13" i="14"/>
  <c r="AZ13" i="14"/>
  <c r="BC13" i="14"/>
  <c r="BA13" i="14"/>
  <c r="AM49" i="14"/>
  <c r="AM84" i="14"/>
  <c r="AS24" i="14"/>
  <c r="BE24" i="14"/>
  <c r="AZ24" i="14"/>
  <c r="AY24" i="14"/>
  <c r="BA24" i="14"/>
  <c r="BC24" i="14"/>
  <c r="BN24" i="14"/>
  <c r="CJ24" i="14"/>
  <c r="BB24" i="14"/>
  <c r="CO37" i="13"/>
  <c r="CP37" i="13" s="1"/>
  <c r="AJ11" i="2"/>
  <c r="CR11" i="2"/>
  <c r="AQ11" i="2"/>
  <c r="BG11" i="2"/>
  <c r="AS20" i="14"/>
  <c r="BB20" i="14"/>
  <c r="BN20" i="14"/>
  <c r="BA20" i="14"/>
  <c r="CJ20" i="14"/>
  <c r="BC20" i="14"/>
  <c r="BE20" i="14"/>
  <c r="AY20" i="14"/>
  <c r="AZ20" i="14"/>
  <c r="DF40" i="14"/>
  <c r="DG40" i="14"/>
  <c r="AJ35" i="2"/>
  <c r="BG35" i="2"/>
  <c r="AQ35" i="2"/>
  <c r="DN13" i="13"/>
  <c r="DO13" i="13" s="1"/>
  <c r="DN15" i="13"/>
  <c r="DO15" i="13" s="1"/>
  <c r="DN14" i="13"/>
  <c r="DO14" i="13" s="1"/>
  <c r="DN19" i="13"/>
  <c r="DO19" i="13" s="1"/>
  <c r="DN16" i="13"/>
  <c r="DO16" i="13" s="1"/>
  <c r="DN20" i="13"/>
  <c r="DO20" i="13" s="1"/>
  <c r="DN18" i="13"/>
  <c r="DO18" i="13" s="1"/>
  <c r="DA32" i="13"/>
  <c r="CV32" i="13"/>
  <c r="CU32" i="13"/>
  <c r="CY32" i="13" s="1"/>
  <c r="DB32" i="13" s="1"/>
  <c r="DF46" i="14"/>
  <c r="DG46" i="14"/>
  <c r="BA30" i="13"/>
  <c r="BB30" i="13"/>
  <c r="CI30" i="13"/>
  <c r="AX30" i="13"/>
  <c r="AY30" i="13"/>
  <c r="AZ30" i="13"/>
  <c r="BD30" i="13"/>
  <c r="AR30" i="13"/>
  <c r="BM30" i="13"/>
  <c r="BB41" i="1"/>
  <c r="CI41" i="1"/>
  <c r="BD41" i="1"/>
  <c r="BM41" i="1"/>
  <c r="AZ41" i="1"/>
  <c r="AR41" i="1"/>
  <c r="BA41" i="1"/>
  <c r="AY41" i="1"/>
  <c r="AX41" i="1"/>
  <c r="DE25" i="13"/>
  <c r="DF25" i="13"/>
  <c r="AL42" i="14"/>
  <c r="AL42" i="1"/>
  <c r="CC42" i="1"/>
  <c r="AH36" i="2"/>
  <c r="AI36" i="2" s="1"/>
  <c r="EP42" i="1"/>
  <c r="FB42" i="1"/>
  <c r="AL10" i="14"/>
  <c r="BD43" i="14"/>
  <c r="BD46" i="14"/>
  <c r="BD42" i="14"/>
  <c r="BD39" i="14"/>
  <c r="AL11" i="14"/>
  <c r="AL9" i="14"/>
  <c r="BD41" i="14"/>
  <c r="BC58" i="14" s="1"/>
  <c r="BC60" i="14" s="1"/>
  <c r="BC61" i="14" s="1"/>
  <c r="BC63" i="14" s="1"/>
  <c r="BC64" i="14" s="1"/>
  <c r="BD40" i="14"/>
  <c r="AL8" i="14"/>
  <c r="BD45" i="14"/>
  <c r="AL7" i="14"/>
  <c r="BP58" i="14"/>
  <c r="AL12" i="14"/>
  <c r="BD44" i="14"/>
  <c r="BB15" i="13"/>
  <c r="AL40" i="14"/>
  <c r="CC40" i="1"/>
  <c r="AH34" i="2"/>
  <c r="AI34" i="2" s="1"/>
  <c r="EP40" i="1"/>
  <c r="FB40" i="1"/>
  <c r="AL40" i="1"/>
  <c r="DE40" i="13"/>
  <c r="DF40" i="13"/>
  <c r="DG30" i="14"/>
  <c r="DF30" i="14"/>
  <c r="CC13" i="13"/>
  <c r="EP13" i="13"/>
  <c r="FB13" i="13"/>
  <c r="AL13" i="13"/>
  <c r="AK49" i="13"/>
  <c r="AK84" i="13"/>
  <c r="DQ18" i="14"/>
  <c r="DR18" i="14" s="1"/>
  <c r="DQ20" i="14"/>
  <c r="DR20" i="14" s="1"/>
  <c r="DQ13" i="14"/>
  <c r="DR13" i="14" s="1"/>
  <c r="DQ15" i="14"/>
  <c r="DR15" i="14" s="1"/>
  <c r="DQ16" i="14"/>
  <c r="DR16" i="14" s="1"/>
  <c r="DQ19" i="14"/>
  <c r="DR19" i="14" s="1"/>
  <c r="DQ14" i="14"/>
  <c r="DR14" i="14" s="1"/>
  <c r="DQ17" i="14"/>
  <c r="DR17" i="14" s="1"/>
  <c r="AL45" i="14"/>
  <c r="AL45" i="1"/>
  <c r="AH39" i="2"/>
  <c r="AI39" i="2" s="1"/>
  <c r="BN19" i="14"/>
  <c r="AY19" i="14"/>
  <c r="BB19" i="14"/>
  <c r="CJ19" i="14"/>
  <c r="BA19" i="14"/>
  <c r="BC19" i="14"/>
  <c r="AZ19" i="14"/>
  <c r="AS19" i="14"/>
  <c r="BE19" i="14"/>
  <c r="BG18" i="2"/>
  <c r="AJ18" i="2"/>
  <c r="CR18" i="2"/>
  <c r="AQ18" i="2"/>
  <c r="EP19" i="13"/>
  <c r="FB19" i="13"/>
  <c r="AL19" i="13"/>
  <c r="S12" i="17" s="1"/>
  <c r="CC19" i="13"/>
  <c r="EQ41" i="14"/>
  <c r="FC41" i="14"/>
  <c r="CD41" i="14"/>
  <c r="AM41" i="14"/>
  <c r="AF34" i="17" s="1"/>
  <c r="DA46" i="13"/>
  <c r="CV46" i="13"/>
  <c r="CU46" i="13"/>
  <c r="CY46" i="13" s="1"/>
  <c r="DB46" i="13" s="1"/>
  <c r="CR17" i="2"/>
  <c r="AQ17" i="2"/>
  <c r="BG17" i="2"/>
  <c r="AJ17" i="2"/>
  <c r="AS14" i="14"/>
  <c r="BB14" i="14"/>
  <c r="BC14" i="14"/>
  <c r="BE14" i="14"/>
  <c r="BN14" i="14"/>
  <c r="AZ14" i="14"/>
  <c r="CJ14" i="14"/>
  <c r="BA14" i="14"/>
  <c r="AY14" i="14"/>
  <c r="BG16" i="2"/>
  <c r="CR16" i="2"/>
  <c r="AQ16" i="2"/>
  <c r="AJ16" i="2"/>
  <c r="DG39" i="14"/>
  <c r="DF39" i="14"/>
  <c r="AL43" i="14"/>
  <c r="AH37" i="2"/>
  <c r="AI37" i="2" s="1"/>
  <c r="AL43" i="1"/>
  <c r="CC43" i="1"/>
  <c r="BG10" i="2"/>
  <c r="AJ10" i="2"/>
  <c r="CR10" i="2"/>
  <c r="AQ10" i="2"/>
  <c r="AS23" i="14"/>
  <c r="CJ23" i="14"/>
  <c r="BB23" i="14"/>
  <c r="AZ23" i="14"/>
  <c r="AY23" i="14"/>
  <c r="BC23" i="14"/>
  <c r="BA23" i="14"/>
  <c r="BE23" i="14"/>
  <c r="BN23" i="14"/>
  <c r="AH40" i="2"/>
  <c r="AI40" i="2" s="1"/>
  <c r="AL46" i="1"/>
  <c r="CC46" i="1"/>
  <c r="CR12" i="2"/>
  <c r="BG12" i="2"/>
  <c r="AJ12" i="2"/>
  <c r="AQ12" i="2"/>
  <c r="CH54" i="13"/>
  <c r="CH53" i="13"/>
  <c r="CH51" i="13"/>
  <c r="AK39" i="1"/>
  <c r="AZ64" i="1"/>
  <c r="CC17" i="13"/>
  <c r="EP17" i="13"/>
  <c r="FB17" i="13"/>
  <c r="BE16" i="14"/>
  <c r="AS16" i="14"/>
  <c r="CJ16" i="14"/>
  <c r="BB16" i="14"/>
  <c r="AZ16" i="14"/>
  <c r="BN16" i="14"/>
  <c r="BA16" i="14"/>
  <c r="AY16" i="14"/>
  <c r="BC16" i="14"/>
  <c r="DA42" i="13"/>
  <c r="CV42" i="13"/>
  <c r="CU42" i="13"/>
  <c r="CY42" i="13" s="1"/>
  <c r="DB42" i="13" s="1"/>
  <c r="DG37" i="14"/>
  <c r="DF37" i="14"/>
  <c r="BE17" i="14"/>
  <c r="BN17" i="14"/>
  <c r="AZ17" i="14"/>
  <c r="BA17" i="14"/>
  <c r="AY17" i="14"/>
  <c r="BC17" i="14"/>
  <c r="CJ17" i="14"/>
  <c r="BB17" i="14"/>
  <c r="AS17" i="14"/>
  <c r="AR51" i="1"/>
  <c r="AQ7" i="2"/>
  <c r="CR7" i="2"/>
  <c r="AI43" i="2"/>
  <c r="BG7" i="2"/>
  <c r="AJ7" i="2"/>
  <c r="CO43" i="13"/>
  <c r="CP43" i="13" s="1"/>
  <c r="DA41" i="13"/>
  <c r="CV41" i="13"/>
  <c r="CU41" i="13"/>
  <c r="CY41" i="13" s="1"/>
  <c r="DB41" i="13" s="1"/>
  <c r="BD21" i="14"/>
  <c r="CP25" i="14"/>
  <c r="CQ25" i="14" s="1"/>
  <c r="AL44" i="14"/>
  <c r="CC44" i="1"/>
  <c r="AL44" i="1"/>
  <c r="AH38" i="2"/>
  <c r="AI38" i="2" s="1"/>
  <c r="AR15" i="2"/>
  <c r="AR47" i="2" s="1"/>
  <c r="DA39" i="13"/>
  <c r="CU39" i="13"/>
  <c r="CY39" i="13" s="1"/>
  <c r="DB39" i="13" s="1"/>
  <c r="CV39" i="13"/>
  <c r="DF48" i="1"/>
  <c r="BD17" i="14"/>
  <c r="AY60" i="14"/>
  <c r="AY61" i="14" s="1"/>
  <c r="AY63" i="14" s="1"/>
  <c r="AY64" i="14" s="1"/>
  <c r="AZ58" i="14"/>
  <c r="AZ60" i="14" s="1"/>
  <c r="AZ61" i="14" s="1"/>
  <c r="AZ63" i="14" s="1"/>
  <c r="AZ64" i="14" s="1"/>
  <c r="AW60" i="13"/>
  <c r="AW61" i="13" s="1"/>
  <c r="AW63" i="13" s="1"/>
  <c r="AW64" i="13" s="1"/>
  <c r="AX58" i="13"/>
  <c r="AN7" i="17" l="1"/>
  <c r="T7" i="17"/>
  <c r="AN18" i="17"/>
  <c r="T18" i="17"/>
  <c r="AN16" i="17"/>
  <c r="T16" i="17"/>
  <c r="AN17" i="17"/>
  <c r="T17" i="17"/>
  <c r="AN25" i="17"/>
  <c r="T25" i="17"/>
  <c r="AN15" i="17"/>
  <c r="T15" i="17"/>
  <c r="AN9" i="17"/>
  <c r="T9" i="17"/>
  <c r="AN8" i="17"/>
  <c r="T8" i="17"/>
  <c r="AN31" i="17"/>
  <c r="T31" i="17"/>
  <c r="AN12" i="17"/>
  <c r="T12" i="17"/>
  <c r="AN6" i="17"/>
  <c r="AN13" i="17"/>
  <c r="T13" i="17"/>
  <c r="AN14" i="17"/>
  <c r="BC16" i="13"/>
  <c r="CI16" i="13"/>
  <c r="DP13" i="13"/>
  <c r="DQ13" i="13" s="1"/>
  <c r="BC20" i="13"/>
  <c r="AZ17" i="13"/>
  <c r="CI21" i="13"/>
  <c r="BB16" i="13"/>
  <c r="AZ23" i="13"/>
  <c r="DP19" i="13"/>
  <c r="DQ19" i="13" s="1"/>
  <c r="AX20" i="13"/>
  <c r="AY14" i="13"/>
  <c r="BA23" i="13"/>
  <c r="AZ20" i="13"/>
  <c r="AP13" i="17"/>
  <c r="BB23" i="13"/>
  <c r="BM20" i="13"/>
  <c r="AJ43" i="2"/>
  <c r="DP18" i="13"/>
  <c r="DQ18" i="13" s="1"/>
  <c r="BB20" i="13"/>
  <c r="BM16" i="13"/>
  <c r="DP14" i="13"/>
  <c r="DQ14" i="13" s="1"/>
  <c r="AR20" i="13"/>
  <c r="BD16" i="13"/>
  <c r="BM15" i="13"/>
  <c r="CI15" i="13"/>
  <c r="BC15" i="13"/>
  <c r="AZ21" i="13"/>
  <c r="BC22" i="13"/>
  <c r="AX23" i="13"/>
  <c r="CI20" i="13"/>
  <c r="BB14" i="13"/>
  <c r="BM21" i="13"/>
  <c r="AY20" i="13"/>
  <c r="AR14" i="13"/>
  <c r="BC24" i="13"/>
  <c r="AY15" i="13"/>
  <c r="BD21" i="13"/>
  <c r="BA20" i="13"/>
  <c r="BA14" i="13"/>
  <c r="BB21" i="13"/>
  <c r="AR21" i="13"/>
  <c r="AY23" i="13"/>
  <c r="CI14" i="13"/>
  <c r="AX21" i="13"/>
  <c r="BC53" i="13"/>
  <c r="AK9" i="13" s="1"/>
  <c r="BM23" i="13"/>
  <c r="AY21" i="13"/>
  <c r="BC23" i="13"/>
  <c r="BD23" i="13"/>
  <c r="AP16" i="17"/>
  <c r="CI23" i="13"/>
  <c r="AR23" i="13"/>
  <c r="BC14" i="13"/>
  <c r="BD15" i="13"/>
  <c r="AR15" i="13"/>
  <c r="AX15" i="13"/>
  <c r="BM14" i="13"/>
  <c r="AM45" i="14"/>
  <c r="AF38" i="17" s="1"/>
  <c r="AC38" i="17"/>
  <c r="AD38" i="17" s="1"/>
  <c r="AM34" i="17"/>
  <c r="Q34" i="17"/>
  <c r="AK43" i="13"/>
  <c r="P36" i="17" s="1"/>
  <c r="AC36" i="17"/>
  <c r="AD36" i="17" s="1"/>
  <c r="AZ3" i="13"/>
  <c r="BA15" i="13"/>
  <c r="AY17" i="13"/>
  <c r="AK42" i="13"/>
  <c r="P35" i="17" s="1"/>
  <c r="AC35" i="17"/>
  <c r="AD35" i="17" s="1"/>
  <c r="AY3" i="13"/>
  <c r="AL41" i="13"/>
  <c r="S34" i="17" s="1"/>
  <c r="AP34" i="17" s="1"/>
  <c r="AX16" i="13"/>
  <c r="AP15" i="17"/>
  <c r="AZ14" i="13"/>
  <c r="FB41" i="13"/>
  <c r="AZ15" i="13"/>
  <c r="CI17" i="13"/>
  <c r="EP41" i="13"/>
  <c r="AZ16" i="13"/>
  <c r="AR16" i="13"/>
  <c r="AP17" i="17"/>
  <c r="AP18" i="17"/>
  <c r="AP7" i="17"/>
  <c r="AK40" i="13"/>
  <c r="P33" i="17" s="1"/>
  <c r="AC33" i="17"/>
  <c r="AD33" i="17" s="1"/>
  <c r="AP12" i="17"/>
  <c r="CC41" i="13"/>
  <c r="AP9" i="17"/>
  <c r="AK44" i="13"/>
  <c r="P37" i="17" s="1"/>
  <c r="AC37" i="17"/>
  <c r="AD37" i="17" s="1"/>
  <c r="AX14" i="13"/>
  <c r="BD14" i="13"/>
  <c r="BC21" i="13"/>
  <c r="S14" i="17"/>
  <c r="AP14" i="17" s="1"/>
  <c r="BM17" i="13"/>
  <c r="BC17" i="13"/>
  <c r="BA17" i="13"/>
  <c r="AR17" i="13"/>
  <c r="BB17" i="13"/>
  <c r="BD17" i="13"/>
  <c r="AM10" i="17"/>
  <c r="Q10" i="17"/>
  <c r="AX17" i="13"/>
  <c r="BC13" i="13"/>
  <c r="S6" i="17"/>
  <c r="AP6" i="17" s="1"/>
  <c r="AS51" i="14"/>
  <c r="DD32" i="13"/>
  <c r="DD33" i="13" s="1"/>
  <c r="DD34" i="13" s="1"/>
  <c r="DD35" i="13" s="1"/>
  <c r="DD36" i="13" s="1"/>
  <c r="DD37" i="13" s="1"/>
  <c r="DD38" i="13" s="1"/>
  <c r="DD39" i="13" s="1"/>
  <c r="DD40" i="13" s="1"/>
  <c r="DD41" i="13" s="1"/>
  <c r="DD42" i="13" s="1"/>
  <c r="DD43" i="13" s="1"/>
  <c r="DD44" i="13" s="1"/>
  <c r="DD45" i="13" s="1"/>
  <c r="DD46" i="13" s="1"/>
  <c r="BD49" i="14"/>
  <c r="BD50" i="14"/>
  <c r="AR48" i="2"/>
  <c r="CC43" i="13"/>
  <c r="BC45" i="13"/>
  <c r="AK12" i="13"/>
  <c r="BF58" i="14"/>
  <c r="BF60" i="14" s="1"/>
  <c r="BF61" i="14" s="1"/>
  <c r="BF63" i="14" s="1"/>
  <c r="BF64" i="14" s="1"/>
  <c r="BH58" i="14"/>
  <c r="BH60" i="14" s="1"/>
  <c r="BH61" i="14" s="1"/>
  <c r="BH63" i="14" s="1"/>
  <c r="BH64" i="14" s="1"/>
  <c r="BG58" i="14"/>
  <c r="BG60" i="14" s="1"/>
  <c r="BG61" i="14" s="1"/>
  <c r="BG63" i="14" s="1"/>
  <c r="BG64" i="14" s="1"/>
  <c r="CD46" i="14"/>
  <c r="AM46" i="14"/>
  <c r="AF39" i="17" s="1"/>
  <c r="AR43" i="1"/>
  <c r="CI43" i="1"/>
  <c r="BA43" i="1"/>
  <c r="BB43" i="1"/>
  <c r="AZ43" i="1"/>
  <c r="BD43" i="1"/>
  <c r="BM43" i="1"/>
  <c r="AX43" i="1"/>
  <c r="AY43" i="1"/>
  <c r="BD19" i="13"/>
  <c r="AR19" i="13"/>
  <c r="BA19" i="13"/>
  <c r="CI19" i="13"/>
  <c r="BM19" i="13"/>
  <c r="AZ19" i="13"/>
  <c r="BB19" i="13"/>
  <c r="AX19" i="13"/>
  <c r="AY19" i="13"/>
  <c r="BD13" i="13"/>
  <c r="AZ13" i="13"/>
  <c r="BM13" i="13"/>
  <c r="AY13" i="13"/>
  <c r="AR13" i="13"/>
  <c r="BA13" i="13"/>
  <c r="AX13" i="13"/>
  <c r="BB13" i="13"/>
  <c r="CI13" i="13"/>
  <c r="AL84" i="13"/>
  <c r="AL49" i="13"/>
  <c r="AL42" i="13"/>
  <c r="S35" i="17" s="1"/>
  <c r="FB42" i="13"/>
  <c r="AS78" i="14"/>
  <c r="AT78" i="14" s="1"/>
  <c r="AY22" i="13"/>
  <c r="AX22" i="13"/>
  <c r="AZ22" i="13"/>
  <c r="AR22" i="13"/>
  <c r="BB22" i="13"/>
  <c r="BD22" i="13"/>
  <c r="BA22" i="13"/>
  <c r="CI22" i="13"/>
  <c r="BM22" i="13"/>
  <c r="AQ37" i="2"/>
  <c r="BG37" i="2"/>
  <c r="AJ37" i="2"/>
  <c r="AQ39" i="2"/>
  <c r="AJ39" i="2"/>
  <c r="CD10" i="14"/>
  <c r="EQ10" i="14"/>
  <c r="AM10" i="14"/>
  <c r="CD42" i="14"/>
  <c r="EQ42" i="14"/>
  <c r="FC42" i="14"/>
  <c r="AM42" i="14"/>
  <c r="AF35" i="17" s="1"/>
  <c r="BC19" i="13"/>
  <c r="AK45" i="13"/>
  <c r="AX3" i="13"/>
  <c r="BD25" i="13"/>
  <c r="CI25" i="13"/>
  <c r="AR25" i="13"/>
  <c r="BA25" i="13"/>
  <c r="AY25" i="13"/>
  <c r="AZ25" i="13"/>
  <c r="BM25" i="13"/>
  <c r="AX25" i="13"/>
  <c r="BB25" i="13"/>
  <c r="BM42" i="1"/>
  <c r="AR42" i="1"/>
  <c r="CI42" i="1"/>
  <c r="BA42" i="1"/>
  <c r="AY42" i="1"/>
  <c r="BD42" i="1"/>
  <c r="AX42" i="1"/>
  <c r="BB42" i="1"/>
  <c r="AZ42" i="1"/>
  <c r="BB45" i="1"/>
  <c r="BD45" i="1"/>
  <c r="CI45" i="1"/>
  <c r="AX45" i="1"/>
  <c r="AR45" i="1"/>
  <c r="BA45" i="1"/>
  <c r="AZ45" i="1"/>
  <c r="AY45" i="1"/>
  <c r="CD44" i="14"/>
  <c r="AM44" i="14"/>
  <c r="AF37" i="17" s="1"/>
  <c r="BC3" i="13"/>
  <c r="BM46" i="1"/>
  <c r="CI46" i="1"/>
  <c r="BD46" i="1"/>
  <c r="AX46" i="1"/>
  <c r="AY46" i="1"/>
  <c r="BB46" i="1"/>
  <c r="AR46" i="1"/>
  <c r="BA46" i="1"/>
  <c r="AZ46" i="1"/>
  <c r="BE58" i="14"/>
  <c r="BE60" i="14" s="1"/>
  <c r="BE61" i="14" s="1"/>
  <c r="BE63" i="14" s="1"/>
  <c r="BE64" i="14" s="1"/>
  <c r="BD58" i="14"/>
  <c r="BD60" i="14" s="1"/>
  <c r="BD61" i="14" s="1"/>
  <c r="BD63" i="14" s="1"/>
  <c r="BD64" i="14" s="1"/>
  <c r="CD40" i="14"/>
  <c r="EQ40" i="14"/>
  <c r="AM40" i="14"/>
  <c r="AF33" i="17" s="1"/>
  <c r="FC40" i="14"/>
  <c r="BG38" i="2"/>
  <c r="AJ38" i="2"/>
  <c r="AQ38" i="2"/>
  <c r="DF42" i="13"/>
  <c r="DE42" i="13"/>
  <c r="AR44" i="1"/>
  <c r="BA44" i="1"/>
  <c r="AX44" i="1"/>
  <c r="AZ44" i="1"/>
  <c r="BD44" i="1"/>
  <c r="CI44" i="1"/>
  <c r="BB44" i="1"/>
  <c r="AY44" i="1"/>
  <c r="AS45" i="14"/>
  <c r="BE45" i="14"/>
  <c r="CJ45" i="14"/>
  <c r="BB45" i="14"/>
  <c r="AY45" i="14"/>
  <c r="BB3" i="13"/>
  <c r="DF37" i="13"/>
  <c r="DE37" i="13"/>
  <c r="AY24" i="13"/>
  <c r="BM24" i="13"/>
  <c r="CI24" i="13"/>
  <c r="BA24" i="13"/>
  <c r="AZ24" i="13"/>
  <c r="BB24" i="13"/>
  <c r="AR24" i="13"/>
  <c r="AX24" i="13"/>
  <c r="BD24" i="13"/>
  <c r="BP60" i="14"/>
  <c r="BP61" i="14" s="1"/>
  <c r="BP63" i="14" s="1"/>
  <c r="BP64" i="14" s="1"/>
  <c r="BD66" i="14"/>
  <c r="DE43" i="13"/>
  <c r="DF43" i="13"/>
  <c r="BD51" i="14"/>
  <c r="AS50" i="14"/>
  <c r="CI40" i="1"/>
  <c r="AZ40" i="1"/>
  <c r="AR40" i="1"/>
  <c r="BA40" i="1"/>
  <c r="AY40" i="1"/>
  <c r="BM40" i="1"/>
  <c r="AX40" i="1"/>
  <c r="BB40" i="1"/>
  <c r="BD40" i="1"/>
  <c r="DF38" i="13"/>
  <c r="DE38" i="13"/>
  <c r="DE41" i="13"/>
  <c r="DF41" i="13"/>
  <c r="DF32" i="13"/>
  <c r="DE32" i="13"/>
  <c r="AL39" i="14"/>
  <c r="AC32" i="17" s="1"/>
  <c r="AD32" i="17" s="1"/>
  <c r="AK51" i="1"/>
  <c r="AK50" i="1"/>
  <c r="AK54" i="1"/>
  <c r="EP39" i="1"/>
  <c r="CC39" i="1"/>
  <c r="AH33" i="2"/>
  <c r="AL39" i="1"/>
  <c r="AK53" i="1"/>
  <c r="FB39" i="1"/>
  <c r="AM12" i="14"/>
  <c r="CD12" i="14"/>
  <c r="EQ12" i="14"/>
  <c r="DF25" i="14"/>
  <c r="DF48" i="14" s="1"/>
  <c r="DF50" i="14" s="1"/>
  <c r="DG25" i="14"/>
  <c r="DG48" i="14" s="1"/>
  <c r="DE25" i="14"/>
  <c r="DE26" i="14" s="1"/>
  <c r="DE27" i="14" s="1"/>
  <c r="DE28" i="14" s="1"/>
  <c r="DE29" i="14" s="1"/>
  <c r="DE30" i="14" s="1"/>
  <c r="DE31" i="14" s="1"/>
  <c r="DE32" i="14" s="1"/>
  <c r="DE33" i="14" s="1"/>
  <c r="DE34" i="14" s="1"/>
  <c r="DE35" i="14" s="1"/>
  <c r="DE36" i="14" s="1"/>
  <c r="DE37" i="14" s="1"/>
  <c r="DE38" i="14" s="1"/>
  <c r="DE39" i="14" s="1"/>
  <c r="DE40" i="14" s="1"/>
  <c r="DE41" i="14" s="1"/>
  <c r="DE42" i="14" s="1"/>
  <c r="DE43" i="14" s="1"/>
  <c r="DE44" i="14" s="1"/>
  <c r="DE45" i="14" s="1"/>
  <c r="DE46" i="14" s="1"/>
  <c r="BA3" i="13"/>
  <c r="CD7" i="14"/>
  <c r="EQ7" i="14"/>
  <c r="AM7" i="14"/>
  <c r="DF46" i="13"/>
  <c r="DE46" i="13"/>
  <c r="CD8" i="14"/>
  <c r="EQ8" i="14"/>
  <c r="AM8" i="14"/>
  <c r="AS41" i="14"/>
  <c r="BE41" i="14"/>
  <c r="BB41" i="14"/>
  <c r="AZ41" i="14"/>
  <c r="BA41" i="14"/>
  <c r="AY41" i="14"/>
  <c r="BC41" i="14"/>
  <c r="CJ41" i="14"/>
  <c r="BN41" i="14"/>
  <c r="EQ9" i="14"/>
  <c r="AM9" i="14"/>
  <c r="CD9" i="14"/>
  <c r="BC25" i="13"/>
  <c r="EP40" i="13"/>
  <c r="CC40" i="13"/>
  <c r="AL40" i="13"/>
  <c r="S33" i="17" s="1"/>
  <c r="AQ40" i="2"/>
  <c r="AJ40" i="2"/>
  <c r="DF39" i="13"/>
  <c r="DE39" i="13"/>
  <c r="AM43" i="14"/>
  <c r="AF36" i="17" s="1"/>
  <c r="CD43" i="14"/>
  <c r="BG34" i="2"/>
  <c r="AJ34" i="2"/>
  <c r="AQ34" i="2"/>
  <c r="CD11" i="14"/>
  <c r="AM11" i="14"/>
  <c r="EQ11" i="14"/>
  <c r="AS49" i="14"/>
  <c r="AK46" i="13"/>
  <c r="P39" i="17" s="1"/>
  <c r="BA58" i="14"/>
  <c r="BB58" i="14"/>
  <c r="BB60" i="14" s="1"/>
  <c r="BB61" i="14" s="1"/>
  <c r="BB63" i="14" s="1"/>
  <c r="BB64" i="14" s="1"/>
  <c r="AJ36" i="2"/>
  <c r="AQ36" i="2"/>
  <c r="BG36" i="2"/>
  <c r="AX41" i="13"/>
  <c r="DE30" i="13"/>
  <c r="DF30" i="13"/>
  <c r="AY58" i="13"/>
  <c r="AY60" i="13" s="1"/>
  <c r="AY61" i="13" s="1"/>
  <c r="AY63" i="13" s="1"/>
  <c r="AY64" i="13" s="1"/>
  <c r="AX60" i="13"/>
  <c r="AX61" i="13" s="1"/>
  <c r="AX63" i="13" s="1"/>
  <c r="AX64" i="13" s="1"/>
  <c r="T6" i="17" l="1"/>
  <c r="T14" i="17"/>
  <c r="AN10" i="17"/>
  <c r="T10" i="17"/>
  <c r="AN34" i="17"/>
  <c r="T34" i="17"/>
  <c r="AL44" i="13"/>
  <c r="S37" i="17" s="1"/>
  <c r="AP37" i="17" s="1"/>
  <c r="BC39" i="13"/>
  <c r="AK7" i="13"/>
  <c r="BC43" i="13"/>
  <c r="AZ41" i="13"/>
  <c r="CC42" i="13"/>
  <c r="AL43" i="13"/>
  <c r="S36" i="17" s="1"/>
  <c r="AP36" i="17" s="1"/>
  <c r="AR41" i="13"/>
  <c r="AK8" i="13"/>
  <c r="EP8" i="13" s="1"/>
  <c r="BC41" i="13"/>
  <c r="BB58" i="13" s="1"/>
  <c r="BB60" i="13" s="1"/>
  <c r="BB61" i="13" s="1"/>
  <c r="BB63" i="13" s="1"/>
  <c r="BB64" i="13" s="1"/>
  <c r="AY41" i="13"/>
  <c r="BB41" i="13"/>
  <c r="BD3" i="13"/>
  <c r="BC40" i="13"/>
  <c r="BC46" i="13"/>
  <c r="BE58" i="13" s="1"/>
  <c r="BE60" i="13" s="1"/>
  <c r="BE61" i="13" s="1"/>
  <c r="BE63" i="13" s="1"/>
  <c r="BE64" i="13" s="1"/>
  <c r="BM41" i="13"/>
  <c r="BO58" i="13"/>
  <c r="BC66" i="13" s="1"/>
  <c r="AK11" i="13"/>
  <c r="BA41" i="13"/>
  <c r="CI41" i="13"/>
  <c r="BC42" i="13"/>
  <c r="BD58" i="13" s="1"/>
  <c r="BD60" i="13" s="1"/>
  <c r="BD61" i="13" s="1"/>
  <c r="BD63" i="13" s="1"/>
  <c r="BD64" i="13" s="1"/>
  <c r="AK10" i="13"/>
  <c r="EP10" i="13" s="1"/>
  <c r="BD41" i="13"/>
  <c r="BC44" i="13"/>
  <c r="AK39" i="13"/>
  <c r="P32" i="17" s="1"/>
  <c r="AM37" i="17"/>
  <c r="Q37" i="17"/>
  <c r="BC45" i="14"/>
  <c r="BA45" i="14"/>
  <c r="AM36" i="17"/>
  <c r="Q36" i="17"/>
  <c r="AP33" i="17"/>
  <c r="FB40" i="13"/>
  <c r="CC44" i="13"/>
  <c r="AZ45" i="14"/>
  <c r="AL45" i="13"/>
  <c r="S38" i="17" s="1"/>
  <c r="AP38" i="17" s="1"/>
  <c r="P38" i="17"/>
  <c r="EP42" i="13"/>
  <c r="AM39" i="17"/>
  <c r="Q39" i="17"/>
  <c r="AM33" i="17"/>
  <c r="Q33" i="17"/>
  <c r="AM35" i="17"/>
  <c r="Q35" i="17"/>
  <c r="AP35" i="17"/>
  <c r="AR50" i="13"/>
  <c r="AR51" i="13"/>
  <c r="CC46" i="13"/>
  <c r="AL46" i="13"/>
  <c r="S39" i="17" s="1"/>
  <c r="AP39" i="17" s="1"/>
  <c r="AS43" i="14"/>
  <c r="BC43" i="14"/>
  <c r="BE43" i="14"/>
  <c r="CJ43" i="14"/>
  <c r="BN43" i="14"/>
  <c r="AZ43" i="14"/>
  <c r="AY43" i="14"/>
  <c r="BB43" i="14"/>
  <c r="BA43" i="14"/>
  <c r="AR42" i="13"/>
  <c r="BD42" i="13"/>
  <c r="CI42" i="13"/>
  <c r="BA42" i="13"/>
  <c r="BM42" i="13"/>
  <c r="AY42" i="13"/>
  <c r="AZ42" i="13"/>
  <c r="AX42" i="13"/>
  <c r="BB42" i="13"/>
  <c r="CC12" i="13"/>
  <c r="AL12" i="13"/>
  <c r="EP12" i="13"/>
  <c r="AL8" i="13"/>
  <c r="BE46" i="14"/>
  <c r="BN46" i="14"/>
  <c r="BB46" i="14"/>
  <c r="BA46" i="14"/>
  <c r="CJ46" i="14"/>
  <c r="AZ46" i="14"/>
  <c r="BC46" i="14"/>
  <c r="AS46" i="14"/>
  <c r="AY46" i="14"/>
  <c r="AL54" i="14"/>
  <c r="CD39" i="14"/>
  <c r="FC39" i="14"/>
  <c r="EQ39" i="14"/>
  <c r="AM39" i="14"/>
  <c r="AF32" i="17" s="1"/>
  <c r="AL53" i="14"/>
  <c r="AL51" i="14"/>
  <c r="AL50" i="14"/>
  <c r="BA40" i="14"/>
  <c r="AY40" i="14"/>
  <c r="BC40" i="14"/>
  <c r="BB40" i="14"/>
  <c r="CJ40" i="14"/>
  <c r="AZ40" i="14"/>
  <c r="AS40" i="14"/>
  <c r="BN40" i="14"/>
  <c r="BE40" i="14"/>
  <c r="AL11" i="13"/>
  <c r="EP11" i="13"/>
  <c r="CC11" i="13"/>
  <c r="BE42" i="14"/>
  <c r="AS42" i="14"/>
  <c r="BB42" i="14"/>
  <c r="AY42" i="14"/>
  <c r="BN42" i="14"/>
  <c r="CJ42" i="14"/>
  <c r="AZ42" i="14"/>
  <c r="BA42" i="14"/>
  <c r="BC42" i="14"/>
  <c r="AR49" i="13"/>
  <c r="BD40" i="13"/>
  <c r="BM40" i="13"/>
  <c r="BA40" i="13"/>
  <c r="AR40" i="13"/>
  <c r="CI40" i="13"/>
  <c r="AY40" i="13"/>
  <c r="AX40" i="13"/>
  <c r="AZ40" i="13"/>
  <c r="BB40" i="13"/>
  <c r="AL9" i="13"/>
  <c r="CC9" i="13"/>
  <c r="EP9" i="13"/>
  <c r="BA60" i="14"/>
  <c r="BA61" i="14" s="1"/>
  <c r="BA63" i="14" s="1"/>
  <c r="BA64" i="14" s="1"/>
  <c r="BA66" i="14"/>
  <c r="DE48" i="13"/>
  <c r="DE50" i="13" s="1"/>
  <c r="AY43" i="13"/>
  <c r="CI39" i="1"/>
  <c r="AZ39" i="1"/>
  <c r="AR39" i="1"/>
  <c r="BA39" i="1"/>
  <c r="BM39" i="1"/>
  <c r="BB39" i="1"/>
  <c r="AX39" i="1"/>
  <c r="AY39" i="1"/>
  <c r="AL51" i="1"/>
  <c r="AL53" i="1"/>
  <c r="AL50" i="1"/>
  <c r="BD39" i="1"/>
  <c r="AL54" i="1"/>
  <c r="BO60" i="13"/>
  <c r="BO61" i="13" s="1"/>
  <c r="BO63" i="13" s="1"/>
  <c r="BO64" i="13" s="1"/>
  <c r="AI33" i="2"/>
  <c r="AH44" i="2"/>
  <c r="AH55" i="2"/>
  <c r="AH54" i="2"/>
  <c r="AH47" i="2"/>
  <c r="AH53" i="2"/>
  <c r="AH48" i="2"/>
  <c r="AH45" i="2"/>
  <c r="AR33" i="2"/>
  <c r="BB44" i="13"/>
  <c r="AR44" i="13"/>
  <c r="BA44" i="13"/>
  <c r="BD44" i="13"/>
  <c r="AX44" i="13"/>
  <c r="AY44" i="13"/>
  <c r="AZ44" i="13"/>
  <c r="CI44" i="13"/>
  <c r="AS44" i="14"/>
  <c r="BA44" i="14"/>
  <c r="BC44" i="14"/>
  <c r="AZ44" i="14"/>
  <c r="BB44" i="14"/>
  <c r="CJ44" i="14"/>
  <c r="AY44" i="14"/>
  <c r="BE44" i="14"/>
  <c r="AR78" i="13"/>
  <c r="AS78" i="13" s="1"/>
  <c r="BA58" i="13"/>
  <c r="BA60" i="13" s="1"/>
  <c r="BA61" i="13" s="1"/>
  <c r="BA63" i="13" s="1"/>
  <c r="BA64" i="13" s="1"/>
  <c r="AZ58" i="13"/>
  <c r="DF48" i="13"/>
  <c r="FB39" i="13"/>
  <c r="EP39" i="13"/>
  <c r="CC39" i="13"/>
  <c r="AK50" i="13"/>
  <c r="CC7" i="13"/>
  <c r="EP7" i="13"/>
  <c r="AL7" i="13"/>
  <c r="AN39" i="17" l="1"/>
  <c r="T39" i="17"/>
  <c r="AN37" i="17"/>
  <c r="T37" i="17"/>
  <c r="AN33" i="17"/>
  <c r="T33" i="17"/>
  <c r="AN35" i="17"/>
  <c r="T35" i="17"/>
  <c r="AN36" i="17"/>
  <c r="T36" i="17"/>
  <c r="AK53" i="13"/>
  <c r="BF58" i="13"/>
  <c r="BF60" i="13" s="1"/>
  <c r="BF61" i="13" s="1"/>
  <c r="BF63" i="13" s="1"/>
  <c r="BF64" i="13" s="1"/>
  <c r="BD43" i="13"/>
  <c r="CC8" i="13"/>
  <c r="BM43" i="13"/>
  <c r="BA43" i="13"/>
  <c r="CI43" i="13"/>
  <c r="AL39" i="13"/>
  <c r="S32" i="17" s="1"/>
  <c r="AP32" i="17" s="1"/>
  <c r="BB43" i="13"/>
  <c r="AR43" i="13"/>
  <c r="AZ43" i="13"/>
  <c r="AK51" i="13"/>
  <c r="AX43" i="13"/>
  <c r="BG58" i="13"/>
  <c r="BG60" i="13" s="1"/>
  <c r="BG61" i="13" s="1"/>
  <c r="BG63" i="13" s="1"/>
  <c r="BG64" i="13" s="1"/>
  <c r="CC10" i="13"/>
  <c r="BC51" i="13"/>
  <c r="AL10" i="13"/>
  <c r="AK54" i="13"/>
  <c r="BC58" i="13"/>
  <c r="BC60" i="13" s="1"/>
  <c r="BC61" i="13" s="1"/>
  <c r="BC63" i="13" s="1"/>
  <c r="BC64" i="13" s="1"/>
  <c r="BC50" i="13"/>
  <c r="AZ45" i="13"/>
  <c r="BC49" i="13"/>
  <c r="AX45" i="13"/>
  <c r="AY45" i="13"/>
  <c r="AM38" i="17"/>
  <c r="Q38" i="17"/>
  <c r="BB45" i="13"/>
  <c r="BA45" i="13"/>
  <c r="CI45" i="13"/>
  <c r="AR45" i="13"/>
  <c r="BD45" i="13"/>
  <c r="AM32" i="17"/>
  <c r="Q32" i="17"/>
  <c r="BB50" i="1"/>
  <c r="BB49" i="1"/>
  <c r="BB51" i="1"/>
  <c r="BE39" i="14"/>
  <c r="BC39" i="14"/>
  <c r="CJ39" i="14"/>
  <c r="BB39" i="14"/>
  <c r="AS39" i="14"/>
  <c r="BN39" i="14"/>
  <c r="AZ39" i="14"/>
  <c r="AY39" i="14"/>
  <c r="BA39" i="14"/>
  <c r="AM51" i="14"/>
  <c r="AM54" i="14"/>
  <c r="AM53" i="14"/>
  <c r="AM50" i="14"/>
  <c r="AR46" i="13"/>
  <c r="AX46" i="13"/>
  <c r="BM46" i="13"/>
  <c r="AY46" i="13"/>
  <c r="AZ46" i="13"/>
  <c r="BA46" i="13"/>
  <c r="CI46" i="13"/>
  <c r="BD46" i="13"/>
  <c r="BB46" i="13"/>
  <c r="AY51" i="1"/>
  <c r="AY50" i="1"/>
  <c r="AY49" i="1"/>
  <c r="AR54" i="1"/>
  <c r="AR53" i="1"/>
  <c r="AZ66" i="13"/>
  <c r="AZ60" i="13"/>
  <c r="AZ61" i="13" s="1"/>
  <c r="AZ63" i="13" s="1"/>
  <c r="AZ64" i="13" s="1"/>
  <c r="AZ51" i="1"/>
  <c r="AZ50" i="1"/>
  <c r="AZ49" i="1"/>
  <c r="AX50" i="1"/>
  <c r="AX51" i="1"/>
  <c r="AX49" i="1"/>
  <c r="AI48" i="2"/>
  <c r="BG33" i="2"/>
  <c r="AI55" i="2"/>
  <c r="AI53" i="2"/>
  <c r="AI45" i="2"/>
  <c r="AJ33" i="2"/>
  <c r="AQ33" i="2"/>
  <c r="AI47" i="2"/>
  <c r="AI54" i="2"/>
  <c r="AI44" i="2"/>
  <c r="CI50" i="1"/>
  <c r="CI51" i="1"/>
  <c r="CI53" i="1"/>
  <c r="CI54" i="1"/>
  <c r="AN38" i="17" l="1"/>
  <c r="T38" i="17"/>
  <c r="AN32" i="17"/>
  <c r="T32" i="17"/>
  <c r="AX39" i="13"/>
  <c r="BB39" i="13"/>
  <c r="AY39" i="13"/>
  <c r="BD39" i="13"/>
  <c r="AL54" i="13"/>
  <c r="AR39" i="13"/>
  <c r="AR54" i="13" s="1"/>
  <c r="AL50" i="13"/>
  <c r="BM39" i="13"/>
  <c r="AL51" i="13"/>
  <c r="BA39" i="13"/>
  <c r="CI39" i="13"/>
  <c r="CI50" i="13" s="1"/>
  <c r="AZ39" i="13"/>
  <c r="AL53" i="13"/>
  <c r="AY50" i="14"/>
  <c r="AY49" i="14"/>
  <c r="AY51" i="14"/>
  <c r="AJ54" i="2"/>
  <c r="AJ53" i="2"/>
  <c r="AJ45" i="2"/>
  <c r="AJ47" i="2"/>
  <c r="AJ55" i="2"/>
  <c r="AJ48" i="2"/>
  <c r="AJ44" i="2"/>
  <c r="AR44" i="2" s="1"/>
  <c r="AJ58" i="2"/>
  <c r="BA50" i="14"/>
  <c r="BA49" i="14"/>
  <c r="BA51" i="14"/>
  <c r="AZ51" i="13"/>
  <c r="AZ50" i="13"/>
  <c r="AZ49" i="13"/>
  <c r="AX49" i="13"/>
  <c r="AX51" i="13"/>
  <c r="AX50" i="13"/>
  <c r="AZ51" i="14"/>
  <c r="AZ50" i="14"/>
  <c r="AZ49" i="14"/>
  <c r="BB50" i="13"/>
  <c r="BB51" i="13"/>
  <c r="BB49" i="13"/>
  <c r="AY49" i="13"/>
  <c r="AY50" i="13"/>
  <c r="AY51" i="13"/>
  <c r="AS53" i="14"/>
  <c r="AS54" i="14"/>
  <c r="CJ50" i="14"/>
  <c r="CJ51" i="14"/>
  <c r="CJ53" i="14"/>
  <c r="CJ54" i="14"/>
  <c r="BC51" i="14"/>
  <c r="BC49" i="14"/>
  <c r="BC50" i="14"/>
  <c r="AR53" i="13" l="1"/>
  <c r="CI53" i="13"/>
  <c r="CI54" i="13"/>
  <c r="CI51" i="13"/>
  <c r="N37" i="7"/>
  <c r="AO45" i="14" l="1"/>
  <c r="AN45" i="15"/>
  <c r="AN45" i="13"/>
  <c r="AN45" i="1"/>
  <c r="N33" i="7" l="1"/>
  <c r="D33" i="7" s="1"/>
  <c r="I33" i="7" s="1"/>
  <c r="K33" i="7" s="1"/>
  <c r="N32" i="7"/>
  <c r="D32" i="7" s="1"/>
  <c r="I32" i="7" s="1"/>
  <c r="K32" i="7" s="1"/>
  <c r="N36" i="7"/>
  <c r="D36" i="7" s="1"/>
  <c r="I36" i="7" s="1"/>
  <c r="K36" i="7" s="1"/>
  <c r="N34" i="7"/>
  <c r="D34" i="7" s="1"/>
  <c r="I34" i="7" s="1"/>
  <c r="K34" i="7" s="1"/>
  <c r="N35" i="7"/>
  <c r="D35" i="7" s="1"/>
  <c r="I35" i="7" s="1"/>
  <c r="K35" i="7" s="1"/>
  <c r="N31" i="7" l="1"/>
  <c r="D31" i="7" s="1"/>
  <c r="I31" i="7" s="1"/>
  <c r="K31" i="7" s="1"/>
  <c r="AN46" i="13"/>
  <c r="AN46" i="15"/>
  <c r="AO46" i="14"/>
  <c r="AN46" i="1"/>
  <c r="N38" i="7"/>
  <c r="D38" i="7" s="1"/>
  <c r="I38" i="7" s="1"/>
  <c r="K38" i="7" s="1"/>
  <c r="AN44" i="15"/>
  <c r="AN44" i="13"/>
  <c r="AO44" i="14"/>
  <c r="AN44" i="1"/>
  <c r="AN43" i="1"/>
  <c r="AN43" i="13"/>
  <c r="AO43" i="14"/>
  <c r="AN43" i="15"/>
  <c r="AO41" i="14"/>
  <c r="AN41" i="15"/>
  <c r="AN41" i="1"/>
  <c r="AN41" i="13"/>
  <c r="AN42" i="13"/>
  <c r="AN42" i="15"/>
  <c r="AO42" i="14"/>
  <c r="AN42" i="1"/>
  <c r="AN40" i="15"/>
  <c r="AN40" i="13"/>
  <c r="AN40" i="1"/>
  <c r="AO40" i="14"/>
  <c r="AN39" i="15" l="1"/>
  <c r="AO39" i="15" s="1"/>
  <c r="AN39" i="1"/>
  <c r="AO39" i="1" s="1"/>
  <c r="AO39" i="14"/>
  <c r="AP39" i="14" s="1"/>
  <c r="AN39" i="13"/>
  <c r="AO39" i="13" s="1"/>
  <c r="AO40" i="13" l="1"/>
  <c r="AO41" i="13"/>
  <c r="AP40" i="14"/>
  <c r="AP41" i="14" s="1"/>
  <c r="AP42" i="14" s="1"/>
  <c r="AP43" i="14" s="1"/>
  <c r="AP44" i="14" s="1"/>
  <c r="AP46" i="14" s="1"/>
  <c r="AO40" i="1"/>
  <c r="AO41" i="1" s="1"/>
  <c r="AO40" i="15"/>
  <c r="AO41" i="15" s="1"/>
  <c r="AO42" i="15" l="1"/>
  <c r="AO43" i="15" s="1"/>
  <c r="AO44" i="15" s="1"/>
  <c r="AO46" i="15" s="1"/>
  <c r="AO42" i="1"/>
  <c r="AO43" i="1" s="1"/>
  <c r="AO42" i="13"/>
  <c r="AO43" i="13" s="1"/>
  <c r="AO44" i="13" s="1"/>
  <c r="AO46" i="13" l="1"/>
  <c r="AO44" i="1"/>
  <c r="AO46"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tc={461B7142-2BE7-4E0A-9991-545C019394E3}</author>
    <author>tc={4223898B-8852-4494-8F06-7507C34A25C5}</author>
    <author>tc={AA578644-F670-4F8A-B773-C1085F14D006}</author>
  </authors>
  <commentList>
    <comment ref="X3" authorId="0" shapeId="0" xr:uid="{461B7142-2BE7-4E0A-9991-545C019394E3}">
      <text>
        <t>[Threaded comment]
Your version of Excel allows you to read this threaded comment; however, any edits to it will get removed if the file is opened in a newer version of Excel. Learn more: https://go.microsoft.com/fwlink/?linkid=870924
Comment:
    Includes Khutzeymateen</t>
      </text>
    </comment>
    <comment ref="E4" authorId="1" shapeId="0" xr:uid="{4223898B-8852-4494-8F06-7507C34A25C5}">
      <text>
        <t>[Threaded comment]
Your version of Excel allows you to read this threaded comment; however, any edits to it will get removed if the file is opened in a newer version of Excel. Learn more: https://go.microsoft.com/fwlink/?linkid=870924
Comment:
    Excludes Seaskinnish &amp; Tseax</t>
      </text>
    </comment>
    <comment ref="H4" authorId="2" shapeId="0" xr:uid="{AA578644-F670-4F8A-B773-C1085F14D006}">
      <text>
        <t>[Threaded comment]
Your version of Excel allows you to read this threaded comment; however, any edits to it will get removed if the file is opened in a newer version of Excel. Learn more: https://go.microsoft.com/fwlink/?linkid=870924
Comment:
    Includes Seaskinnish and Tseax</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Richard Alexander</author>
  </authors>
  <commentList>
    <comment ref="CR5" authorId="0" shapeId="0" xr:uid="{0EBBFCFB-542D-4BB6-B0E0-DFBD53689741}">
      <text>
        <r>
          <rPr>
            <b/>
            <sz val="8"/>
            <color indexed="81"/>
            <rFont val="Tahoma"/>
            <family val="2"/>
          </rPr>
          <t>Richard Alexander:</t>
        </r>
        <r>
          <rPr>
            <sz val="8"/>
            <color indexed="81"/>
            <rFont val="Tahoma"/>
            <family val="2"/>
          </rPr>
          <t xml:space="preserve">
15,000</t>
        </r>
      </text>
    </comment>
    <comment ref="CS5" authorId="0" shapeId="0" xr:uid="{22916893-8C4E-4798-A1FA-D0D3DF392B42}">
      <text>
        <r>
          <rPr>
            <b/>
            <sz val="8"/>
            <color indexed="81"/>
            <rFont val="Tahoma"/>
            <family val="2"/>
          </rPr>
          <t>Richard Alexander:</t>
        </r>
        <r>
          <rPr>
            <sz val="8"/>
            <color indexed="81"/>
            <rFont val="Tahoma"/>
            <family val="2"/>
          </rPr>
          <t xml:space="preserve">
15,000</t>
        </r>
      </text>
    </comment>
    <comment ref="CV5" authorId="0" shapeId="0" xr:uid="{1A5C1DAE-09B8-4426-8D40-FB501B176D6E}">
      <text>
        <r>
          <rPr>
            <b/>
            <sz val="8"/>
            <color indexed="81"/>
            <rFont val="Tahoma"/>
            <family val="2"/>
          </rPr>
          <t>Richard Alexander:</t>
        </r>
        <r>
          <rPr>
            <sz val="8"/>
            <color indexed="81"/>
            <rFont val="Tahoma"/>
            <family val="2"/>
          </rPr>
          <t xml:space="preserve">
No remaining allowable catch</t>
        </r>
      </text>
    </comment>
    <comment ref="CW5" authorId="0" shapeId="0" xr:uid="{A287ED56-8032-4738-934F-1C66F7044223}">
      <text>
        <r>
          <rPr>
            <b/>
            <sz val="8"/>
            <color indexed="81"/>
            <rFont val="Tahoma"/>
            <family val="2"/>
          </rPr>
          <t>Richard Alexander:</t>
        </r>
        <r>
          <rPr>
            <sz val="8"/>
            <color indexed="81"/>
            <rFont val="Tahoma"/>
            <family val="2"/>
          </rPr>
          <t xml:space="preserve">
No remaining allowable catch</t>
        </r>
      </text>
    </comment>
    <comment ref="AK7" authorId="0" shapeId="0" xr:uid="{E1C0CCC7-1C68-4995-A7C6-B3E3FF200416}">
      <text>
        <r>
          <rPr>
            <b/>
            <sz val="9"/>
            <color indexed="81"/>
            <rFont val="Tahoma"/>
            <family val="2"/>
          </rPr>
          <t>Richard Alexander:</t>
        </r>
        <r>
          <rPr>
            <sz val="9"/>
            <color indexed="81"/>
            <rFont val="Tahoma"/>
            <family val="2"/>
          </rPr>
          <t xml:space="preserve">
used mean ER from 2007-2017 CTC report (May 2018)</t>
        </r>
      </text>
    </comment>
    <comment ref="AK8" authorId="0" shapeId="0" xr:uid="{979BCA72-22FC-4374-AA69-390F515E6C4E}">
      <text>
        <r>
          <rPr>
            <b/>
            <sz val="9"/>
            <color indexed="81"/>
            <rFont val="Tahoma"/>
            <family val="2"/>
          </rPr>
          <t>Richard Alexander:</t>
        </r>
        <r>
          <rPr>
            <sz val="9"/>
            <color indexed="81"/>
            <rFont val="Tahoma"/>
            <family val="2"/>
          </rPr>
          <t xml:space="preserve">
used mean ER from 2007-2017 CTC report (May 2018)</t>
        </r>
      </text>
    </comment>
    <comment ref="AK9" authorId="0" shapeId="0" xr:uid="{A76E2513-6A35-4EA7-96D9-ADD05EF7F839}">
      <text>
        <r>
          <rPr>
            <b/>
            <sz val="9"/>
            <color indexed="81"/>
            <rFont val="Tahoma"/>
            <family val="2"/>
          </rPr>
          <t>Richard Alexander:</t>
        </r>
        <r>
          <rPr>
            <sz val="9"/>
            <color indexed="81"/>
            <rFont val="Tahoma"/>
            <family val="2"/>
          </rPr>
          <t xml:space="preserve">
used mean ER from 2007-2017 CTC report (May 2018)</t>
        </r>
      </text>
    </comment>
    <comment ref="AK10" authorId="0" shapeId="0" xr:uid="{A6E69C57-7F71-4874-A44A-2728DE6229D7}">
      <text>
        <r>
          <rPr>
            <b/>
            <sz val="9"/>
            <color indexed="81"/>
            <rFont val="Tahoma"/>
            <family val="2"/>
          </rPr>
          <t>Richard Alexander:</t>
        </r>
        <r>
          <rPr>
            <sz val="9"/>
            <color indexed="81"/>
            <rFont val="Tahoma"/>
            <family val="2"/>
          </rPr>
          <t xml:space="preserve">
used mean ER from 2007-2017 CTC report (May 2018)</t>
        </r>
      </text>
    </comment>
    <comment ref="AK11" authorId="0" shapeId="0" xr:uid="{8A3EC6FE-A075-4CD9-8404-0EBB8562E336}">
      <text>
        <r>
          <rPr>
            <b/>
            <sz val="9"/>
            <color indexed="81"/>
            <rFont val="Tahoma"/>
            <family val="2"/>
          </rPr>
          <t>Richard Alexander:</t>
        </r>
        <r>
          <rPr>
            <sz val="9"/>
            <color indexed="81"/>
            <rFont val="Tahoma"/>
            <family val="2"/>
          </rPr>
          <t xml:space="preserve">
used mean ER from 2007-2017 CTC report (May 2018)</t>
        </r>
      </text>
    </comment>
    <comment ref="AK12" authorId="0" shapeId="0" xr:uid="{148DB3AA-AE50-4B26-9C12-73D243EB8F9F}">
      <text>
        <r>
          <rPr>
            <b/>
            <sz val="9"/>
            <color indexed="81"/>
            <rFont val="Tahoma"/>
            <family val="2"/>
          </rPr>
          <t>Richard Alexander:</t>
        </r>
        <r>
          <rPr>
            <sz val="9"/>
            <color indexed="81"/>
            <rFont val="Tahoma"/>
            <family val="2"/>
          </rPr>
          <t xml:space="preserve">
used mean ER from 2007-2017 CTC report (May 2018)</t>
        </r>
      </text>
    </comment>
    <comment ref="AK13" authorId="0" shapeId="0" xr:uid="{142DF0A1-BB3C-4583-BDD1-FBDD1D5017A0}">
      <text>
        <r>
          <rPr>
            <b/>
            <sz val="9"/>
            <color indexed="81"/>
            <rFont val="Tahoma"/>
            <family val="2"/>
          </rPr>
          <t>Richard Alexander:</t>
        </r>
        <r>
          <rPr>
            <sz val="9"/>
            <color indexed="81"/>
            <rFont val="Tahoma"/>
            <family val="2"/>
          </rPr>
          <t xml:space="preserve">
used mean ER from 2007-2017 CTC report (May 2018)</t>
        </r>
      </text>
    </comment>
    <comment ref="AK14" authorId="0" shapeId="0" xr:uid="{336E4388-D3F0-4F6A-B11F-D73CF5C037BC}">
      <text>
        <r>
          <rPr>
            <b/>
            <sz val="9"/>
            <color indexed="81"/>
            <rFont val="Tahoma"/>
            <family val="2"/>
          </rPr>
          <t>Richard Alexander:</t>
        </r>
        <r>
          <rPr>
            <sz val="9"/>
            <color indexed="81"/>
            <rFont val="Tahoma"/>
            <family val="2"/>
          </rPr>
          <t xml:space="preserve">
used mean ER from 2007-2017 CTC report (May 2018)</t>
        </r>
      </text>
    </comment>
    <comment ref="AK15" authorId="0" shapeId="0" xr:uid="{473E9634-3677-4301-B320-CFF9048DC906}">
      <text>
        <r>
          <rPr>
            <b/>
            <sz val="9"/>
            <color indexed="81"/>
            <rFont val="Tahoma"/>
            <family val="2"/>
          </rPr>
          <t>Richard Alexander:</t>
        </r>
        <r>
          <rPr>
            <sz val="9"/>
            <color indexed="81"/>
            <rFont val="Tahoma"/>
            <family val="2"/>
          </rPr>
          <t xml:space="preserve">
used mean ER from 2007-2017 CTC report (May 2018)</t>
        </r>
      </text>
    </comment>
    <comment ref="AK16" authorId="0" shapeId="0" xr:uid="{C6FA4BAC-C0F7-479C-BA09-EBF35AD44F1C}">
      <text>
        <r>
          <rPr>
            <b/>
            <sz val="9"/>
            <color indexed="81"/>
            <rFont val="Tahoma"/>
            <family val="2"/>
          </rPr>
          <t>Richard Alexander:</t>
        </r>
        <r>
          <rPr>
            <sz val="9"/>
            <color indexed="81"/>
            <rFont val="Tahoma"/>
            <family val="2"/>
          </rPr>
          <t xml:space="preserve">
used mean ER from 2007-2017 CTC report (May 2018)</t>
        </r>
      </text>
    </comment>
    <comment ref="AK17" authorId="0" shapeId="0" xr:uid="{25649736-BEA9-48E2-A94E-B92A6AA7DDDD}">
      <text>
        <r>
          <rPr>
            <b/>
            <sz val="9"/>
            <color indexed="81"/>
            <rFont val="Tahoma"/>
            <family val="2"/>
          </rPr>
          <t>Richard Alexander:</t>
        </r>
        <r>
          <rPr>
            <sz val="9"/>
            <color indexed="81"/>
            <rFont val="Tahoma"/>
            <family val="2"/>
          </rPr>
          <t xml:space="preserve">
used mean ER from 2007-2017 CTC report (May 2018)</t>
        </r>
      </text>
    </comment>
    <comment ref="AK18" authorId="0" shapeId="0" xr:uid="{05EF70D4-606C-4E21-BE8C-1FEB3311F302}">
      <text>
        <r>
          <rPr>
            <b/>
            <sz val="9"/>
            <color indexed="81"/>
            <rFont val="Tahoma"/>
            <family val="2"/>
          </rPr>
          <t>Richard Alexander:</t>
        </r>
        <r>
          <rPr>
            <sz val="9"/>
            <color indexed="81"/>
            <rFont val="Tahoma"/>
            <family val="2"/>
          </rPr>
          <t xml:space="preserve">
used mean ER from 2007-2017 CTC report (May 2018)</t>
        </r>
      </text>
    </comment>
    <comment ref="AK19" authorId="0" shapeId="0" xr:uid="{19F167E2-2BE0-4B0E-B468-A47EF1D73691}">
      <text>
        <r>
          <rPr>
            <b/>
            <sz val="9"/>
            <color indexed="81"/>
            <rFont val="Tahoma"/>
            <family val="2"/>
          </rPr>
          <t>Richard Alexander:</t>
        </r>
        <r>
          <rPr>
            <sz val="9"/>
            <color indexed="81"/>
            <rFont val="Tahoma"/>
            <family val="2"/>
          </rPr>
          <t xml:space="preserve">
used mean ER from 2007-2017 CTC report (May 2018)</t>
        </r>
      </text>
    </comment>
    <comment ref="AK20" authorId="0" shapeId="0" xr:uid="{28303D2A-B080-4F55-825F-8274783C32DE}">
      <text>
        <r>
          <rPr>
            <b/>
            <sz val="9"/>
            <color indexed="81"/>
            <rFont val="Tahoma"/>
            <family val="2"/>
          </rPr>
          <t>Richard Alexander:</t>
        </r>
        <r>
          <rPr>
            <sz val="9"/>
            <color indexed="81"/>
            <rFont val="Tahoma"/>
            <family val="2"/>
          </rPr>
          <t xml:space="preserve">
used mean ER from 2007-2017 CTC report (May 2018)</t>
        </r>
      </text>
    </comment>
    <comment ref="AK21" authorId="0" shapeId="0" xr:uid="{73611556-251C-4944-A56E-C6EABE56DF04}">
      <text>
        <r>
          <rPr>
            <b/>
            <sz val="9"/>
            <color indexed="81"/>
            <rFont val="Tahoma"/>
            <family val="2"/>
          </rPr>
          <t>Richard Alexander:</t>
        </r>
        <r>
          <rPr>
            <sz val="9"/>
            <color indexed="81"/>
            <rFont val="Tahoma"/>
            <family val="2"/>
          </rPr>
          <t xml:space="preserve">
used mean ER from 2007-2017 CTC report (May 2018)</t>
        </r>
      </text>
    </comment>
    <comment ref="AK22" authorId="0" shapeId="0" xr:uid="{0A15F8D3-AED3-47A1-A026-A407E173A25B}">
      <text>
        <r>
          <rPr>
            <b/>
            <sz val="9"/>
            <color indexed="81"/>
            <rFont val="Tahoma"/>
            <family val="2"/>
          </rPr>
          <t>Richard Alexander:</t>
        </r>
        <r>
          <rPr>
            <sz val="9"/>
            <color indexed="81"/>
            <rFont val="Tahoma"/>
            <family val="2"/>
          </rPr>
          <t xml:space="preserve">
used mean ER from 2007-2017 CTC report (May 2018)</t>
        </r>
      </text>
    </comment>
    <comment ref="AK23" authorId="0" shapeId="0" xr:uid="{35D4C9F4-E116-4CF5-9BA0-74FD75A5AD81}">
      <text>
        <r>
          <rPr>
            <b/>
            <sz val="9"/>
            <color indexed="81"/>
            <rFont val="Tahoma"/>
            <family val="2"/>
          </rPr>
          <t>Richard Alexander:</t>
        </r>
        <r>
          <rPr>
            <sz val="9"/>
            <color indexed="81"/>
            <rFont val="Tahoma"/>
            <family val="2"/>
          </rPr>
          <t xml:space="preserve">
used mean ER from 2007-2017 CTC report (May 2018)</t>
        </r>
      </text>
    </comment>
    <comment ref="AK24" authorId="0" shapeId="0" xr:uid="{3F3299C6-8567-4096-9936-8CE929C8A034}">
      <text>
        <r>
          <rPr>
            <b/>
            <sz val="9"/>
            <color indexed="81"/>
            <rFont val="Tahoma"/>
            <family val="2"/>
          </rPr>
          <t>Richard Alexander:</t>
        </r>
        <r>
          <rPr>
            <sz val="9"/>
            <color indexed="81"/>
            <rFont val="Tahoma"/>
            <family val="2"/>
          </rPr>
          <t xml:space="preserve">
used mean ER from 2007-2017 CTC report (May 2018)</t>
        </r>
      </text>
    </comment>
    <comment ref="AK28" authorId="0" shapeId="0" xr:uid="{162FCFA7-8E4D-41F7-B711-88C9F2BF3D62}">
      <text>
        <r>
          <rPr>
            <b/>
            <sz val="9"/>
            <color indexed="81"/>
            <rFont val="Tahoma"/>
            <family val="2"/>
          </rPr>
          <t>Richard Alexander:</t>
        </r>
        <r>
          <rPr>
            <sz val="9"/>
            <color indexed="81"/>
            <rFont val="Tahoma"/>
            <family val="2"/>
          </rPr>
          <t xml:space="preserve">
updated with SEAK-TBR-NBC report_May2018</t>
        </r>
      </text>
    </comment>
    <comment ref="AK29" authorId="0" shapeId="0" xr:uid="{5E9B8F66-9D3F-48D7-8876-015B0B9A9A85}">
      <text>
        <r>
          <rPr>
            <b/>
            <sz val="9"/>
            <color indexed="81"/>
            <rFont val="Tahoma"/>
            <family val="2"/>
          </rPr>
          <t>Richard Alexander:</t>
        </r>
        <r>
          <rPr>
            <sz val="9"/>
            <color indexed="81"/>
            <rFont val="Tahoma"/>
            <family val="2"/>
          </rPr>
          <t xml:space="preserve">
updated with SEAK-TBR-NBC report_May2018</t>
        </r>
      </text>
    </comment>
    <comment ref="AK30" authorId="0" shapeId="0" xr:uid="{81B7536F-1FF6-494D-A009-BE4741667537}">
      <text>
        <r>
          <rPr>
            <b/>
            <sz val="9"/>
            <color indexed="81"/>
            <rFont val="Tahoma"/>
            <family val="2"/>
          </rPr>
          <t>Richard Alexander:</t>
        </r>
        <r>
          <rPr>
            <sz val="9"/>
            <color indexed="81"/>
            <rFont val="Tahoma"/>
            <family val="2"/>
          </rPr>
          <t xml:space="preserve">
updated with SEAK-TBR-NBC report_May2018</t>
        </r>
      </text>
    </comment>
    <comment ref="AK31" authorId="0" shapeId="0" xr:uid="{4EA26BAB-97B8-4A55-9B91-9ABB88E758B1}">
      <text>
        <r>
          <rPr>
            <b/>
            <sz val="9"/>
            <color indexed="81"/>
            <rFont val="Tahoma"/>
            <family val="2"/>
          </rPr>
          <t>Richard Alexander:</t>
        </r>
        <r>
          <rPr>
            <sz val="9"/>
            <color indexed="81"/>
            <rFont val="Tahoma"/>
            <family val="2"/>
          </rPr>
          <t xml:space="preserve">
updated with SEAK-TBR-NBC report_May2018</t>
        </r>
      </text>
    </comment>
    <comment ref="AK32" authorId="0" shapeId="0" xr:uid="{F87726F7-37E9-4A0D-86F0-4A4D44A51F2D}">
      <text>
        <r>
          <rPr>
            <b/>
            <sz val="9"/>
            <color indexed="81"/>
            <rFont val="Tahoma"/>
            <family val="2"/>
          </rPr>
          <t>Richard Alexander:</t>
        </r>
        <r>
          <rPr>
            <sz val="9"/>
            <color indexed="81"/>
            <rFont val="Tahoma"/>
            <family val="2"/>
          </rPr>
          <t xml:space="preserve">
updated with SEAK-TBR-NBC report_May2018</t>
        </r>
      </text>
    </comment>
    <comment ref="AK33" authorId="0" shapeId="0" xr:uid="{1D0B69EF-0C10-4A90-92E8-8D62B70F445A}">
      <text>
        <r>
          <rPr>
            <b/>
            <sz val="9"/>
            <color indexed="81"/>
            <rFont val="Tahoma"/>
            <family val="2"/>
          </rPr>
          <t>Richard Alexander:</t>
        </r>
        <r>
          <rPr>
            <sz val="9"/>
            <color indexed="81"/>
            <rFont val="Tahoma"/>
            <family val="2"/>
          </rPr>
          <t xml:space="preserve">
updated with SEAK-TBR-NBC report_May2018</t>
        </r>
      </text>
    </comment>
    <comment ref="AK34" authorId="0" shapeId="0" xr:uid="{B5318481-54F0-489D-A277-F833184F301C}">
      <text>
        <r>
          <rPr>
            <b/>
            <sz val="9"/>
            <color indexed="81"/>
            <rFont val="Tahoma"/>
            <family val="2"/>
          </rPr>
          <t>Richard Alexander:</t>
        </r>
        <r>
          <rPr>
            <sz val="9"/>
            <color indexed="81"/>
            <rFont val="Tahoma"/>
            <family val="2"/>
          </rPr>
          <t xml:space="preserve">
updated with SEAK-TBR-NBC report_May2018</t>
        </r>
      </text>
    </comment>
    <comment ref="AK35" authorId="0" shapeId="0" xr:uid="{2D51E995-6B0D-43FB-9E09-1C6A9239BFCA}">
      <text>
        <r>
          <rPr>
            <b/>
            <sz val="9"/>
            <color indexed="81"/>
            <rFont val="Tahoma"/>
            <family val="2"/>
          </rPr>
          <t>Richard Alexander:</t>
        </r>
        <r>
          <rPr>
            <sz val="9"/>
            <color indexed="81"/>
            <rFont val="Tahoma"/>
            <family val="2"/>
          </rPr>
          <t xml:space="preserve">
updated with SEAK-TBR-NBC report_May2018</t>
        </r>
      </text>
    </comment>
    <comment ref="AK36" authorId="0" shapeId="0" xr:uid="{B4113F10-C181-46B8-ABF8-1F40F286741C}">
      <text>
        <r>
          <rPr>
            <b/>
            <sz val="9"/>
            <color indexed="81"/>
            <rFont val="Tahoma"/>
            <family val="2"/>
          </rPr>
          <t>Richard Alexander:</t>
        </r>
        <r>
          <rPr>
            <sz val="9"/>
            <color indexed="81"/>
            <rFont val="Tahoma"/>
            <family val="2"/>
          </rPr>
          <t xml:space="preserve">
updated with SEAK-TBR-NBC report_May2018</t>
        </r>
      </text>
    </comment>
    <comment ref="AK37" authorId="0" shapeId="0" xr:uid="{D7B11816-D28B-4E20-9C97-CD8EA65271DB}">
      <text>
        <r>
          <rPr>
            <b/>
            <sz val="9"/>
            <color indexed="81"/>
            <rFont val="Tahoma"/>
            <family val="2"/>
          </rPr>
          <t>Richard Alexander:</t>
        </r>
        <r>
          <rPr>
            <sz val="9"/>
            <color indexed="81"/>
            <rFont val="Tahoma"/>
            <family val="2"/>
          </rPr>
          <t xml:space="preserve">
updated with SEAK-TBR-NBC report_May2018</t>
        </r>
      </text>
    </comment>
    <comment ref="AK38" authorId="0" shapeId="0" xr:uid="{AB9BFDA6-81BA-4D6B-AC23-C93E92D4FE39}">
      <text>
        <r>
          <rPr>
            <b/>
            <sz val="9"/>
            <color indexed="81"/>
            <rFont val="Tahoma"/>
            <family val="2"/>
          </rPr>
          <t>Richard Alexander:</t>
        </r>
        <r>
          <rPr>
            <sz val="9"/>
            <color indexed="81"/>
            <rFont val="Tahoma"/>
            <family val="2"/>
          </rPr>
          <t xml:space="preserve">
updated with SEAK-TBR-NBC report_May2018</t>
        </r>
      </text>
    </comment>
    <comment ref="AK39" authorId="0" shapeId="0" xr:uid="{0ABE934B-93F5-41B4-82FC-5E22F65A5168}">
      <text>
        <r>
          <rPr>
            <b/>
            <sz val="8"/>
            <color indexed="81"/>
            <rFont val="Tahoma"/>
            <family val="2"/>
          </rPr>
          <t>Richard Alexander:</t>
        </r>
        <r>
          <rPr>
            <sz val="8"/>
            <color indexed="81"/>
            <rFont val="Tahoma"/>
            <family val="2"/>
          </rPr>
          <t xml:space="preserve">
used mean AK ER% 4.9% from 2007-2017 -  See calculation at cell AJ42</t>
        </r>
      </text>
    </comment>
    <comment ref="AK40" authorId="0" shapeId="0" xr:uid="{A63B598D-62DF-4A1B-8786-2DD5DA122B72}">
      <text>
        <r>
          <rPr>
            <b/>
            <sz val="8"/>
            <color indexed="81"/>
            <rFont val="Tahoma"/>
            <family val="2"/>
          </rPr>
          <t>Richard Alexander:</t>
        </r>
        <r>
          <rPr>
            <sz val="8"/>
            <color indexed="81"/>
            <rFont val="Tahoma"/>
            <family val="2"/>
          </rPr>
          <t xml:space="preserve">
used mean AK ER% 4.9% from 2007-2017 -  See calculation at cell AJ42</t>
        </r>
      </text>
    </comment>
    <comment ref="AK41" authorId="0" shapeId="0" xr:uid="{175E8A97-2E93-46C0-BE52-838EB2F27CDA}">
      <text>
        <r>
          <rPr>
            <b/>
            <sz val="8"/>
            <color indexed="81"/>
            <rFont val="Tahoma"/>
            <family val="2"/>
          </rPr>
          <t>Richard Alexander:</t>
        </r>
        <r>
          <rPr>
            <sz val="8"/>
            <color indexed="81"/>
            <rFont val="Tahoma"/>
            <family val="2"/>
          </rPr>
          <t xml:space="preserve">
used mean AK ER% 4.9% from 2007-2017 -  See calculation at cell AJ42</t>
        </r>
      </text>
    </comment>
    <comment ref="AK42" authorId="0" shapeId="0" xr:uid="{FAA6E57A-BB05-4D96-99E9-B42CBC4C15E5}">
      <text>
        <r>
          <rPr>
            <b/>
            <sz val="8"/>
            <color indexed="81"/>
            <rFont val="Tahoma"/>
            <family val="2"/>
          </rPr>
          <t>Richard Alexander:</t>
        </r>
        <r>
          <rPr>
            <sz val="8"/>
            <color indexed="81"/>
            <rFont val="Tahoma"/>
            <family val="2"/>
          </rPr>
          <t xml:space="preserve">
used mean AK ER% 4.9% from 2007-2017 -  See calculation at cell AJ42</t>
        </r>
      </text>
    </comment>
    <comment ref="AK43" authorId="0" shapeId="0" xr:uid="{6EB4B59C-108D-44EA-9130-E5F9654C59E6}">
      <text>
        <r>
          <rPr>
            <b/>
            <sz val="8"/>
            <color indexed="81"/>
            <rFont val="Tahoma"/>
            <family val="2"/>
          </rPr>
          <t>Richard Alexander:</t>
        </r>
        <r>
          <rPr>
            <sz val="8"/>
            <color indexed="81"/>
            <rFont val="Tahoma"/>
            <family val="2"/>
          </rPr>
          <t xml:space="preserve">
used mean AK ER% 4.9% from 2007-2017 -  See calculation at cell AJ42</t>
        </r>
      </text>
    </comment>
    <comment ref="AK44" authorId="0" shapeId="0" xr:uid="{E275C1D9-83D6-414B-AD43-F51B383702A1}">
      <text>
        <r>
          <rPr>
            <b/>
            <sz val="8"/>
            <color indexed="81"/>
            <rFont val="Tahoma"/>
            <family val="2"/>
          </rPr>
          <t>Richard Alexander:</t>
        </r>
        <r>
          <rPr>
            <sz val="8"/>
            <color indexed="81"/>
            <rFont val="Tahoma"/>
            <family val="2"/>
          </rPr>
          <t xml:space="preserve">
used mean AK ER% 4.9% from 2007-2017 -  See calculation at cell AJ42</t>
        </r>
      </text>
    </comment>
    <comment ref="AK45" authorId="0" shapeId="0" xr:uid="{2104E246-170C-44FC-A9DB-B7EED31DBC25}">
      <text>
        <r>
          <rPr>
            <b/>
            <sz val="8"/>
            <color indexed="81"/>
            <rFont val="Tahoma"/>
            <family val="2"/>
          </rPr>
          <t>Richard Alexander:</t>
        </r>
        <r>
          <rPr>
            <sz val="8"/>
            <color indexed="81"/>
            <rFont val="Tahoma"/>
            <family val="2"/>
          </rPr>
          <t xml:space="preserve">
used mean AK ER% 4.9% from 2007-2017 -  See calculation at cell AJ42</t>
        </r>
      </text>
    </comment>
    <comment ref="AK46" authorId="0" shapeId="0" xr:uid="{ACFB1570-B800-4D01-BBCD-BCC8512D7A02}">
      <text>
        <r>
          <rPr>
            <b/>
            <sz val="8"/>
            <color indexed="81"/>
            <rFont val="Tahoma"/>
            <family val="2"/>
          </rPr>
          <t>Richard Alexander:</t>
        </r>
        <r>
          <rPr>
            <sz val="8"/>
            <color indexed="81"/>
            <rFont val="Tahoma"/>
            <family val="2"/>
          </rPr>
          <t xml:space="preserve">
used mean AK ER% 4.9% from 2007-2017 -  See calculation at cell AJ42</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Richard Alexander</author>
  </authors>
  <commentList>
    <comment ref="CR5" authorId="0" shapeId="0" xr:uid="{DBD48C1D-EC11-4BE3-B0F5-FBEF0FE5FC76}">
      <text>
        <r>
          <rPr>
            <b/>
            <sz val="8"/>
            <color indexed="81"/>
            <rFont val="Tahoma"/>
            <family val="2"/>
          </rPr>
          <t>Richard Alexander:</t>
        </r>
        <r>
          <rPr>
            <sz val="8"/>
            <color indexed="81"/>
            <rFont val="Tahoma"/>
            <family val="2"/>
          </rPr>
          <t xml:space="preserve">
15,000</t>
        </r>
      </text>
    </comment>
    <comment ref="CS5" authorId="0" shapeId="0" xr:uid="{1A9BD0A8-E233-485A-8715-1A973B541DD8}">
      <text>
        <r>
          <rPr>
            <b/>
            <sz val="8"/>
            <color indexed="81"/>
            <rFont val="Tahoma"/>
            <family val="2"/>
          </rPr>
          <t>Richard Alexander:</t>
        </r>
        <r>
          <rPr>
            <sz val="8"/>
            <color indexed="81"/>
            <rFont val="Tahoma"/>
            <family val="2"/>
          </rPr>
          <t xml:space="preserve">
15,000</t>
        </r>
      </text>
    </comment>
    <comment ref="CV5" authorId="0" shapeId="0" xr:uid="{5525E9D2-8F70-4F8E-93E4-593C563BB7D9}">
      <text>
        <r>
          <rPr>
            <b/>
            <sz val="8"/>
            <color indexed="81"/>
            <rFont val="Tahoma"/>
            <family val="2"/>
          </rPr>
          <t>Richard Alexander:</t>
        </r>
        <r>
          <rPr>
            <sz val="8"/>
            <color indexed="81"/>
            <rFont val="Tahoma"/>
            <family val="2"/>
          </rPr>
          <t xml:space="preserve">
No remaining allowable catch</t>
        </r>
      </text>
    </comment>
    <comment ref="CW5" authorId="0" shapeId="0" xr:uid="{E09A1D3C-7086-4460-A119-19309E65EB2C}">
      <text>
        <r>
          <rPr>
            <b/>
            <sz val="8"/>
            <color indexed="81"/>
            <rFont val="Tahoma"/>
            <family val="2"/>
          </rPr>
          <t>Richard Alexander:</t>
        </r>
        <r>
          <rPr>
            <sz val="8"/>
            <color indexed="81"/>
            <rFont val="Tahoma"/>
            <family val="2"/>
          </rPr>
          <t xml:space="preserve">
No remaining allowable catch</t>
        </r>
      </text>
    </comment>
    <comment ref="AK7" authorId="0" shapeId="0" xr:uid="{1E37E275-2B1C-4E35-8FDD-D4CAFC090BF3}">
      <text>
        <r>
          <rPr>
            <b/>
            <sz val="9"/>
            <color indexed="81"/>
            <rFont val="Tahoma"/>
            <family val="2"/>
          </rPr>
          <t>Richard Alexander:</t>
        </r>
        <r>
          <rPr>
            <sz val="9"/>
            <color indexed="81"/>
            <rFont val="Tahoma"/>
            <family val="2"/>
          </rPr>
          <t xml:space="preserve">
used mean ER from 2007-2017 CTC report (May 2018)</t>
        </r>
      </text>
    </comment>
    <comment ref="AK8" authorId="0" shapeId="0" xr:uid="{9C45F841-6C32-498D-99AF-B7FAE84093D8}">
      <text>
        <r>
          <rPr>
            <b/>
            <sz val="9"/>
            <color indexed="81"/>
            <rFont val="Tahoma"/>
            <family val="2"/>
          </rPr>
          <t>Richard Alexander:</t>
        </r>
        <r>
          <rPr>
            <sz val="9"/>
            <color indexed="81"/>
            <rFont val="Tahoma"/>
            <family val="2"/>
          </rPr>
          <t xml:space="preserve">
used mean ER from 2007-2017 CTC report (May 2018)</t>
        </r>
      </text>
    </comment>
    <comment ref="AK9" authorId="0" shapeId="0" xr:uid="{6A19BC28-A83C-4909-B82F-8534D7A5FA4A}">
      <text>
        <r>
          <rPr>
            <b/>
            <sz val="9"/>
            <color indexed="81"/>
            <rFont val="Tahoma"/>
            <family val="2"/>
          </rPr>
          <t>Richard Alexander:</t>
        </r>
        <r>
          <rPr>
            <sz val="9"/>
            <color indexed="81"/>
            <rFont val="Tahoma"/>
            <family val="2"/>
          </rPr>
          <t xml:space="preserve">
used mean ER from 2007-2017 CTC report (May 2018)</t>
        </r>
      </text>
    </comment>
    <comment ref="AK10" authorId="0" shapeId="0" xr:uid="{7AE50B37-0BDA-4034-8096-B31680B2FEE2}">
      <text>
        <r>
          <rPr>
            <b/>
            <sz val="9"/>
            <color indexed="81"/>
            <rFont val="Tahoma"/>
            <family val="2"/>
          </rPr>
          <t>Richard Alexander:</t>
        </r>
        <r>
          <rPr>
            <sz val="9"/>
            <color indexed="81"/>
            <rFont val="Tahoma"/>
            <family val="2"/>
          </rPr>
          <t xml:space="preserve">
used mean ER from 2007-2017 CTC report (May 2018)</t>
        </r>
      </text>
    </comment>
    <comment ref="AK11" authorId="0" shapeId="0" xr:uid="{DE33CE8D-9623-49E9-B02C-C92722460690}">
      <text>
        <r>
          <rPr>
            <b/>
            <sz val="9"/>
            <color indexed="81"/>
            <rFont val="Tahoma"/>
            <family val="2"/>
          </rPr>
          <t>Richard Alexander:</t>
        </r>
        <r>
          <rPr>
            <sz val="9"/>
            <color indexed="81"/>
            <rFont val="Tahoma"/>
            <family val="2"/>
          </rPr>
          <t xml:space="preserve">
used mean ER from 2007-2017 CTC report (May 2018)</t>
        </r>
      </text>
    </comment>
    <comment ref="AK12" authorId="0" shapeId="0" xr:uid="{8A8E75A3-A062-4EF1-9AA5-E5A9895C962F}">
      <text>
        <r>
          <rPr>
            <b/>
            <sz val="9"/>
            <color indexed="81"/>
            <rFont val="Tahoma"/>
            <family val="2"/>
          </rPr>
          <t>Richard Alexander:</t>
        </r>
        <r>
          <rPr>
            <sz val="9"/>
            <color indexed="81"/>
            <rFont val="Tahoma"/>
            <family val="2"/>
          </rPr>
          <t xml:space="preserve">
used mean ER from 2007-2017 CTC report (May 2018)</t>
        </r>
      </text>
    </comment>
    <comment ref="AK13" authorId="0" shapeId="0" xr:uid="{CA50E7A8-B24C-4EA8-A01E-79788C9C63B1}">
      <text>
        <r>
          <rPr>
            <b/>
            <sz val="9"/>
            <color indexed="81"/>
            <rFont val="Tahoma"/>
            <family val="2"/>
          </rPr>
          <t>Richard Alexander:</t>
        </r>
        <r>
          <rPr>
            <sz val="9"/>
            <color indexed="81"/>
            <rFont val="Tahoma"/>
            <family val="2"/>
          </rPr>
          <t xml:space="preserve">
used mean ER from 2007-2017 CTC report (May 2018)</t>
        </r>
      </text>
    </comment>
    <comment ref="AK14" authorId="0" shapeId="0" xr:uid="{065B499E-4C94-4894-8BD6-14E0B8416B36}">
      <text>
        <r>
          <rPr>
            <b/>
            <sz val="9"/>
            <color indexed="81"/>
            <rFont val="Tahoma"/>
            <family val="2"/>
          </rPr>
          <t>Richard Alexander:</t>
        </r>
        <r>
          <rPr>
            <sz val="9"/>
            <color indexed="81"/>
            <rFont val="Tahoma"/>
            <family val="2"/>
          </rPr>
          <t xml:space="preserve">
used mean ER from 2007-2017 CTC report (May 2018)</t>
        </r>
      </text>
    </comment>
    <comment ref="AK15" authorId="0" shapeId="0" xr:uid="{BC2F4232-25BA-4D53-9813-BCF753ECB838}">
      <text>
        <r>
          <rPr>
            <b/>
            <sz val="9"/>
            <color indexed="81"/>
            <rFont val="Tahoma"/>
            <family val="2"/>
          </rPr>
          <t>Richard Alexander:</t>
        </r>
        <r>
          <rPr>
            <sz val="9"/>
            <color indexed="81"/>
            <rFont val="Tahoma"/>
            <family val="2"/>
          </rPr>
          <t xml:space="preserve">
used mean ER from 2007-2017 CTC report (May 2018)</t>
        </r>
      </text>
    </comment>
    <comment ref="AK16" authorId="0" shapeId="0" xr:uid="{60C76A04-8AF2-42F1-9C2B-FBB773BBE36C}">
      <text>
        <r>
          <rPr>
            <b/>
            <sz val="9"/>
            <color indexed="81"/>
            <rFont val="Tahoma"/>
            <family val="2"/>
          </rPr>
          <t>Richard Alexander:</t>
        </r>
        <r>
          <rPr>
            <sz val="9"/>
            <color indexed="81"/>
            <rFont val="Tahoma"/>
            <family val="2"/>
          </rPr>
          <t xml:space="preserve">
used mean ER from 2007-2017 CTC report (May 2018)</t>
        </r>
      </text>
    </comment>
    <comment ref="AK17" authorId="0" shapeId="0" xr:uid="{1B6F5289-28A3-4B64-8188-84BFF64709AB}">
      <text>
        <r>
          <rPr>
            <b/>
            <sz val="9"/>
            <color indexed="81"/>
            <rFont val="Tahoma"/>
            <family val="2"/>
          </rPr>
          <t>Richard Alexander:</t>
        </r>
        <r>
          <rPr>
            <sz val="9"/>
            <color indexed="81"/>
            <rFont val="Tahoma"/>
            <family val="2"/>
          </rPr>
          <t xml:space="preserve">
used mean ER from 2007-2017 CTC report (May 2018)</t>
        </r>
      </text>
    </comment>
    <comment ref="AK18" authorId="0" shapeId="0" xr:uid="{36EA7C34-1722-4F26-83DB-FECC898D7CF7}">
      <text>
        <r>
          <rPr>
            <b/>
            <sz val="9"/>
            <color indexed="81"/>
            <rFont val="Tahoma"/>
            <family val="2"/>
          </rPr>
          <t>Richard Alexander:</t>
        </r>
        <r>
          <rPr>
            <sz val="9"/>
            <color indexed="81"/>
            <rFont val="Tahoma"/>
            <family val="2"/>
          </rPr>
          <t xml:space="preserve">
used mean ER from 2007-2017 CTC report (May 2018)</t>
        </r>
      </text>
    </comment>
    <comment ref="AK19" authorId="0" shapeId="0" xr:uid="{D0B7E66E-AFFB-4A45-B188-BF6F2279DE8D}">
      <text>
        <r>
          <rPr>
            <b/>
            <sz val="9"/>
            <color indexed="81"/>
            <rFont val="Tahoma"/>
            <family val="2"/>
          </rPr>
          <t>Richard Alexander:</t>
        </r>
        <r>
          <rPr>
            <sz val="9"/>
            <color indexed="81"/>
            <rFont val="Tahoma"/>
            <family val="2"/>
          </rPr>
          <t xml:space="preserve">
used mean ER from 2007-2017 CTC report (May 2018)</t>
        </r>
      </text>
    </comment>
    <comment ref="AK20" authorId="0" shapeId="0" xr:uid="{2F7D1178-787D-4278-A8EF-C8B9C433B9D6}">
      <text>
        <r>
          <rPr>
            <b/>
            <sz val="9"/>
            <color indexed="81"/>
            <rFont val="Tahoma"/>
            <family val="2"/>
          </rPr>
          <t>Richard Alexander:</t>
        </r>
        <r>
          <rPr>
            <sz val="9"/>
            <color indexed="81"/>
            <rFont val="Tahoma"/>
            <family val="2"/>
          </rPr>
          <t xml:space="preserve">
used mean ER from 2007-2017 CTC report (May 2018)</t>
        </r>
      </text>
    </comment>
    <comment ref="AK21" authorId="0" shapeId="0" xr:uid="{DEC36B62-255A-4AA1-A921-92C04613B1DB}">
      <text>
        <r>
          <rPr>
            <b/>
            <sz val="9"/>
            <color indexed="81"/>
            <rFont val="Tahoma"/>
            <family val="2"/>
          </rPr>
          <t>Richard Alexander:</t>
        </r>
        <r>
          <rPr>
            <sz val="9"/>
            <color indexed="81"/>
            <rFont val="Tahoma"/>
            <family val="2"/>
          </rPr>
          <t xml:space="preserve">
used mean ER from 2007-2017 CTC report (May 2018)</t>
        </r>
      </text>
    </comment>
    <comment ref="AK22" authorId="0" shapeId="0" xr:uid="{287DFEC9-4357-491D-A222-64907808322D}">
      <text>
        <r>
          <rPr>
            <b/>
            <sz val="9"/>
            <color indexed="81"/>
            <rFont val="Tahoma"/>
            <family val="2"/>
          </rPr>
          <t>Richard Alexander:</t>
        </r>
        <r>
          <rPr>
            <sz val="9"/>
            <color indexed="81"/>
            <rFont val="Tahoma"/>
            <family val="2"/>
          </rPr>
          <t xml:space="preserve">
used mean ER from 2007-2017 CTC report (May 2018)</t>
        </r>
      </text>
    </comment>
    <comment ref="AK23" authorId="0" shapeId="0" xr:uid="{B92D77F2-2000-4FB1-91D2-BD509758F364}">
      <text>
        <r>
          <rPr>
            <b/>
            <sz val="9"/>
            <color indexed="81"/>
            <rFont val="Tahoma"/>
            <family val="2"/>
          </rPr>
          <t>Richard Alexander:</t>
        </r>
        <r>
          <rPr>
            <sz val="9"/>
            <color indexed="81"/>
            <rFont val="Tahoma"/>
            <family val="2"/>
          </rPr>
          <t xml:space="preserve">
used mean ER from 2007-2017 CTC report (May 2018)</t>
        </r>
      </text>
    </comment>
    <comment ref="AK24" authorId="0" shapeId="0" xr:uid="{AA1EFDF3-9CF2-4F28-BCD9-EA9322A45D6D}">
      <text>
        <r>
          <rPr>
            <b/>
            <sz val="9"/>
            <color indexed="81"/>
            <rFont val="Tahoma"/>
            <family val="2"/>
          </rPr>
          <t>Richard Alexander:</t>
        </r>
        <r>
          <rPr>
            <sz val="9"/>
            <color indexed="81"/>
            <rFont val="Tahoma"/>
            <family val="2"/>
          </rPr>
          <t xml:space="preserve">
used mean ER from 2007-2017 CTC report (May 2018)</t>
        </r>
      </text>
    </comment>
    <comment ref="AK28" authorId="0" shapeId="0" xr:uid="{E3482917-6B19-431D-8E91-654F07135C92}">
      <text>
        <r>
          <rPr>
            <b/>
            <sz val="9"/>
            <color indexed="81"/>
            <rFont val="Tahoma"/>
            <family val="2"/>
          </rPr>
          <t>Richard Alexander:</t>
        </r>
        <r>
          <rPr>
            <sz val="9"/>
            <color indexed="81"/>
            <rFont val="Tahoma"/>
            <family val="2"/>
          </rPr>
          <t xml:space="preserve">
updated with SEAK-TBR-NBC report_May2018</t>
        </r>
      </text>
    </comment>
    <comment ref="AK29" authorId="0" shapeId="0" xr:uid="{BF6EF500-AE22-43EE-8F3D-C6A5D8FD4645}">
      <text>
        <r>
          <rPr>
            <b/>
            <sz val="9"/>
            <color indexed="81"/>
            <rFont val="Tahoma"/>
            <family val="2"/>
          </rPr>
          <t>Richard Alexander:</t>
        </r>
        <r>
          <rPr>
            <sz val="9"/>
            <color indexed="81"/>
            <rFont val="Tahoma"/>
            <family val="2"/>
          </rPr>
          <t xml:space="preserve">
updated with SEAK-TBR-NBC report_May2018</t>
        </r>
      </text>
    </comment>
    <comment ref="AK30" authorId="0" shapeId="0" xr:uid="{9534B535-1A33-4162-A428-1D1797DCA268}">
      <text>
        <r>
          <rPr>
            <b/>
            <sz val="9"/>
            <color indexed="81"/>
            <rFont val="Tahoma"/>
            <family val="2"/>
          </rPr>
          <t>Richard Alexander:</t>
        </r>
        <r>
          <rPr>
            <sz val="9"/>
            <color indexed="81"/>
            <rFont val="Tahoma"/>
            <family val="2"/>
          </rPr>
          <t xml:space="preserve">
updated with SEAK-TBR-NBC report_May2018</t>
        </r>
      </text>
    </comment>
    <comment ref="AK31" authorId="0" shapeId="0" xr:uid="{0F1521B9-5612-4B08-866D-971D93D66DDB}">
      <text>
        <r>
          <rPr>
            <b/>
            <sz val="9"/>
            <color indexed="81"/>
            <rFont val="Tahoma"/>
            <family val="2"/>
          </rPr>
          <t>Richard Alexander:</t>
        </r>
        <r>
          <rPr>
            <sz val="9"/>
            <color indexed="81"/>
            <rFont val="Tahoma"/>
            <family val="2"/>
          </rPr>
          <t xml:space="preserve">
updated with SEAK-TBR-NBC report_May2018</t>
        </r>
      </text>
    </comment>
    <comment ref="AK32" authorId="0" shapeId="0" xr:uid="{C050C743-C828-4038-9A21-740D0414BB42}">
      <text>
        <r>
          <rPr>
            <b/>
            <sz val="9"/>
            <color indexed="81"/>
            <rFont val="Tahoma"/>
            <family val="2"/>
          </rPr>
          <t>Richard Alexander:</t>
        </r>
        <r>
          <rPr>
            <sz val="9"/>
            <color indexed="81"/>
            <rFont val="Tahoma"/>
            <family val="2"/>
          </rPr>
          <t xml:space="preserve">
updated with SEAK-TBR-NBC report_May2018</t>
        </r>
      </text>
    </comment>
    <comment ref="AK33" authorId="0" shapeId="0" xr:uid="{6FFBC98D-4987-4F5F-9166-B95794DE3621}">
      <text>
        <r>
          <rPr>
            <b/>
            <sz val="9"/>
            <color indexed="81"/>
            <rFont val="Tahoma"/>
            <family val="2"/>
          </rPr>
          <t>Richard Alexander:</t>
        </r>
        <r>
          <rPr>
            <sz val="9"/>
            <color indexed="81"/>
            <rFont val="Tahoma"/>
            <family val="2"/>
          </rPr>
          <t xml:space="preserve">
updated with SEAK-TBR-NBC report_May2018</t>
        </r>
      </text>
    </comment>
    <comment ref="AK34" authorId="0" shapeId="0" xr:uid="{12BABFC8-5824-471C-80F5-E04B5CB3F27A}">
      <text>
        <r>
          <rPr>
            <b/>
            <sz val="9"/>
            <color indexed="81"/>
            <rFont val="Tahoma"/>
            <family val="2"/>
          </rPr>
          <t>Richard Alexander:</t>
        </r>
        <r>
          <rPr>
            <sz val="9"/>
            <color indexed="81"/>
            <rFont val="Tahoma"/>
            <family val="2"/>
          </rPr>
          <t xml:space="preserve">
updated with SEAK-TBR-NBC report_May2018</t>
        </r>
      </text>
    </comment>
    <comment ref="AK35" authorId="0" shapeId="0" xr:uid="{4CED3249-89DC-4A55-8A03-B741D1B49509}">
      <text>
        <r>
          <rPr>
            <b/>
            <sz val="9"/>
            <color indexed="81"/>
            <rFont val="Tahoma"/>
            <family val="2"/>
          </rPr>
          <t>Richard Alexander:</t>
        </r>
        <r>
          <rPr>
            <sz val="9"/>
            <color indexed="81"/>
            <rFont val="Tahoma"/>
            <family val="2"/>
          </rPr>
          <t xml:space="preserve">
updated with SEAK-TBR-NBC report_May2018</t>
        </r>
      </text>
    </comment>
    <comment ref="AK36" authorId="0" shapeId="0" xr:uid="{9FEBA787-13C2-4F9B-8AF1-455D35620E20}">
      <text>
        <r>
          <rPr>
            <b/>
            <sz val="9"/>
            <color indexed="81"/>
            <rFont val="Tahoma"/>
            <family val="2"/>
          </rPr>
          <t>Richard Alexander:</t>
        </r>
        <r>
          <rPr>
            <sz val="9"/>
            <color indexed="81"/>
            <rFont val="Tahoma"/>
            <family val="2"/>
          </rPr>
          <t xml:space="preserve">
updated with SEAK-TBR-NBC report_May2018</t>
        </r>
      </text>
    </comment>
    <comment ref="AK37" authorId="0" shapeId="0" xr:uid="{04D4C1E9-A0DA-4556-B781-D72BAA1CF5A1}">
      <text>
        <r>
          <rPr>
            <b/>
            <sz val="9"/>
            <color indexed="81"/>
            <rFont val="Tahoma"/>
            <family val="2"/>
          </rPr>
          <t>Richard Alexander:</t>
        </r>
        <r>
          <rPr>
            <sz val="9"/>
            <color indexed="81"/>
            <rFont val="Tahoma"/>
            <family val="2"/>
          </rPr>
          <t xml:space="preserve">
updated with SEAK-TBR-NBC report_May2018</t>
        </r>
      </text>
    </comment>
    <comment ref="AK38" authorId="0" shapeId="0" xr:uid="{A6C7B82E-824B-4258-A534-5676DCE3DFAD}">
      <text>
        <r>
          <rPr>
            <b/>
            <sz val="9"/>
            <color indexed="81"/>
            <rFont val="Tahoma"/>
            <family val="2"/>
          </rPr>
          <t>Richard Alexander:</t>
        </r>
        <r>
          <rPr>
            <sz val="9"/>
            <color indexed="81"/>
            <rFont val="Tahoma"/>
            <family val="2"/>
          </rPr>
          <t xml:space="preserve">
updated with SEAK-TBR-NBC report_May2018</t>
        </r>
      </text>
    </comment>
    <comment ref="AK39" authorId="0" shapeId="0" xr:uid="{4C0B0072-9525-4859-97B2-9507F17FE9F7}">
      <text>
        <r>
          <rPr>
            <b/>
            <sz val="8"/>
            <color indexed="81"/>
            <rFont val="Tahoma"/>
            <family val="2"/>
          </rPr>
          <t>Richard Alexander:</t>
        </r>
        <r>
          <rPr>
            <sz val="8"/>
            <color indexed="81"/>
            <rFont val="Tahoma"/>
            <family val="2"/>
          </rPr>
          <t xml:space="preserve">
used mean AK ER% 4.9% from 2007-2017 -  See calculation at cell AJ42</t>
        </r>
      </text>
    </comment>
    <comment ref="AK40" authorId="0" shapeId="0" xr:uid="{4103AF95-06DC-48D6-BE02-88AFA3AE8D53}">
      <text>
        <r>
          <rPr>
            <b/>
            <sz val="8"/>
            <color indexed="81"/>
            <rFont val="Tahoma"/>
            <family val="2"/>
          </rPr>
          <t>Richard Alexander:</t>
        </r>
        <r>
          <rPr>
            <sz val="8"/>
            <color indexed="81"/>
            <rFont val="Tahoma"/>
            <family val="2"/>
          </rPr>
          <t xml:space="preserve">
used mean AK ER% 4.9% from 2007-2017 -  See calculation at cell AJ42</t>
        </r>
      </text>
    </comment>
    <comment ref="AK41" authorId="0" shapeId="0" xr:uid="{133DE9D6-5127-4CB0-B5EB-71DC4B348FA1}">
      <text>
        <r>
          <rPr>
            <b/>
            <sz val="8"/>
            <color indexed="81"/>
            <rFont val="Tahoma"/>
            <family val="2"/>
          </rPr>
          <t>Richard Alexander:</t>
        </r>
        <r>
          <rPr>
            <sz val="8"/>
            <color indexed="81"/>
            <rFont val="Tahoma"/>
            <family val="2"/>
          </rPr>
          <t xml:space="preserve">
used mean AK ER% 4.9% from 2007-2017 -  See calculation at cell AJ42</t>
        </r>
      </text>
    </comment>
    <comment ref="AK42" authorId="0" shapeId="0" xr:uid="{F34BD10E-9554-4050-950C-B274B76AF329}">
      <text>
        <r>
          <rPr>
            <b/>
            <sz val="8"/>
            <color indexed="81"/>
            <rFont val="Tahoma"/>
            <family val="2"/>
          </rPr>
          <t>Richard Alexander:</t>
        </r>
        <r>
          <rPr>
            <sz val="8"/>
            <color indexed="81"/>
            <rFont val="Tahoma"/>
            <family val="2"/>
          </rPr>
          <t xml:space="preserve">
used mean AK ER% 4.9% from 2007-2017 -  See calculation at cell AJ42</t>
        </r>
      </text>
    </comment>
    <comment ref="AK43" authorId="0" shapeId="0" xr:uid="{DF931FB4-0517-4A9F-B67E-B55BFB5BBBF1}">
      <text>
        <r>
          <rPr>
            <b/>
            <sz val="8"/>
            <color indexed="81"/>
            <rFont val="Tahoma"/>
            <family val="2"/>
          </rPr>
          <t>Richard Alexander:</t>
        </r>
        <r>
          <rPr>
            <sz val="8"/>
            <color indexed="81"/>
            <rFont val="Tahoma"/>
            <family val="2"/>
          </rPr>
          <t xml:space="preserve">
used mean AK ER% 4.9% from 2007-2017 -  See calculation at cell AJ42</t>
        </r>
      </text>
    </comment>
    <comment ref="AK44" authorId="0" shapeId="0" xr:uid="{52E7F218-8B9B-4307-99B0-2A7A8EE5B139}">
      <text>
        <r>
          <rPr>
            <b/>
            <sz val="8"/>
            <color indexed="81"/>
            <rFont val="Tahoma"/>
            <family val="2"/>
          </rPr>
          <t>Richard Alexander:</t>
        </r>
        <r>
          <rPr>
            <sz val="8"/>
            <color indexed="81"/>
            <rFont val="Tahoma"/>
            <family val="2"/>
          </rPr>
          <t xml:space="preserve">
used mean AK ER% 4.9% from 2007-2017 -  See calculation at cell AJ42</t>
        </r>
      </text>
    </comment>
    <comment ref="AK45" authorId="0" shapeId="0" xr:uid="{BA2C900E-87FD-4F67-8E8B-852F16826320}">
      <text>
        <r>
          <rPr>
            <b/>
            <sz val="8"/>
            <color indexed="81"/>
            <rFont val="Tahoma"/>
            <family val="2"/>
          </rPr>
          <t>Richard Alexander:</t>
        </r>
        <r>
          <rPr>
            <sz val="8"/>
            <color indexed="81"/>
            <rFont val="Tahoma"/>
            <family val="2"/>
          </rPr>
          <t xml:space="preserve">
used mean AK ER% 4.9% from 2007-2017 -  See calculation at cell AJ42</t>
        </r>
      </text>
    </comment>
    <comment ref="AK46" authorId="0" shapeId="0" xr:uid="{2B5E0C0B-EDD9-44EA-88CB-9E8A066CB8A1}">
      <text>
        <r>
          <rPr>
            <b/>
            <sz val="8"/>
            <color indexed="81"/>
            <rFont val="Tahoma"/>
            <family val="2"/>
          </rPr>
          <t>Richard Alexander:</t>
        </r>
        <r>
          <rPr>
            <sz val="8"/>
            <color indexed="81"/>
            <rFont val="Tahoma"/>
            <family val="2"/>
          </rPr>
          <t xml:space="preserve">
used mean AK ER% 4.9% from 2007-2017 -  See calculation at cell AJ42</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Richard Alexander</author>
  </authors>
  <commentList>
    <comment ref="CR5" authorId="0" shapeId="0" xr:uid="{2509A174-1761-4006-B50C-558F5E1C6848}">
      <text>
        <r>
          <rPr>
            <b/>
            <sz val="8"/>
            <color indexed="81"/>
            <rFont val="Tahoma"/>
            <family val="2"/>
          </rPr>
          <t>Richard Alexander:</t>
        </r>
        <r>
          <rPr>
            <sz val="8"/>
            <color indexed="81"/>
            <rFont val="Tahoma"/>
            <family val="2"/>
          </rPr>
          <t xml:space="preserve">
15,000</t>
        </r>
      </text>
    </comment>
    <comment ref="CS5" authorId="0" shapeId="0" xr:uid="{DF7166AE-CCF0-42F1-9BBE-C789586C1043}">
      <text>
        <r>
          <rPr>
            <b/>
            <sz val="8"/>
            <color indexed="81"/>
            <rFont val="Tahoma"/>
            <family val="2"/>
          </rPr>
          <t>Richard Alexander:</t>
        </r>
        <r>
          <rPr>
            <sz val="8"/>
            <color indexed="81"/>
            <rFont val="Tahoma"/>
            <family val="2"/>
          </rPr>
          <t xml:space="preserve">
15,000</t>
        </r>
      </text>
    </comment>
    <comment ref="CV5" authorId="0" shapeId="0" xr:uid="{29DC1DD9-F927-4AF2-A6E8-DFAA7B5B54D4}">
      <text>
        <r>
          <rPr>
            <b/>
            <sz val="8"/>
            <color indexed="81"/>
            <rFont val="Tahoma"/>
            <family val="2"/>
          </rPr>
          <t>Richard Alexander:</t>
        </r>
        <r>
          <rPr>
            <sz val="8"/>
            <color indexed="81"/>
            <rFont val="Tahoma"/>
            <family val="2"/>
          </rPr>
          <t xml:space="preserve">
No remaining allowable catch</t>
        </r>
      </text>
    </comment>
    <comment ref="CW5" authorId="0" shapeId="0" xr:uid="{9FB5311F-D6A2-42DF-9DFF-236D523774E0}">
      <text>
        <r>
          <rPr>
            <b/>
            <sz val="8"/>
            <color indexed="81"/>
            <rFont val="Tahoma"/>
            <family val="2"/>
          </rPr>
          <t>Richard Alexander:</t>
        </r>
        <r>
          <rPr>
            <sz val="8"/>
            <color indexed="81"/>
            <rFont val="Tahoma"/>
            <family val="2"/>
          </rPr>
          <t xml:space="preserve">
No remaining allowable catch</t>
        </r>
      </text>
    </comment>
    <comment ref="AK7" authorId="0" shapeId="0" xr:uid="{D9274CE2-E120-4C98-99D5-2EB4C981709E}">
      <text>
        <r>
          <rPr>
            <b/>
            <sz val="9"/>
            <color indexed="81"/>
            <rFont val="Tahoma"/>
            <family val="2"/>
          </rPr>
          <t>Richard Alexander:</t>
        </r>
        <r>
          <rPr>
            <sz val="9"/>
            <color indexed="81"/>
            <rFont val="Tahoma"/>
            <family val="2"/>
          </rPr>
          <t xml:space="preserve">
used mean ER from 2007-2017 CTC report (May 2018)</t>
        </r>
      </text>
    </comment>
    <comment ref="AK8" authorId="0" shapeId="0" xr:uid="{FCF1B7C4-DF14-4993-AFF6-400C3D093855}">
      <text>
        <r>
          <rPr>
            <b/>
            <sz val="9"/>
            <color indexed="81"/>
            <rFont val="Tahoma"/>
            <family val="2"/>
          </rPr>
          <t>Richard Alexander:</t>
        </r>
        <r>
          <rPr>
            <sz val="9"/>
            <color indexed="81"/>
            <rFont val="Tahoma"/>
            <family val="2"/>
          </rPr>
          <t xml:space="preserve">
used mean ER from 2007-2017 CTC report (May 2018)</t>
        </r>
      </text>
    </comment>
    <comment ref="AK9" authorId="0" shapeId="0" xr:uid="{A44E4D18-457E-432F-B6DB-2B63FA133C8E}">
      <text>
        <r>
          <rPr>
            <b/>
            <sz val="9"/>
            <color indexed="81"/>
            <rFont val="Tahoma"/>
            <family val="2"/>
          </rPr>
          <t>Richard Alexander:</t>
        </r>
        <r>
          <rPr>
            <sz val="9"/>
            <color indexed="81"/>
            <rFont val="Tahoma"/>
            <family val="2"/>
          </rPr>
          <t xml:space="preserve">
used mean ER from 2007-2017 CTC report (May 2018)</t>
        </r>
      </text>
    </comment>
    <comment ref="AK10" authorId="0" shapeId="0" xr:uid="{F7D8BE1E-0028-4193-8BAA-C82DA5BBE8B5}">
      <text>
        <r>
          <rPr>
            <b/>
            <sz val="9"/>
            <color indexed="81"/>
            <rFont val="Tahoma"/>
            <family val="2"/>
          </rPr>
          <t>Richard Alexander:</t>
        </r>
        <r>
          <rPr>
            <sz val="9"/>
            <color indexed="81"/>
            <rFont val="Tahoma"/>
            <family val="2"/>
          </rPr>
          <t xml:space="preserve">
used mean ER from 2007-2017 CTC report (May 2018)</t>
        </r>
      </text>
    </comment>
    <comment ref="AK11" authorId="0" shapeId="0" xr:uid="{04F3EECF-89E7-4694-9A66-D79CDBDC72F6}">
      <text>
        <r>
          <rPr>
            <b/>
            <sz val="9"/>
            <color indexed="81"/>
            <rFont val="Tahoma"/>
            <family val="2"/>
          </rPr>
          <t>Richard Alexander:</t>
        </r>
        <r>
          <rPr>
            <sz val="9"/>
            <color indexed="81"/>
            <rFont val="Tahoma"/>
            <family val="2"/>
          </rPr>
          <t xml:space="preserve">
used mean ER from 2007-2017 CTC report (May 2018)</t>
        </r>
      </text>
    </comment>
    <comment ref="AK12" authorId="0" shapeId="0" xr:uid="{94D27774-8C4B-43D9-9FA1-90F1A82EFA61}">
      <text>
        <r>
          <rPr>
            <b/>
            <sz val="9"/>
            <color indexed="81"/>
            <rFont val="Tahoma"/>
            <family val="2"/>
          </rPr>
          <t>Richard Alexander:</t>
        </r>
        <r>
          <rPr>
            <sz val="9"/>
            <color indexed="81"/>
            <rFont val="Tahoma"/>
            <family val="2"/>
          </rPr>
          <t xml:space="preserve">
used mean ER from 2007-2017 CTC report (May 2018)</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Richard Alexander</author>
  </authors>
  <commentList>
    <comment ref="CS5" authorId="0" shapeId="0" xr:uid="{8E23AF66-4C73-4029-8C96-3AABC46DB94D}">
      <text>
        <r>
          <rPr>
            <b/>
            <sz val="8"/>
            <color indexed="81"/>
            <rFont val="Tahoma"/>
            <family val="2"/>
          </rPr>
          <t>Richard Alexander:</t>
        </r>
        <r>
          <rPr>
            <sz val="8"/>
            <color indexed="81"/>
            <rFont val="Tahoma"/>
            <family val="2"/>
          </rPr>
          <t xml:space="preserve">
15,000</t>
        </r>
      </text>
    </comment>
    <comment ref="CT5" authorId="0" shapeId="0" xr:uid="{2CF25F95-567E-42FD-BD28-C76776B44144}">
      <text>
        <r>
          <rPr>
            <b/>
            <sz val="8"/>
            <color indexed="81"/>
            <rFont val="Tahoma"/>
            <family val="2"/>
          </rPr>
          <t>Richard Alexander:</t>
        </r>
        <r>
          <rPr>
            <sz val="8"/>
            <color indexed="81"/>
            <rFont val="Tahoma"/>
            <family val="2"/>
          </rPr>
          <t xml:space="preserve">
15,000</t>
        </r>
      </text>
    </comment>
    <comment ref="CW5" authorId="0" shapeId="0" xr:uid="{E76CD3EA-FB5C-499A-8340-E187DB2F4DC9}">
      <text>
        <r>
          <rPr>
            <b/>
            <sz val="8"/>
            <color indexed="81"/>
            <rFont val="Tahoma"/>
            <family val="2"/>
          </rPr>
          <t>Richard Alexander:</t>
        </r>
        <r>
          <rPr>
            <sz val="8"/>
            <color indexed="81"/>
            <rFont val="Tahoma"/>
            <family val="2"/>
          </rPr>
          <t xml:space="preserve">
No remaining allowable catch</t>
        </r>
      </text>
    </comment>
    <comment ref="CX5" authorId="0" shapeId="0" xr:uid="{3F42338F-B4FD-450D-AE63-32551E173152}">
      <text>
        <r>
          <rPr>
            <b/>
            <sz val="8"/>
            <color indexed="81"/>
            <rFont val="Tahoma"/>
            <family val="2"/>
          </rPr>
          <t>Richard Alexander:</t>
        </r>
        <r>
          <rPr>
            <sz val="8"/>
            <color indexed="81"/>
            <rFont val="Tahoma"/>
            <family val="2"/>
          </rPr>
          <t xml:space="preserve">
No remaining allowable catch</t>
        </r>
      </text>
    </comment>
    <comment ref="AL7" authorId="0" shapeId="0" xr:uid="{98DD37B8-FF34-4F76-ACE2-BEB3D6955AF6}">
      <text>
        <r>
          <rPr>
            <b/>
            <sz val="9"/>
            <color indexed="81"/>
            <rFont val="Tahoma"/>
            <family val="2"/>
          </rPr>
          <t>Richard Alexander:</t>
        </r>
        <r>
          <rPr>
            <sz val="9"/>
            <color indexed="81"/>
            <rFont val="Tahoma"/>
            <family val="2"/>
          </rPr>
          <t xml:space="preserve">
used mean ER from 2007-2017 CTC report (May 2018)</t>
        </r>
      </text>
    </comment>
    <comment ref="AL8" authorId="0" shapeId="0" xr:uid="{1066BDC4-316A-4926-8F55-3DEAFDED8D41}">
      <text>
        <r>
          <rPr>
            <b/>
            <sz val="9"/>
            <color indexed="81"/>
            <rFont val="Tahoma"/>
            <family val="2"/>
          </rPr>
          <t>Richard Alexander:</t>
        </r>
        <r>
          <rPr>
            <sz val="9"/>
            <color indexed="81"/>
            <rFont val="Tahoma"/>
            <family val="2"/>
          </rPr>
          <t xml:space="preserve">
used mean ER from 2007-2017 CTC report (May 2018)</t>
        </r>
      </text>
    </comment>
    <comment ref="AL9" authorId="0" shapeId="0" xr:uid="{1EC234F0-86C8-4884-8ECE-83B0CFE01DDB}">
      <text>
        <r>
          <rPr>
            <b/>
            <sz val="9"/>
            <color indexed="81"/>
            <rFont val="Tahoma"/>
            <family val="2"/>
          </rPr>
          <t>Richard Alexander:</t>
        </r>
        <r>
          <rPr>
            <sz val="9"/>
            <color indexed="81"/>
            <rFont val="Tahoma"/>
            <family val="2"/>
          </rPr>
          <t xml:space="preserve">
used mean ER from 2007-2017 CTC report (May 2018)</t>
        </r>
      </text>
    </comment>
    <comment ref="AL10" authorId="0" shapeId="0" xr:uid="{C674D99E-AEE0-4383-A46A-DAFCCB037992}">
      <text>
        <r>
          <rPr>
            <b/>
            <sz val="9"/>
            <color indexed="81"/>
            <rFont val="Tahoma"/>
            <family val="2"/>
          </rPr>
          <t>Richard Alexander:</t>
        </r>
        <r>
          <rPr>
            <sz val="9"/>
            <color indexed="81"/>
            <rFont val="Tahoma"/>
            <family val="2"/>
          </rPr>
          <t xml:space="preserve">
used mean ER from 2007-2017 CTC report (May 2018)</t>
        </r>
      </text>
    </comment>
    <comment ref="AL11" authorId="0" shapeId="0" xr:uid="{0F632339-4843-4D31-A10A-9C6AE3DFB15A}">
      <text>
        <r>
          <rPr>
            <b/>
            <sz val="9"/>
            <color indexed="81"/>
            <rFont val="Tahoma"/>
            <family val="2"/>
          </rPr>
          <t>Richard Alexander:</t>
        </r>
        <r>
          <rPr>
            <sz val="9"/>
            <color indexed="81"/>
            <rFont val="Tahoma"/>
            <family val="2"/>
          </rPr>
          <t xml:space="preserve">
used mean ER from 2007-2017 CTC report (May 2018)</t>
        </r>
      </text>
    </comment>
    <comment ref="AL12" authorId="0" shapeId="0" xr:uid="{BBD2F64A-D690-45D9-A4E2-E4CF03783E74}">
      <text>
        <r>
          <rPr>
            <b/>
            <sz val="9"/>
            <color indexed="81"/>
            <rFont val="Tahoma"/>
            <family val="2"/>
          </rPr>
          <t>Richard Alexander:</t>
        </r>
        <r>
          <rPr>
            <sz val="9"/>
            <color indexed="81"/>
            <rFont val="Tahoma"/>
            <family val="2"/>
          </rPr>
          <t xml:space="preserve">
used mean ER from 2007-2017 CTC report (May 2018)</t>
        </r>
      </text>
    </comment>
    <comment ref="AL13" authorId="0" shapeId="0" xr:uid="{2F8A5C05-5E3F-4976-8D3E-A913A4A76BA0}">
      <text>
        <r>
          <rPr>
            <sz val="9"/>
            <color indexed="81"/>
            <rFont val="Tahoma"/>
            <family val="2"/>
          </rPr>
          <t xml:space="preserve">Portion of total Alaska Catch based on TRTC estimates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Richard Alexander</author>
    <author>Karl English</author>
    <author>tc={EB942A40-5BF2-4466-A39C-446F9A6B9A0A}</author>
    <author xml:space="preserve"> </author>
  </authors>
  <commentList>
    <comment ref="CL20" authorId="0" shapeId="0" xr:uid="{12AC555C-91CD-4DE8-B5D8-BA85563F0052}">
      <text>
        <r>
          <rPr>
            <b/>
            <sz val="9"/>
            <color indexed="81"/>
            <rFont val="Tahoma"/>
            <family val="2"/>
          </rPr>
          <t>Richard Alexander:</t>
        </r>
        <r>
          <rPr>
            <sz val="9"/>
            <color indexed="81"/>
            <rFont val="Tahoma"/>
            <family val="2"/>
          </rPr>
          <t xml:space="preserve">
used 5.2%</t>
        </r>
      </text>
    </comment>
    <comment ref="CL21" authorId="0" shapeId="0" xr:uid="{A60616DA-0BD9-4B8D-8710-2D13D90F5F83}">
      <text>
        <r>
          <rPr>
            <b/>
            <sz val="9"/>
            <color indexed="81"/>
            <rFont val="Tahoma"/>
            <family val="2"/>
          </rPr>
          <t>Richard Alexander:</t>
        </r>
        <r>
          <rPr>
            <sz val="9"/>
            <color indexed="81"/>
            <rFont val="Tahoma"/>
            <family val="2"/>
          </rPr>
          <t xml:space="preserve">
used 5.2%</t>
        </r>
      </text>
    </comment>
    <comment ref="CL22" authorId="0" shapeId="0" xr:uid="{30919C4D-C01C-4033-9C0B-82C22728BFFD}">
      <text>
        <r>
          <rPr>
            <b/>
            <sz val="9"/>
            <color indexed="81"/>
            <rFont val="Tahoma"/>
            <family val="2"/>
          </rPr>
          <t>Richard Alexander:</t>
        </r>
        <r>
          <rPr>
            <sz val="9"/>
            <color indexed="81"/>
            <rFont val="Tahoma"/>
            <family val="2"/>
          </rPr>
          <t xml:space="preserve">
used 5.2%</t>
        </r>
      </text>
    </comment>
    <comment ref="CL23" authorId="0" shapeId="0" xr:uid="{6808FDBA-0D5A-4431-8BCD-ACAD477E2B07}">
      <text>
        <r>
          <rPr>
            <b/>
            <sz val="9"/>
            <color indexed="81"/>
            <rFont val="Tahoma"/>
            <family val="2"/>
          </rPr>
          <t>Richard Alexander:</t>
        </r>
        <r>
          <rPr>
            <sz val="9"/>
            <color indexed="81"/>
            <rFont val="Tahoma"/>
            <family val="2"/>
          </rPr>
          <t xml:space="preserve">
used 5.2%</t>
        </r>
      </text>
    </comment>
    <comment ref="CL24" authorId="0" shapeId="0" xr:uid="{5264E765-6CA2-4F7D-91DE-6D6ED788F404}">
      <text>
        <r>
          <rPr>
            <b/>
            <sz val="9"/>
            <color indexed="81"/>
            <rFont val="Tahoma"/>
            <family val="2"/>
          </rPr>
          <t>Richard Alexander:</t>
        </r>
        <r>
          <rPr>
            <sz val="9"/>
            <color indexed="81"/>
            <rFont val="Tahoma"/>
            <family val="2"/>
          </rPr>
          <t xml:space="preserve">
used 5.2%</t>
        </r>
      </text>
    </comment>
    <comment ref="CL25" authorId="0" shapeId="0" xr:uid="{1A7D40B1-E669-4993-8DE7-1BBC2AC19420}">
      <text>
        <r>
          <rPr>
            <b/>
            <sz val="9"/>
            <color indexed="81"/>
            <rFont val="Tahoma"/>
            <family val="2"/>
          </rPr>
          <t>Richard Alexander:</t>
        </r>
        <r>
          <rPr>
            <sz val="9"/>
            <color indexed="81"/>
            <rFont val="Tahoma"/>
            <family val="2"/>
          </rPr>
          <t xml:space="preserve">
used 5.2%</t>
        </r>
      </text>
    </comment>
    <comment ref="CL26" authorId="0" shapeId="0" xr:uid="{9DD303DF-8756-421C-B147-DAF2C3E40999}">
      <text>
        <r>
          <rPr>
            <b/>
            <sz val="9"/>
            <color indexed="81"/>
            <rFont val="Tahoma"/>
            <family val="2"/>
          </rPr>
          <t>Richard Alexander:</t>
        </r>
        <r>
          <rPr>
            <sz val="9"/>
            <color indexed="81"/>
            <rFont val="Tahoma"/>
            <family val="2"/>
          </rPr>
          <t xml:space="preserve">
used 5.2%</t>
        </r>
      </text>
    </comment>
    <comment ref="CL27" authorId="0" shapeId="0" xr:uid="{6CF5D2E1-DE7B-4906-A7B5-6F2026990C50}">
      <text>
        <r>
          <rPr>
            <b/>
            <sz val="9"/>
            <color indexed="81"/>
            <rFont val="Tahoma"/>
            <family val="2"/>
          </rPr>
          <t>Richard Alexander:</t>
        </r>
        <r>
          <rPr>
            <sz val="9"/>
            <color indexed="81"/>
            <rFont val="Tahoma"/>
            <family val="2"/>
          </rPr>
          <t xml:space="preserve">
used 5.2%</t>
        </r>
      </text>
    </comment>
    <comment ref="CL28" authorId="0" shapeId="0" xr:uid="{467F03A2-B15F-4D7A-B5B1-4868DCE94105}">
      <text>
        <r>
          <rPr>
            <b/>
            <sz val="9"/>
            <color indexed="81"/>
            <rFont val="Tahoma"/>
            <family val="2"/>
          </rPr>
          <t>Richard Alexander:</t>
        </r>
        <r>
          <rPr>
            <sz val="9"/>
            <color indexed="81"/>
            <rFont val="Tahoma"/>
            <family val="2"/>
          </rPr>
          <t xml:space="preserve">
used 5.2%</t>
        </r>
      </text>
    </comment>
    <comment ref="D29" authorId="1" shapeId="0" xr:uid="{C0B57B4B-8D25-4D1B-99C1-8A8C2E619951}">
      <text>
        <r>
          <rPr>
            <b/>
            <sz val="9"/>
            <color indexed="81"/>
            <rFont val="Tahoma"/>
            <family val="2"/>
          </rPr>
          <t>Karl English:</t>
        </r>
        <r>
          <rPr>
            <sz val="9"/>
            <color indexed="81"/>
            <rFont val="Tahoma"/>
            <family val="2"/>
          </rPr>
          <t xml:space="preserve">
1225 fence count devided by expansion factor
</t>
        </r>
      </text>
    </comment>
    <comment ref="D32" authorId="0" shapeId="0" xr:uid="{AB2D8CD1-1680-48E0-A2B2-737FC87B0A4F}">
      <text>
        <r>
          <rPr>
            <b/>
            <sz val="9"/>
            <color indexed="81"/>
            <rFont val="Tahoma"/>
            <family val="2"/>
          </rPr>
          <t>Richard Alexander:</t>
        </r>
        <r>
          <rPr>
            <sz val="9"/>
            <color indexed="81"/>
            <rFont val="Tahoma"/>
            <family val="2"/>
          </rPr>
          <t xml:space="preserve">
updated with BC16 x 2</t>
        </r>
      </text>
    </comment>
    <comment ref="D33" authorId="2" shapeId="0" xr:uid="{EB942A40-5BF2-4466-A39C-446F9A6B9A0A}">
      <text>
        <t>[Threaded comment]
Your version of Excel allows you to read this threaded comment; however, any edits to it will get removed if the file is opened in a newer version of Excel. Learn more: https://go.microsoft.com/fwlink/?linkid=870924
Comment:
    952 fence Count divided by expansion factor</t>
      </text>
    </comment>
    <comment ref="D34" authorId="1" shapeId="0" xr:uid="{B2EBE621-7233-4F06-99B4-FB1968C60D15}">
      <text>
        <r>
          <rPr>
            <b/>
            <sz val="9"/>
            <color indexed="81"/>
            <rFont val="Tahoma"/>
            <family val="2"/>
          </rPr>
          <t>Karl English:</t>
        </r>
        <r>
          <rPr>
            <sz val="9"/>
            <color indexed="81"/>
            <rFont val="Tahoma"/>
            <family val="2"/>
          </rPr>
          <t xml:space="preserve">
892 fence count divided by expansion factor
</t>
        </r>
      </text>
    </comment>
    <comment ref="D35" authorId="1" shapeId="0" xr:uid="{3F553175-1006-410C-92E7-26094ECAD292}">
      <text>
        <r>
          <rPr>
            <b/>
            <sz val="9"/>
            <color indexed="81"/>
            <rFont val="Tahoma"/>
            <family val="2"/>
          </rPr>
          <t>Karl English:</t>
        </r>
        <r>
          <rPr>
            <sz val="9"/>
            <color indexed="81"/>
            <rFont val="Tahoma"/>
            <family val="2"/>
          </rPr>
          <t xml:space="preserve">
1349 fence count divided by expansion factor
</t>
        </r>
      </text>
    </comment>
    <comment ref="D36" authorId="1" shapeId="0" xr:uid="{0EE89249-35C0-45FF-88DF-FCA62715A21A}">
      <text>
        <r>
          <rPr>
            <b/>
            <sz val="9"/>
            <color indexed="81"/>
            <rFont val="Tahoma"/>
            <family val="2"/>
          </rPr>
          <t>Karl English:</t>
        </r>
        <r>
          <rPr>
            <sz val="9"/>
            <color indexed="81"/>
            <rFont val="Tahoma"/>
            <family val="2"/>
          </rPr>
          <t xml:space="preserve">
850 fence count divided by expansion factor</t>
        </r>
      </text>
    </comment>
    <comment ref="AO36" authorId="3" shapeId="0" xr:uid="{53BEDAE6-D45E-46BE-A93A-FB565890A520}">
      <text>
        <r>
          <rPr>
            <b/>
            <sz val="8"/>
            <color indexed="81"/>
            <rFont val="Tahoma"/>
            <family val="2"/>
          </rPr>
          <t>appendix A4 adult plus 37 small</t>
        </r>
      </text>
    </comment>
    <comment ref="D37" authorId="0" shapeId="0" xr:uid="{E217168F-1FC6-4383-93A9-5EDB497D3958}">
      <text>
        <r>
          <rPr>
            <b/>
            <sz val="9"/>
            <color indexed="81"/>
            <rFont val="Tahoma"/>
            <family val="2"/>
          </rPr>
          <t>Richard Alexander:</t>
        </r>
        <r>
          <rPr>
            <sz val="9"/>
            <color indexed="81"/>
            <rFont val="Tahoma"/>
            <family val="2"/>
          </rPr>
          <t xml:space="preserve">
NFWD estimate</t>
        </r>
      </text>
    </comment>
    <comment ref="E49" authorId="0" shapeId="0" xr:uid="{2DB5B790-7219-4E69-825A-FBE62D2C83DE}">
      <text>
        <r>
          <rPr>
            <b/>
            <sz val="9"/>
            <color indexed="81"/>
            <rFont val="Tahoma"/>
            <family val="2"/>
          </rPr>
          <t>Richard Alexander:</t>
        </r>
        <r>
          <rPr>
            <sz val="9"/>
            <color indexed="81"/>
            <rFont val="Tahoma"/>
            <family val="2"/>
          </rPr>
          <t xml:space="preserve">
raw counts / 2</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xml:space="preserve"> </author>
  </authors>
  <commentList>
    <comment ref="F5" authorId="0" shapeId="0" xr:uid="{590792A4-6EA1-48AA-B143-9EEACA74469A}">
      <text>
        <r>
          <rPr>
            <b/>
            <sz val="8"/>
            <color indexed="81"/>
            <rFont val="Tahoma"/>
            <family val="2"/>
          </rPr>
          <t>AREAS INCLUDED :
A=3-1W (DUNDAS W)
B=3-1E (DUNDAS E); 3-3-1 (BOSTON); 3-3-2 (TRACEY BAY); 3-4 (FINLAYSON ISLAND)</t>
        </r>
        <r>
          <rPr>
            <sz val="8"/>
            <color indexed="81"/>
            <rFont val="Tahoma"/>
            <family val="2"/>
          </rPr>
          <t xml:space="preserve">
</t>
        </r>
      </text>
    </comment>
    <comment ref="G5" authorId="0" shapeId="0" xr:uid="{B07B6AFC-0CAF-4EDB-B05A-E2CCBE969F8A}">
      <text>
        <r>
          <rPr>
            <b/>
            <sz val="8"/>
            <color indexed="81"/>
            <rFont val="Tahoma"/>
            <family val="2"/>
          </rPr>
          <t xml:space="preserve">AREAS INCLUDED :
C:
3-5 (PORT SIMPSON); 
3-6 (WORK CHANNEL); 
3-7-2 (BELOW CHINA HAT-3-7b)
D:
3-7-1 (ABOVE CHINA HAT-3-7a)
3-9 (NASOGA)
3-11 (PEARSE ISLAND)
E:
3-12 TO 3-17 (KINCOLITH TO DOGFISH)
</t>
        </r>
        <r>
          <rPr>
            <sz val="8"/>
            <color indexed="81"/>
            <rFont val="Tahoma"/>
            <family val="2"/>
          </rPr>
          <t xml:space="preserve">
</t>
        </r>
      </text>
    </comment>
    <comment ref="K5" authorId="0" shapeId="0" xr:uid="{BDF219ED-27FD-43C2-87A1-E8B29F133A49}">
      <text>
        <r>
          <rPr>
            <b/>
            <sz val="8"/>
            <color indexed="81"/>
            <rFont val="Tahoma"/>
            <family val="2"/>
          </rPr>
          <t>AREAS INCLUDED :
A=3-1W (DUNDAS W)
B=3-1E (DUNDAS E); 3-3-1 (BOSTON); 3-3-2 (TRACEY BAY); 3-4 (FINLAYSON ISLAND)</t>
        </r>
        <r>
          <rPr>
            <sz val="8"/>
            <color indexed="81"/>
            <rFont val="Tahoma"/>
            <family val="2"/>
          </rPr>
          <t xml:space="preserve">
</t>
        </r>
      </text>
    </comment>
    <comment ref="L5" authorId="0" shapeId="0" xr:uid="{CAD4082D-89FE-45D4-8A1A-A071E537679F}">
      <text>
        <r>
          <rPr>
            <b/>
            <sz val="8"/>
            <color indexed="81"/>
            <rFont val="Tahoma"/>
            <family val="2"/>
          </rPr>
          <t xml:space="preserve">AREAS INCLUDED :
C:
3-5 (PORT SIMPSON); 
3-6 (WORK CHANNEL); 
3-7-2 (BELOW CHINA HAT-3-7b)
D:
3-7-1 (ABOVE CHINA HAT-3-7a)
3-9 (NASOGA)
3-11 (PEARSE ISLAND)
E:
3-12 TO 3-17 (KINCOLITH TO DOGFISH)
</t>
        </r>
        <r>
          <rPr>
            <sz val="8"/>
            <color indexed="81"/>
            <rFont val="Tahoma"/>
            <family val="2"/>
          </rPr>
          <t xml:space="preserve">
</t>
        </r>
      </text>
    </comment>
    <comment ref="O5" authorId="0" shapeId="0" xr:uid="{86781ED2-4A26-4882-83C8-274E25CB20B7}">
      <text>
        <r>
          <rPr>
            <b/>
            <sz val="8"/>
            <color indexed="81"/>
            <rFont val="Tahoma"/>
            <family val="2"/>
          </rPr>
          <t>AREAS INCLUDED :
A=3-1W (DUNDAS W)
B=3-1E (DUNDAS E); 3-3-1 (BOSTON); 3-3-2 (TRACEY BAY); 3-4 (FINLAYSON ISLAND)</t>
        </r>
        <r>
          <rPr>
            <sz val="8"/>
            <color indexed="81"/>
            <rFont val="Tahoma"/>
            <family val="2"/>
          </rPr>
          <t xml:space="preserve">
</t>
        </r>
      </text>
    </comment>
    <comment ref="P5" authorId="0" shapeId="0" xr:uid="{41F713D2-4CDC-4956-902F-331DEFC40BA5}">
      <text>
        <r>
          <rPr>
            <b/>
            <sz val="8"/>
            <color indexed="81"/>
            <rFont val="Tahoma"/>
            <family val="2"/>
          </rPr>
          <t xml:space="preserve">AREAS INCLUDED :
C:
3-5 (PORT SIMPSON); 
3-6 (WORK CHANNEL); 
3-7-2 (BELOW CHINA HAT-3-7b)
D:
3-7-1 (ABOVE CHINA HAT-3-7a)
3-9 (NASOGA)
3-11 (PEARSE ISLAND)
E:
3-12 TO 3-17 (KINCOLITH TO DOGFISH)
</t>
        </r>
        <r>
          <rPr>
            <sz val="8"/>
            <color indexed="81"/>
            <rFont val="Tahoma"/>
            <family val="2"/>
          </rPr>
          <t xml:space="preserve">
</t>
        </r>
      </text>
    </comment>
    <comment ref="U5" authorId="0" shapeId="0" xr:uid="{1E7E8DC6-96C5-451F-B2B7-79AAD4C79017}">
      <text>
        <r>
          <rPr>
            <b/>
            <sz val="8"/>
            <color indexed="81"/>
            <rFont val="Tahoma"/>
            <family val="2"/>
          </rPr>
          <t>AREAS INCLUDED :
A=3-1W (DUNDAS W)
B=3-1E (DUNDAS E); 3-3-1 (BOSTON); 3-3-2 (TRACEY BAY); 3-4 (FINLAYSON ISLAND)</t>
        </r>
        <r>
          <rPr>
            <sz val="8"/>
            <color indexed="81"/>
            <rFont val="Tahoma"/>
            <family val="2"/>
          </rPr>
          <t xml:space="preserve">
</t>
        </r>
      </text>
    </comment>
    <comment ref="V5" authorId="0" shapeId="0" xr:uid="{9B1EE64E-B2D3-4570-B664-73054762406D}">
      <text>
        <r>
          <rPr>
            <b/>
            <sz val="8"/>
            <color indexed="81"/>
            <rFont val="Tahoma"/>
            <family val="2"/>
          </rPr>
          <t xml:space="preserve">AREAS INCLUDED :
C:
3-5 (PORT SIMPSON); 
3-6 (WORK CHANNEL); 
3-7-2 (BELOW CHINA HAT-3-7b)
D:
3-7-1 (ABOVE CHINA HAT-3-7a)
3-9 (NASOGA)
3-11 (PEARSE ISLAND)
E:
3-12 TO 3-17 (KINCOLITH TO DOGFISH)
</t>
        </r>
        <r>
          <rPr>
            <sz val="8"/>
            <color indexed="81"/>
            <rFont val="Tahoma"/>
            <family val="2"/>
          </rPr>
          <t xml:space="preserve">
</t>
        </r>
      </text>
    </comment>
    <comment ref="C11" authorId="0" shapeId="0" xr:uid="{B28C71B8-CDD7-4C6D-9A66-F1C0700F7077}">
      <text>
        <r>
          <rPr>
            <b/>
            <sz val="8"/>
            <color indexed="81"/>
            <rFont val="Tahoma"/>
            <family val="2"/>
          </rPr>
          <t xml:space="preserve"> creel survey</t>
        </r>
      </text>
    </comment>
    <comment ref="C12" authorId="0" shapeId="0" xr:uid="{B4618E8B-ECB2-450A-A073-C21D50C3B86F}">
      <text>
        <r>
          <rPr>
            <b/>
            <sz val="8"/>
            <color indexed="81"/>
            <rFont val="Tahoma"/>
            <family val="2"/>
          </rPr>
          <t xml:space="preserve"> creel survey</t>
        </r>
      </text>
    </comment>
    <comment ref="AE15" authorId="0" shapeId="0" xr:uid="{A04F6035-38AC-4E00-B3E7-F93370C10F9D}">
      <text>
        <r>
          <rPr>
            <b/>
            <sz val="8"/>
            <color indexed="81"/>
            <rFont val="Tahoma"/>
            <family val="2"/>
          </rPr>
          <t xml:space="preserve">Reduced estimate based on Ivan's Dec 2006 comments.
</t>
        </r>
      </text>
    </comment>
    <comment ref="Z16" authorId="0" shapeId="0" xr:uid="{C2D4DA6B-4314-4191-B138-D6BD63D96B92}">
      <text>
        <r>
          <rPr>
            <b/>
            <sz val="8"/>
            <color indexed="81"/>
            <rFont val="Tahoma"/>
            <family val="2"/>
          </rPr>
          <t xml:space="preserve"> Distribution of fish around Langara different</t>
        </r>
      </text>
    </comment>
    <comment ref="AE16" authorId="0" shapeId="0" xr:uid="{B1783F71-11F1-4433-931B-636AE1D13163}">
      <text>
        <r>
          <rPr>
            <b/>
            <sz val="8"/>
            <color indexed="81"/>
            <rFont val="Tahoma"/>
            <family val="2"/>
          </rPr>
          <t xml:space="preserve">Reduced estimate based on Ivan's Dec 2006 comments.
</t>
        </r>
      </text>
    </comment>
    <comment ref="C46" authorId="0" shapeId="0" xr:uid="{5FB6C45B-F599-4F38-B65C-A3706079CB8A}">
      <text>
        <r>
          <rPr>
            <b/>
            <sz val="8"/>
            <color indexed="81"/>
            <rFont val="Tahoma"/>
            <family val="2"/>
          </rPr>
          <t xml:space="preserve"> All gillnet - Sales slip data (Jan 08)
</t>
        </r>
      </text>
    </comment>
    <comment ref="Z68" authorId="0" shapeId="0" xr:uid="{98B0C9A4-6771-40E6-A05F-5C909780FC4D}">
      <text>
        <r>
          <rPr>
            <b/>
            <sz val="8"/>
            <color indexed="81"/>
            <rFont val="Tahoma"/>
            <family val="2"/>
          </rPr>
          <t xml:space="preserve"> high proportion if fish in spring</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xml:space="preserve"> </author>
  </authors>
  <commentList>
    <comment ref="F5" authorId="0" shapeId="0" xr:uid="{7A4F17A6-EE3C-455A-BAE9-408A25F38A37}">
      <text>
        <r>
          <rPr>
            <b/>
            <sz val="8"/>
            <color indexed="81"/>
            <rFont val="Tahoma"/>
            <family val="2"/>
          </rPr>
          <t>AREAS INCLUDED :
A=3-1W (DUNDAS W)
B=3-1E (DUNDAS E); 3-3-1 (BOSTON); 3-3-2 (TRACEY BAY); 3-4 (FINLAYSON ISLAND)</t>
        </r>
        <r>
          <rPr>
            <sz val="8"/>
            <color indexed="81"/>
            <rFont val="Tahoma"/>
            <family val="2"/>
          </rPr>
          <t xml:space="preserve">
</t>
        </r>
      </text>
    </comment>
    <comment ref="G5" authorId="0" shapeId="0" xr:uid="{CE66ECE5-8BB9-4BED-A2D1-5F6735BE2B8A}">
      <text>
        <r>
          <rPr>
            <b/>
            <sz val="8"/>
            <color indexed="81"/>
            <rFont val="Tahoma"/>
            <family val="2"/>
          </rPr>
          <t xml:space="preserve">AREAS INCLUDED :
C:
3-5 (PORT SIMPSON); 
3-6 (WORK CHANNEL); 
3-7-2 (BELOW CHINA HAT-3-7b)
D:
3-7-1 (ABOVE CHINA HAT-3-7a)
3-9 (NASOGA)
3-11 (PEARSE ISLAND)
E:
3-12 TO 3-17 (KINCOLITH TO DOGFISH)
</t>
        </r>
        <r>
          <rPr>
            <sz val="8"/>
            <color indexed="81"/>
            <rFont val="Tahoma"/>
            <family val="2"/>
          </rPr>
          <t xml:space="preserve">
</t>
        </r>
      </text>
    </comment>
    <comment ref="K5" authorId="0" shapeId="0" xr:uid="{D72BE5B6-C919-48C3-9B89-0EF3D3D81F13}">
      <text>
        <r>
          <rPr>
            <b/>
            <sz val="8"/>
            <color indexed="81"/>
            <rFont val="Tahoma"/>
            <family val="2"/>
          </rPr>
          <t>AREAS INCLUDED :
A=3-1W (DUNDAS W)
B=3-1E (DUNDAS E); 3-3-1 (BOSTON); 3-3-2 (TRACEY BAY); 3-4 (FINLAYSON ISLAND)</t>
        </r>
        <r>
          <rPr>
            <sz val="8"/>
            <color indexed="81"/>
            <rFont val="Tahoma"/>
            <family val="2"/>
          </rPr>
          <t xml:space="preserve">
</t>
        </r>
      </text>
    </comment>
    <comment ref="L5" authorId="0" shapeId="0" xr:uid="{813E8D30-A97A-4F73-AF6B-8A21F3872FFD}">
      <text>
        <r>
          <rPr>
            <b/>
            <sz val="8"/>
            <color indexed="81"/>
            <rFont val="Tahoma"/>
            <family val="2"/>
          </rPr>
          <t xml:space="preserve">AREAS INCLUDED :
C:
3-5 (PORT SIMPSON); 
3-6 (WORK CHANNEL); 
3-7-2 (BELOW CHINA HAT-3-7b)
D:
3-7-1 (ABOVE CHINA HAT-3-7a)
3-9 (NASOGA)
3-11 (PEARSE ISLAND)
E:
3-12 TO 3-17 (KINCOLITH TO DOGFISH)
</t>
        </r>
        <r>
          <rPr>
            <sz val="8"/>
            <color indexed="81"/>
            <rFont val="Tahoma"/>
            <family val="2"/>
          </rPr>
          <t xml:space="preserve">
</t>
        </r>
      </text>
    </comment>
    <comment ref="O5" authorId="0" shapeId="0" xr:uid="{BE8E3F79-47DE-4C74-8749-27D1222209F3}">
      <text>
        <r>
          <rPr>
            <b/>
            <sz val="8"/>
            <color indexed="81"/>
            <rFont val="Tahoma"/>
            <family val="2"/>
          </rPr>
          <t>AREAS INCLUDED :
A=3-1W (DUNDAS W)
B=3-1E (DUNDAS E); 3-3-1 (BOSTON); 3-3-2 (TRACEY BAY); 3-4 (FINLAYSON ISLAND)</t>
        </r>
        <r>
          <rPr>
            <sz val="8"/>
            <color indexed="81"/>
            <rFont val="Tahoma"/>
            <family val="2"/>
          </rPr>
          <t xml:space="preserve">
</t>
        </r>
      </text>
    </comment>
    <comment ref="P5" authorId="0" shapeId="0" xr:uid="{88A28181-15EB-46D7-A118-9572A878B5F9}">
      <text>
        <r>
          <rPr>
            <b/>
            <sz val="8"/>
            <color indexed="81"/>
            <rFont val="Tahoma"/>
            <family val="2"/>
          </rPr>
          <t xml:space="preserve">AREAS INCLUDED :
C:
3-5 (PORT SIMPSON); 
3-6 (WORK CHANNEL); 
3-7-2 (BELOW CHINA HAT-3-7b)
D:
3-7-1 (ABOVE CHINA HAT-3-7a)
3-9 (NASOGA)
3-11 (PEARSE ISLAND)
E:
3-12 TO 3-17 (KINCOLITH TO DOGFISH)
</t>
        </r>
        <r>
          <rPr>
            <sz val="8"/>
            <color indexed="81"/>
            <rFont val="Tahoma"/>
            <family val="2"/>
          </rPr>
          <t xml:space="preserve">
</t>
        </r>
      </text>
    </comment>
    <comment ref="U5" authorId="0" shapeId="0" xr:uid="{C26AF279-0E7E-482F-8EE6-46D87C16BA83}">
      <text>
        <r>
          <rPr>
            <b/>
            <sz val="8"/>
            <color indexed="81"/>
            <rFont val="Tahoma"/>
            <family val="2"/>
          </rPr>
          <t>AREAS INCLUDED :
A=3-1W (DUNDAS W)
B=3-1E (DUNDAS E); 3-3-1 (BOSTON); 3-3-2 (TRACEY BAY); 3-4 (FINLAYSON ISLAND)</t>
        </r>
        <r>
          <rPr>
            <sz val="8"/>
            <color indexed="81"/>
            <rFont val="Tahoma"/>
            <family val="2"/>
          </rPr>
          <t xml:space="preserve">
</t>
        </r>
      </text>
    </comment>
    <comment ref="V5" authorId="0" shapeId="0" xr:uid="{4A45B4BE-8148-4DFA-BA90-23B6A9AA4B22}">
      <text>
        <r>
          <rPr>
            <b/>
            <sz val="8"/>
            <color indexed="81"/>
            <rFont val="Tahoma"/>
            <family val="2"/>
          </rPr>
          <t xml:space="preserve">AREAS INCLUDED :
C:
3-5 (PORT SIMPSON); 
3-6 (WORK CHANNEL); 
3-7-2 (BELOW CHINA HAT-3-7b)
D:
3-7-1 (ABOVE CHINA HAT-3-7a)
3-9 (NASOGA)
3-11 (PEARSE ISLAND)
E:
3-12 TO 3-17 (KINCOLITH TO DOGFISH)
</t>
        </r>
        <r>
          <rPr>
            <sz val="8"/>
            <color indexed="81"/>
            <rFont val="Tahoma"/>
            <family val="2"/>
          </rPr>
          <t xml:space="preserve">
</t>
        </r>
      </text>
    </comment>
    <comment ref="C11" authorId="0" shapeId="0" xr:uid="{D733617C-E4F5-4F66-8996-C63C3331A936}">
      <text>
        <r>
          <rPr>
            <b/>
            <sz val="8"/>
            <color indexed="81"/>
            <rFont val="Tahoma"/>
            <family val="2"/>
          </rPr>
          <t xml:space="preserve"> creel survey</t>
        </r>
      </text>
    </comment>
    <comment ref="C12" authorId="0" shapeId="0" xr:uid="{484692DD-3E82-4259-8694-4F68FC1AE79E}">
      <text>
        <r>
          <rPr>
            <b/>
            <sz val="8"/>
            <color indexed="81"/>
            <rFont val="Tahoma"/>
            <family val="2"/>
          </rPr>
          <t xml:space="preserve"> creel survey</t>
        </r>
      </text>
    </comment>
    <comment ref="AE15" authorId="0" shapeId="0" xr:uid="{5E6D5CD3-4DB1-4322-AD09-383411134BEB}">
      <text>
        <r>
          <rPr>
            <b/>
            <sz val="8"/>
            <color indexed="81"/>
            <rFont val="Tahoma"/>
            <family val="2"/>
          </rPr>
          <t xml:space="preserve">Reduced estimate based on Ivan's Dec 2006 comments.
</t>
        </r>
      </text>
    </comment>
    <comment ref="Z16" authorId="0" shapeId="0" xr:uid="{2237840F-2E86-4267-9748-7F978A1A9875}">
      <text>
        <r>
          <rPr>
            <b/>
            <sz val="8"/>
            <color indexed="81"/>
            <rFont val="Tahoma"/>
            <family val="2"/>
          </rPr>
          <t xml:space="preserve"> Distribution of fish around Langara different</t>
        </r>
      </text>
    </comment>
    <comment ref="AE16" authorId="0" shapeId="0" xr:uid="{A910D3CD-3E8D-4BA6-AD1F-2DFDD2FA4E6D}">
      <text>
        <r>
          <rPr>
            <b/>
            <sz val="8"/>
            <color indexed="81"/>
            <rFont val="Tahoma"/>
            <family val="2"/>
          </rPr>
          <t xml:space="preserve">Reduced estimate based on Ivan's Dec 2006 comments.
</t>
        </r>
      </text>
    </comment>
    <comment ref="C46" authorId="0" shapeId="0" xr:uid="{26CDACC1-7DC7-4F9C-BA86-07EB57234E57}">
      <text>
        <r>
          <rPr>
            <b/>
            <sz val="8"/>
            <color indexed="81"/>
            <rFont val="Tahoma"/>
            <family val="2"/>
          </rPr>
          <t xml:space="preserve"> All gillnet - Sales slip data (Jan 08)
</t>
        </r>
      </text>
    </comment>
    <comment ref="Z68" authorId="0" shapeId="0" xr:uid="{EA4CF204-7538-4E56-A37C-CA710AFE8EAB}">
      <text>
        <r>
          <rPr>
            <b/>
            <sz val="8"/>
            <color indexed="81"/>
            <rFont val="Tahoma"/>
            <family val="2"/>
          </rPr>
          <t xml:space="preserve"> high proportion if fish in spring</t>
        </r>
      </text>
    </comment>
  </commentList>
</comments>
</file>

<file path=xl/sharedStrings.xml><?xml version="1.0" encoding="utf-8"?>
<sst xmlns="http://schemas.openxmlformats.org/spreadsheetml/2006/main" count="2584" uniqueCount="667">
  <si>
    <t>Appendix A6.</t>
  </si>
  <si>
    <t>Total: ER</t>
  </si>
  <si>
    <t>Canadian Commercial</t>
  </si>
  <si>
    <t>Nisga'a Harvest</t>
  </si>
  <si>
    <t>Gitanyow Harvest</t>
  </si>
  <si>
    <t>Sport - Tidal</t>
  </si>
  <si>
    <t>Sport - FW</t>
  </si>
  <si>
    <t>Total Can. Catch</t>
  </si>
  <si>
    <t>NEW TRTC</t>
  </si>
  <si>
    <t>Can HR%</t>
  </si>
  <si>
    <t>Can Mar.HR%</t>
  </si>
  <si>
    <t>Can IR HR%</t>
  </si>
  <si>
    <t>US HR%</t>
  </si>
  <si>
    <t>TOTAL HR%</t>
  </si>
  <si>
    <t>Nass Chinook - Nisga'a Allocation Summary</t>
  </si>
  <si>
    <t>Nisga'a%:</t>
  </si>
  <si>
    <t>Max:</t>
  </si>
  <si>
    <t>Esc:</t>
  </si>
  <si>
    <t>Upper &amp; Middle Nass River</t>
  </si>
  <si>
    <t>Lower Nass R. &amp; Coastal Nass Area</t>
  </si>
  <si>
    <t>Total Nass Area</t>
  </si>
  <si>
    <r>
      <t>Alaskan catch</t>
    </r>
    <r>
      <rPr>
        <vertAlign val="superscript"/>
        <sz val="10"/>
        <rFont val="Times New Roman"/>
        <family val="1"/>
      </rPr>
      <t>j</t>
    </r>
  </si>
  <si>
    <r>
      <t>Total Run</t>
    </r>
    <r>
      <rPr>
        <vertAlign val="superscript"/>
        <sz val="10"/>
        <rFont val="Times New Roman"/>
        <family val="1"/>
      </rPr>
      <t>k</t>
    </r>
  </si>
  <si>
    <t>Min Esc G:</t>
  </si>
  <si>
    <r>
      <t>Net Esc.</t>
    </r>
    <r>
      <rPr>
        <vertAlign val="superscript"/>
        <sz val="10"/>
        <rFont val="Times New Roman"/>
        <family val="1"/>
      </rPr>
      <t>a</t>
    </r>
  </si>
  <si>
    <t>In-river Catch</t>
  </si>
  <si>
    <r>
      <t>Run size to GW</t>
    </r>
    <r>
      <rPr>
        <vertAlign val="superscript"/>
        <sz val="10"/>
        <rFont val="Times New Roman"/>
        <family val="1"/>
      </rPr>
      <t>e</t>
    </r>
  </si>
  <si>
    <r>
      <t>Net Esc.</t>
    </r>
    <r>
      <rPr>
        <vertAlign val="superscript"/>
        <sz val="10"/>
        <rFont val="Times New Roman"/>
        <family val="1"/>
      </rPr>
      <t>g</t>
    </r>
  </si>
  <si>
    <r>
      <t>Marine Catch</t>
    </r>
    <r>
      <rPr>
        <vertAlign val="superscript"/>
        <sz val="10"/>
        <rFont val="Times New Roman"/>
        <family val="1"/>
      </rPr>
      <t>h</t>
    </r>
  </si>
  <si>
    <t>Release Mortality</t>
  </si>
  <si>
    <r>
      <t>Total Return to Canada</t>
    </r>
    <r>
      <rPr>
        <vertAlign val="superscript"/>
        <sz val="10"/>
        <rFont val="Times New Roman"/>
        <family val="1"/>
      </rPr>
      <t>i</t>
    </r>
  </si>
  <si>
    <t>Upper:</t>
  </si>
  <si>
    <t>PSC - Table 1</t>
  </si>
  <si>
    <t>Original (11Dec25)</t>
  </si>
  <si>
    <t>Max underage allowance</t>
  </si>
  <si>
    <t>Underage Allowance</t>
  </si>
  <si>
    <t>Year</t>
  </si>
  <si>
    <r>
      <t>Net Esc. total</t>
    </r>
    <r>
      <rPr>
        <vertAlign val="superscript"/>
        <sz val="10"/>
        <rFont val="Times New Roman"/>
        <family val="1"/>
      </rPr>
      <t>a</t>
    </r>
  </si>
  <si>
    <t>Upper</t>
  </si>
  <si>
    <t>Middle</t>
  </si>
  <si>
    <r>
      <t>UFN</t>
    </r>
    <r>
      <rPr>
        <vertAlign val="superscript"/>
        <sz val="10"/>
        <rFont val="Times New Roman"/>
        <family val="1"/>
      </rPr>
      <t xml:space="preserve"> b</t>
    </r>
  </si>
  <si>
    <r>
      <t>Sport</t>
    </r>
    <r>
      <rPr>
        <vertAlign val="superscript"/>
        <sz val="10"/>
        <rFont val="Times New Roman"/>
        <family val="1"/>
      </rPr>
      <t>c</t>
    </r>
  </si>
  <si>
    <r>
      <t>Nisga'a</t>
    </r>
    <r>
      <rPr>
        <vertAlign val="superscript"/>
        <sz val="10"/>
        <rFont val="Times New Roman"/>
        <family val="1"/>
      </rPr>
      <t>d</t>
    </r>
  </si>
  <si>
    <t>Total</t>
  </si>
  <si>
    <t>SF%</t>
  </si>
  <si>
    <t>Coastal Vis. Obs.</t>
  </si>
  <si>
    <t>Factor</t>
  </si>
  <si>
    <r>
      <t>Net Esc.</t>
    </r>
    <r>
      <rPr>
        <vertAlign val="superscript"/>
        <sz val="10"/>
        <rFont val="Times New Roman"/>
        <family val="1"/>
      </rPr>
      <t>f</t>
    </r>
  </si>
  <si>
    <t>Comm.</t>
  </si>
  <si>
    <t>Sport</t>
  </si>
  <si>
    <t>Comm</t>
  </si>
  <si>
    <t>Nisga'a</t>
  </si>
  <si>
    <t>DFO (23)</t>
  </si>
  <si>
    <t>GH MR est.</t>
  </si>
  <si>
    <t>Upper FN%</t>
  </si>
  <si>
    <t>Rank (Lowest)</t>
  </si>
  <si>
    <t>ER</t>
  </si>
  <si>
    <t>SF</t>
  </si>
  <si>
    <t>Com.</t>
  </si>
  <si>
    <t>Other</t>
  </si>
  <si>
    <t>Alaska</t>
  </si>
  <si>
    <t>Upper-net</t>
  </si>
  <si>
    <t>TRTC</t>
  </si>
  <si>
    <t>Total Run</t>
  </si>
  <si>
    <t>GH catch</t>
  </si>
  <si>
    <t>Mez</t>
  </si>
  <si>
    <t>Kwin</t>
  </si>
  <si>
    <t>TR</t>
  </si>
  <si>
    <t>TRTC Diff (new-old)</t>
  </si>
  <si>
    <t>TR Diff (new-old)</t>
  </si>
  <si>
    <t>ESC old (11Dec25)</t>
  </si>
  <si>
    <t>ESC Diff (new-old)</t>
  </si>
  <si>
    <t>RAC</t>
  </si>
  <si>
    <t>TAC</t>
  </si>
  <si>
    <t>Total Net Esc.</t>
  </si>
  <si>
    <t>Min. Esc goal reached</t>
  </si>
  <si>
    <t>Esc goal reached</t>
  </si>
  <si>
    <t>Nisga'a share</t>
  </si>
  <si>
    <t>Final Nisga'a share</t>
  </si>
  <si>
    <t>Overharvest adjustment (4 d)</t>
  </si>
  <si>
    <t>Overharvest adjustment (4 f)</t>
  </si>
  <si>
    <t>Nisga'a harvest</t>
  </si>
  <si>
    <t>Diff.</t>
  </si>
  <si>
    <t>MGT uncert. %</t>
  </si>
  <si>
    <t>Signed off by JTC</t>
  </si>
  <si>
    <t>Cum account</t>
  </si>
  <si>
    <t>Table 9 new</t>
  </si>
  <si>
    <t>Foregone</t>
  </si>
  <si>
    <t>Coastal contribution</t>
  </si>
  <si>
    <t>CF</t>
  </si>
  <si>
    <t>New Esc</t>
  </si>
  <si>
    <t>Old Esc</t>
  </si>
  <si>
    <t>New TRTC</t>
  </si>
  <si>
    <t>Old TRTC</t>
  </si>
  <si>
    <t>Diff</t>
  </si>
  <si>
    <t>OTHER</t>
  </si>
  <si>
    <t>Coastal/Upper</t>
  </si>
  <si>
    <t>Coastal/Total</t>
  </si>
  <si>
    <t>Fishery officer</t>
  </si>
  <si>
    <t>Escapement</t>
  </si>
  <si>
    <t>Other Can</t>
  </si>
  <si>
    <t>IN harvest rate</t>
  </si>
  <si>
    <t>Other Canadian</t>
  </si>
  <si>
    <t>Upper Nass</t>
  </si>
  <si>
    <t>%Upper to lower</t>
  </si>
  <si>
    <t>GW</t>
  </si>
  <si>
    <t>UNK</t>
  </si>
  <si>
    <t>NA</t>
  </si>
  <si>
    <t>Y</t>
  </si>
  <si>
    <t>Mean:</t>
  </si>
  <si>
    <t>92-99</t>
  </si>
  <si>
    <t>92-11</t>
  </si>
  <si>
    <t>00+</t>
  </si>
  <si>
    <t>00-11</t>
  </si>
  <si>
    <t>94+</t>
  </si>
  <si>
    <t>Min</t>
  </si>
  <si>
    <t>Mean 2007-2017 AK ER</t>
  </si>
  <si>
    <t>Max</t>
  </si>
  <si>
    <t>a</t>
  </si>
  <si>
    <t>Net escapement estimates are from radio telemetry (1992-1993; Koski et al. 1996ab) and mark recapture (1994-current) fishwheel programs (see annual reports cited in text) conducted by Nisga'a Fisheries.</t>
  </si>
  <si>
    <t>US</t>
  </si>
  <si>
    <t>GF</t>
  </si>
  <si>
    <t>NF</t>
  </si>
  <si>
    <t>Coastal</t>
  </si>
  <si>
    <t>Net Esc</t>
  </si>
  <si>
    <t>b</t>
  </si>
  <si>
    <t xml:space="preserve">Chinook salmon catches in the Upper FN fishery are from radio telemetry estimates for 1992-1993, and for other years from DFO (Mark Potyrala, Prince Rupert, BC, pers. comm.) and GFA (Greg Rush, Kitwanga, BC). </t>
  </si>
  <si>
    <t>c</t>
  </si>
  <si>
    <t>In-river sport catch estimates of Nass Chinook salmon from 1992-2004 are from Baxter (2005), and 2005 to current are from Nisga'a Fisheries (2006-2017).</t>
  </si>
  <si>
    <t>d</t>
  </si>
  <si>
    <t>Nisga'a catch estimates of Nass River Chinook salmon from 1992 to 2005 are from Stephens and Humble (2006), and 2006 to current are from Nisga'a Fisheries (2007-2017).</t>
  </si>
  <si>
    <t>e</t>
  </si>
  <si>
    <t>Run size estimates of Nass River Chinook salmon to Gitwinksihlkw are derived by Bayesian mark-recapture model.</t>
  </si>
  <si>
    <t>f</t>
  </si>
  <si>
    <t xml:space="preserve">Net escapement estimates of Chinook salmon for the Lower Nass and Coastal areas are calculated in two steps.  The first step sums observed escapements from DFO aerial surveys of Ishkeenickh, Iknouk, Kincolith, </t>
  </si>
  <si>
    <t xml:space="preserve">Kwinamass, and Kitsault systems; and correcting for missing data based on proportions among systems for 1977-current year.  The second step expands the summed escapement in step 1 to account for true </t>
  </si>
  <si>
    <t xml:space="preserve">escapement; 150% for 1992-2000; 2001-2006 by observed proportion of mark-recapture (Kwinamass) and/or weir (Kincolith) estimates to visual surveys conducted on Kwinamass and Kincolith rivers; </t>
  </si>
  <si>
    <t xml:space="preserve">and 233% for 2007-current year as the mean mark-recapture expansion estimate from Kwinamass (2002-2006), respectively. </t>
  </si>
  <si>
    <t>g</t>
  </si>
  <si>
    <t>The total net escapement estimate of adult Nass Chinook salmon to the Nass River are derived by summing the Upper and Middle net escapement to the Lower and Coastal net escapement estimate.</t>
  </si>
  <si>
    <t>h</t>
  </si>
  <si>
    <t>Estimates are provided by the Nisga'a-Canada-BC Joint technical committee.</t>
  </si>
  <si>
    <t>i</t>
  </si>
  <si>
    <t>Total Return to Canada estimates for Nass River Chinook salmon are derived by summing the total estimates of net escapement, in-river catch and marine catch.</t>
  </si>
  <si>
    <t>j</t>
  </si>
  <si>
    <t xml:space="preserve">Alaskan catch data were updated by DFO (Ivan Winther, Prince Rupert, BC) in May 2011 for 1992-2010 based on results from genetic analyses. For 2011-current year, 2.7% ER (from 2010) is being used to calculate </t>
  </si>
  <si>
    <t>Alaskan catch until genetic data are available.</t>
  </si>
  <si>
    <t>2000-2017</t>
  </si>
  <si>
    <t>k</t>
  </si>
  <si>
    <t>Total run size estimates for Nass River Chinook salmon are derived by summing the Total Return to Canada and Alaskan catch.</t>
  </si>
  <si>
    <t>Mean</t>
  </si>
  <si>
    <t>Prior to 2009</t>
  </si>
  <si>
    <t>Made esc since 2011</t>
  </si>
  <si>
    <t>Table 1. Annual estimates of escapement, harvest, and total stock size estimates for adult (medium and large) Chinook Salmon (≥ 50 cm NFL) returning to the Nass River, 1992 to 2025 (NJTC 2026).</t>
  </si>
  <si>
    <t>May 2024 meetings</t>
  </si>
  <si>
    <t>Copied</t>
  </si>
  <si>
    <r>
      <t>Data from 2024 management tables,</t>
    </r>
    <r>
      <rPr>
        <b/>
        <sz val="10"/>
        <color rgb="FFFF0000"/>
        <rFont val="Calibri"/>
        <family val="2"/>
        <scheme val="minor"/>
      </rPr>
      <t xml:space="preserve"> DRAFT #1</t>
    </r>
  </si>
  <si>
    <t>Alaskan catch</t>
  </si>
  <si>
    <t>Total 
run</t>
  </si>
  <si>
    <t>Exploitation rate (%)</t>
  </si>
  <si>
    <t>Original</t>
  </si>
  <si>
    <t>Check</t>
  </si>
  <si>
    <t>Alaskan catchj</t>
  </si>
  <si>
    <t>Total Runk</t>
  </si>
  <si>
    <t>Net esc.</t>
  </si>
  <si>
    <t>In-river catch</t>
  </si>
  <si>
    <t>Run size to GW</t>
  </si>
  <si>
    <t>Harvest rate (%)</t>
  </si>
  <si>
    <t>Marine catch</t>
  </si>
  <si>
    <t>Total return to Canada</t>
  </si>
  <si>
    <t>Management Table - see data tab</t>
  </si>
  <si>
    <t>Difference</t>
  </si>
  <si>
    <t>Net Esc.a</t>
  </si>
  <si>
    <t>Run size to GWe</t>
  </si>
  <si>
    <t>Net Esc.g</t>
  </si>
  <si>
    <t>Marine Catchh</t>
  </si>
  <si>
    <t>Total Return to Canadai</t>
  </si>
  <si>
    <t>UFN</t>
  </si>
  <si>
    <t>Git rate</t>
  </si>
  <si>
    <t>Sport Rate</t>
  </si>
  <si>
    <t>Nisga'a Rate</t>
  </si>
  <si>
    <t>rank</t>
  </si>
  <si>
    <t>HR</t>
  </si>
  <si>
    <t>check</t>
  </si>
  <si>
    <t>Hr%</t>
  </si>
  <si>
    <t xml:space="preserve">% Nisga'a </t>
  </si>
  <si>
    <t>% Sport</t>
  </si>
  <si>
    <t>% Gitanyow</t>
  </si>
  <si>
    <t>Git.b</t>
  </si>
  <si>
    <t>Sportc</t>
  </si>
  <si>
    <t>Nisga'ad</t>
  </si>
  <si>
    <t>Coastal Esc. Obs.</t>
  </si>
  <si>
    <t>Net Esc.f</t>
  </si>
  <si>
    <t>Means:</t>
  </si>
  <si>
    <t>92–99</t>
  </si>
  <si>
    <t>94–25</t>
  </si>
  <si>
    <t>00–25</t>
  </si>
  <si>
    <r>
      <rPr>
        <sz val="10"/>
        <rFont val="Calibri"/>
        <family val="2"/>
        <scheme val="minor"/>
      </rPr>
      <t>Note:</t>
    </r>
    <r>
      <rPr>
        <vertAlign val="superscript"/>
        <sz val="10"/>
        <rFont val="Calibri"/>
        <family val="2"/>
        <scheme val="minor"/>
      </rPr>
      <t xml:space="preserve"> </t>
    </r>
    <r>
      <rPr>
        <sz val="10"/>
        <rFont val="Calibri"/>
        <family val="2"/>
        <scheme val="minor"/>
      </rPr>
      <t>UFN = Upper Nass First Nations; GW = Gitwinksihlkw; esc = escapement; and, Comm = commercial fishery.</t>
    </r>
  </si>
  <si>
    <t>92-22</t>
  </si>
  <si>
    <t>Bayesian run size estimates</t>
  </si>
  <si>
    <t>Bayesian Estimates</t>
  </si>
  <si>
    <t>GW original</t>
  </si>
  <si>
    <t>A6 - TOTAL CATCHES</t>
  </si>
  <si>
    <t>Nass Chinook</t>
  </si>
  <si>
    <t>January 2026</t>
  </si>
  <si>
    <t>Estimate type</t>
  </si>
  <si>
    <t>Tagging Fishwheels</t>
  </si>
  <si>
    <t>Upper Nass (to GH)</t>
  </si>
  <si>
    <t>Middle Nass Esc</t>
  </si>
  <si>
    <t>GW Run</t>
  </si>
  <si>
    <t>Original Petersen Run size estimate</t>
  </si>
  <si>
    <t>Diff (Bay-MR)</t>
  </si>
  <si>
    <t>Current A6 Estimates</t>
  </si>
  <si>
    <t>Current Estimates</t>
  </si>
  <si>
    <t>Ian's PSC</t>
  </si>
  <si>
    <t>USF</t>
  </si>
  <si>
    <t>MSF</t>
  </si>
  <si>
    <t>Total Sport</t>
  </si>
  <si>
    <t>Total Catch</t>
  </si>
  <si>
    <t>Ian's Bayesian</t>
  </si>
  <si>
    <t>Data-Sport</t>
  </si>
  <si>
    <t>Estimate</t>
  </si>
  <si>
    <t>SD</t>
  </si>
  <si>
    <t>GW (A6) - 11Dec25</t>
  </si>
  <si>
    <t>GW (A6)</t>
  </si>
  <si>
    <t>Table</t>
  </si>
  <si>
    <t>Catches</t>
  </si>
  <si>
    <t>cross check</t>
  </si>
  <si>
    <t>Pooled</t>
  </si>
  <si>
    <t>GW only</t>
  </si>
  <si>
    <t>*original run did not remove GW tags in middle esc</t>
  </si>
  <si>
    <t>Size stratified</t>
  </si>
  <si>
    <t>GW and GH</t>
  </si>
  <si>
    <t>Table 1. Annual estimates of escapement, harvest, and total stock size estimates for adult (medium and large) Chinook Salmon (≥ 50 cm NFL) returning to the Nass River, 1992 to 2025 (NJTC 2024).</t>
  </si>
  <si>
    <t>Bayesian Model updates (February 6, 2026)</t>
  </si>
  <si>
    <t>Net GW esc.</t>
  </si>
  <si>
    <t>GH run size</t>
  </si>
  <si>
    <t>Middle Nass esc.</t>
  </si>
  <si>
    <t>00–24</t>
  </si>
  <si>
    <t>94–24</t>
  </si>
  <si>
    <t>Coastal Chinook Estimates - Method 1 - DFO Visual Counts</t>
  </si>
  <si>
    <t>Coastal Chinook Estimates - Method 1-3</t>
  </si>
  <si>
    <t>COASTAL ESTIMATES:</t>
  </si>
  <si>
    <t>COASTAL METHOD</t>
  </si>
  <si>
    <t>Chinook Coastal Indicator Stream Estimates</t>
  </si>
  <si>
    <t>Coastal Nass Esc</t>
  </si>
  <si>
    <t>Expanded Coastal Nass Esc</t>
  </si>
  <si>
    <t>Difference in Table A6</t>
  </si>
  <si>
    <t>Using new coastal estimates</t>
  </si>
  <si>
    <t>Kincolith</t>
  </si>
  <si>
    <t>Kwinamass MR</t>
  </si>
  <si>
    <t>Comb. Visual</t>
  </si>
  <si>
    <t xml:space="preserve">Visual </t>
  </si>
  <si>
    <t>diff.</t>
  </si>
  <si>
    <t>Adj-Vis</t>
  </si>
  <si>
    <t>OBSERVED</t>
  </si>
  <si>
    <t>EXPANDED FACTOR ESTIMATES</t>
  </si>
  <si>
    <t>% of Total escapement</t>
  </si>
  <si>
    <t>Ksi Hlginx (Ishkeenickh)</t>
  </si>
  <si>
    <t>Xnukw (Iknouk)</t>
  </si>
  <si>
    <t>Gingolx (Kincolith)</t>
  </si>
  <si>
    <t>Ksi X'anmas (Kwinamass)</t>
  </si>
  <si>
    <t>Kitsault</t>
  </si>
  <si>
    <t>Survey %</t>
  </si>
  <si>
    <t>Indicator Stream Fill Method</t>
  </si>
  <si>
    <t>Old Adjusted</t>
  </si>
  <si>
    <t>yrs</t>
  </si>
  <si>
    <t>comments</t>
  </si>
  <si>
    <t>DFO Systems Surveyed</t>
  </si>
  <si>
    <t>Upper Nass Net Esc</t>
  </si>
  <si>
    <t>Total Net Esc</t>
  </si>
  <si>
    <t>% Coastal</t>
  </si>
  <si>
    <t>Upper Nass Method</t>
  </si>
  <si>
    <t>Obs Hab-EXP (#3)</t>
  </si>
  <si>
    <t>Exp. Factor</t>
  </si>
  <si>
    <t>Hab% Method (4800 max)</t>
  </si>
  <si>
    <t>Upper Nass method</t>
  </si>
  <si>
    <t>Index Fill estimate</t>
  </si>
  <si>
    <t>Total Below GW</t>
  </si>
  <si>
    <t>Khutz Escape</t>
  </si>
  <si>
    <t>Khutz %</t>
  </si>
  <si>
    <t>Below GW + Khutz</t>
  </si>
  <si>
    <t>Visual</t>
  </si>
  <si>
    <t>Fence</t>
  </si>
  <si>
    <t>%</t>
  </si>
  <si>
    <t>MR/Visual</t>
  </si>
  <si>
    <t>MR Est</t>
  </si>
  <si>
    <t>U 95% CL</t>
  </si>
  <si>
    <t>L 95% CL</t>
  </si>
  <si>
    <t>expansion used</t>
  </si>
  <si>
    <t>exp used</t>
  </si>
  <si>
    <t>Method 2</t>
  </si>
  <si>
    <t>A6 vs. exp</t>
  </si>
  <si>
    <t>Coastal vs. Upper</t>
  </si>
  <si>
    <t>Coast</t>
  </si>
  <si>
    <t>Kincolith?</t>
  </si>
  <si>
    <t>used</t>
  </si>
  <si>
    <t>Diff Hab</t>
  </si>
  <si>
    <t>YEAR</t>
  </si>
  <si>
    <t>Habitat-Capacity method (capped)</t>
  </si>
  <si>
    <t>Habitat-Capacity Method</t>
  </si>
  <si>
    <t>Habitat-Capacity (Kwin-Adj)</t>
  </si>
  <si>
    <t>Index fill method</t>
  </si>
  <si>
    <t>Hab adj</t>
  </si>
  <si>
    <t>Infill</t>
  </si>
  <si>
    <t>Habitat-Capacity (Kwinamass)</t>
  </si>
  <si>
    <t>Habitat-Capacity method</t>
  </si>
  <si>
    <t>%KM HC</t>
  </si>
  <si>
    <t>Habitat-Capacity Kwinamass method</t>
  </si>
  <si>
    <t>86-08</t>
  </si>
  <si>
    <t>DFO visual</t>
  </si>
  <si>
    <t xml:space="preserve">     UNK</t>
  </si>
  <si>
    <t>Kincolth Hatchery Yrs</t>
  </si>
  <si>
    <t>N/I</t>
  </si>
  <si>
    <t xml:space="preserve">     N/O</t>
  </si>
  <si>
    <t>N/O</t>
  </si>
  <si>
    <t>Method1</t>
  </si>
  <si>
    <t>Method2</t>
  </si>
  <si>
    <t>Habitat Capacity - Kwinamass</t>
  </si>
  <si>
    <t>Method3</t>
  </si>
  <si>
    <t>Index fill &amp; mean habitat capacity</t>
  </si>
  <si>
    <t>Coastal Estimates1</t>
  </si>
  <si>
    <t>Total Escapement</t>
  </si>
  <si>
    <t>Meth1</t>
  </si>
  <si>
    <t>Meth2</t>
  </si>
  <si>
    <t>Meth3</t>
  </si>
  <si>
    <t>Meth 2 vs 1</t>
  </si>
  <si>
    <t>Meth 2 vs 3</t>
  </si>
  <si>
    <t>Current</t>
  </si>
  <si>
    <t>HabA</t>
  </si>
  <si>
    <t>Share</t>
  </si>
  <si>
    <t>NI</t>
  </si>
  <si>
    <t>no surveys</t>
  </si>
  <si>
    <t>86-08, 20-24</t>
  </si>
  <si>
    <t>Kincolth Hatchery+Recent Yrs</t>
  </si>
  <si>
    <t/>
  </si>
  <si>
    <t>Stream Proportions</t>
  </si>
  <si>
    <t>1986-2008</t>
  </si>
  <si>
    <t>1992-2001</t>
  </si>
  <si>
    <t>1994-24</t>
  </si>
  <si>
    <t>1986-2008 &amp; 2020-24</t>
  </si>
  <si>
    <t>2023-2024</t>
  </si>
  <si>
    <t>Means</t>
  </si>
  <si>
    <t>96,02</t>
  </si>
  <si>
    <t>All</t>
  </si>
  <si>
    <t>1977-2000</t>
  </si>
  <si>
    <t>all</t>
  </si>
  <si>
    <t>VAR</t>
  </si>
  <si>
    <t>Std</t>
  </si>
  <si>
    <t>Base</t>
  </si>
  <si>
    <t>1977-2001</t>
  </si>
  <si>
    <t>n</t>
  </si>
  <si>
    <t>Note 1. Current estimates other than 2000 are based on Upper Nass average (5.2%; range: 2.7-10.4%) to Coastal from 1992 to 1996 and 1998 to 2000 and do not account for any specific coastal escapement estimates.</t>
  </si>
  <si>
    <t>2009+</t>
  </si>
  <si>
    <t>1977-2002</t>
  </si>
  <si>
    <t>SE</t>
  </si>
  <si>
    <t>MIN</t>
  </si>
  <si>
    <t>1977-2003</t>
  </si>
  <si>
    <t>95%L</t>
  </si>
  <si>
    <t>MAX</t>
  </si>
  <si>
    <t>1977-2004</t>
  </si>
  <si>
    <t>95%U</t>
  </si>
  <si>
    <t>1977-2005</t>
  </si>
  <si>
    <t>1977-2006</t>
  </si>
  <si>
    <t>MR</t>
  </si>
  <si>
    <t>1977-2007</t>
  </si>
  <si>
    <t>1977-2008</t>
  </si>
  <si>
    <t>1977-2009</t>
  </si>
  <si>
    <t>1977-2010</t>
  </si>
  <si>
    <t>1977-2011</t>
  </si>
  <si>
    <t>1977-2012</t>
  </si>
  <si>
    <t>1977-2013</t>
  </si>
  <si>
    <t>Last contribution of Kincolith Hatchery Chinook</t>
  </si>
  <si>
    <t>2022-2024</t>
  </si>
  <si>
    <t>Combined</t>
  </si>
  <si>
    <t>Average</t>
  </si>
  <si>
    <t>Area</t>
  </si>
  <si>
    <t>Ishkeenickh</t>
  </si>
  <si>
    <t>Kwinamass</t>
  </si>
  <si>
    <t>Esc Goal (80% msy)</t>
  </si>
  <si>
    <t>Habitat</t>
  </si>
  <si>
    <t>Table 4.  Index stream expansion method for calculating aggregate coastal Nass Area Chinook Salmon escapement, 2025.</t>
  </si>
  <si>
    <t>Index Stream</t>
  </si>
  <si>
    <r>
      <t>Surveyed escapement</t>
    </r>
    <r>
      <rPr>
        <b/>
        <vertAlign val="superscript"/>
        <sz val="11"/>
        <color theme="1"/>
        <rFont val="Calibri"/>
        <family val="2"/>
        <scheme val="minor"/>
      </rPr>
      <t>a</t>
    </r>
  </si>
  <si>
    <r>
      <t>Historical proportion of index escapement</t>
    </r>
    <r>
      <rPr>
        <b/>
        <vertAlign val="superscript"/>
        <sz val="11"/>
        <color theme="1"/>
        <rFont val="Calibri"/>
        <family val="2"/>
        <scheme val="minor"/>
      </rPr>
      <t>b</t>
    </r>
  </si>
  <si>
    <r>
      <t>Surveyed index stream expansion factor</t>
    </r>
    <r>
      <rPr>
        <b/>
        <vertAlign val="superscript"/>
        <sz val="11"/>
        <color theme="1"/>
        <rFont val="Calibri"/>
        <family val="2"/>
        <scheme val="minor"/>
      </rPr>
      <t>c</t>
    </r>
  </si>
  <si>
    <t>Expanded coastal index escapement</t>
  </si>
  <si>
    <r>
      <t>Visual index to total escapement expansion</t>
    </r>
    <r>
      <rPr>
        <b/>
        <vertAlign val="superscript"/>
        <sz val="11"/>
        <color theme="1"/>
        <rFont val="Calibri"/>
        <family val="2"/>
        <scheme val="minor"/>
      </rPr>
      <t>d</t>
    </r>
  </si>
  <si>
    <t>Aggregate Nass Area escapement</t>
  </si>
  <si>
    <t>1986-2008 &amp; 2020-2024</t>
  </si>
  <si>
    <t>Surveyed</t>
  </si>
  <si>
    <t>Average Obs Esc</t>
  </si>
  <si>
    <t>Average Survey %</t>
  </si>
  <si>
    <t>Average Visual Esc</t>
  </si>
  <si>
    <r>
      <t>Ksi Hlgin</t>
    </r>
    <r>
      <rPr>
        <u/>
        <sz val="11"/>
        <color theme="1"/>
        <rFont val="Calibri"/>
        <family val="2"/>
        <scheme val="minor"/>
      </rPr>
      <t>x</t>
    </r>
    <r>
      <rPr>
        <sz val="11"/>
        <rFont val="Calibri"/>
        <family val="2"/>
        <scheme val="minor"/>
      </rPr>
      <t xml:space="preserve"> (Ishkeenichk River)</t>
    </r>
  </si>
  <si>
    <t>Ksi Ging̱olx  (Kincolith River)</t>
  </si>
  <si>
    <t>Ksi X'anmas (Kwinamass River)</t>
  </si>
  <si>
    <t>Xnukw (Iknouk River)</t>
  </si>
  <si>
    <t>Kitsault River</t>
  </si>
  <si>
    <r>
      <rPr>
        <vertAlign val="superscript"/>
        <sz val="10"/>
        <color theme="1"/>
        <rFont val="Calibri"/>
        <family val="2"/>
        <scheme val="minor"/>
      </rPr>
      <t>a</t>
    </r>
    <r>
      <rPr>
        <sz val="10"/>
        <color theme="1"/>
        <rFont val="Calibri"/>
        <family val="2"/>
        <scheme val="minor"/>
      </rPr>
      <t xml:space="preserve"> NI = not inspected.</t>
    </r>
  </si>
  <si>
    <r>
      <rPr>
        <vertAlign val="superscript"/>
        <sz val="10"/>
        <color theme="1"/>
        <rFont val="Calibri"/>
        <family val="2"/>
        <scheme val="minor"/>
      </rPr>
      <t>b</t>
    </r>
    <r>
      <rPr>
        <sz val="10"/>
        <color theme="1"/>
        <rFont val="Calibri"/>
        <family val="2"/>
        <scheme val="minor"/>
      </rPr>
      <t xml:space="preserve"> Proportions are mean contributions to index escapement from 1986 to 2008 combined with 2020 to 2024.</t>
    </r>
  </si>
  <si>
    <r>
      <rPr>
        <vertAlign val="superscript"/>
        <sz val="10"/>
        <color theme="1"/>
        <rFont val="Calibri"/>
        <family val="2"/>
        <scheme val="minor"/>
      </rPr>
      <t>c</t>
    </r>
    <r>
      <rPr>
        <sz val="10"/>
        <color theme="1"/>
        <rFont val="Calibri"/>
        <family val="2"/>
        <scheme val="minor"/>
      </rPr>
      <t xml:space="preserve"> This is the sum of proportions that were surveyed of the index streams.</t>
    </r>
  </si>
  <si>
    <r>
      <rPr>
        <vertAlign val="superscript"/>
        <sz val="10"/>
        <color theme="1"/>
        <rFont val="Calibri"/>
        <family val="2"/>
        <scheme val="minor"/>
      </rPr>
      <t>d</t>
    </r>
    <r>
      <rPr>
        <sz val="10"/>
        <color theme="1"/>
        <rFont val="Calibri"/>
        <family val="2"/>
        <scheme val="minor"/>
      </rPr>
      <t xml:space="preserve"> From 2002 to 2006, comparisons were made between visual counts and mark-sight estimates at Ksi X'anmas (Winther and Parken 2007). </t>
    </r>
  </si>
  <si>
    <t>COUNT</t>
  </si>
  <si>
    <t>EXP</t>
  </si>
  <si>
    <r>
      <t xml:space="preserve">  On average, vi</t>
    </r>
    <r>
      <rPr>
        <sz val="10"/>
        <rFont val="Calibri"/>
        <family val="2"/>
        <scheme val="minor"/>
      </rPr>
      <t>sual counts were 2.33 times lower than t</t>
    </r>
    <r>
      <rPr>
        <sz val="10"/>
        <color theme="1"/>
        <rFont val="Calibri"/>
        <family val="2"/>
        <scheme val="minor"/>
      </rPr>
      <t>he mark-resight estimates and this expansion accounts for that difference.</t>
    </r>
  </si>
  <si>
    <t>Darren/Tim</t>
  </si>
  <si>
    <t>Chinook</t>
  </si>
  <si>
    <t>Table 5</t>
  </si>
  <si>
    <t>Estimates</t>
  </si>
  <si>
    <t>GW Returns</t>
  </si>
  <si>
    <t>Sport MR Method</t>
  </si>
  <si>
    <t>Sport-total</t>
  </si>
  <si>
    <t>SF&gt;GH</t>
  </si>
  <si>
    <t>SF&lt;GH</t>
  </si>
  <si>
    <t>GW Total</t>
  </si>
  <si>
    <t>SF-GW%</t>
  </si>
  <si>
    <t>Comments</t>
  </si>
  <si>
    <t>NET</t>
  </si>
  <si>
    <t>GH</t>
  </si>
  <si>
    <t>GH+sport</t>
  </si>
  <si>
    <t>Above GH</t>
  </si>
  <si>
    <t>Below GH</t>
  </si>
  <si>
    <t>Cran</t>
  </si>
  <si>
    <t>Tchitin</t>
  </si>
  <si>
    <t>Tseax</t>
  </si>
  <si>
    <t>Seask</t>
  </si>
  <si>
    <t>RM</t>
  </si>
  <si>
    <t>Nass</t>
  </si>
  <si>
    <t>Harvests</t>
  </si>
  <si>
    <t>Release Data</t>
  </si>
  <si>
    <t>Lower</t>
  </si>
  <si>
    <t>Appendix A3.1</t>
  </si>
  <si>
    <t>Estimates of tidal and commercial catch of Nass chinook salmon, 2000 to current.</t>
  </si>
  <si>
    <t>Species</t>
  </si>
  <si>
    <t>Areas 3 and 4</t>
  </si>
  <si>
    <t>Area 3 Adjusted</t>
  </si>
  <si>
    <t>Areas 1 and 2</t>
  </si>
  <si>
    <t>Ivan</t>
  </si>
  <si>
    <t>Type</t>
  </si>
  <si>
    <t>% Nass</t>
  </si>
  <si>
    <t>Nass catch</t>
  </si>
  <si>
    <t>Nass Catch</t>
  </si>
  <si>
    <t>Total catch</t>
  </si>
  <si>
    <t>Gear</t>
  </si>
  <si>
    <t>3AB</t>
  </si>
  <si>
    <t>3CDE</t>
  </si>
  <si>
    <t>Area 4</t>
  </si>
  <si>
    <t>AB</t>
  </si>
  <si>
    <t>CDE</t>
  </si>
  <si>
    <t>Catch</t>
  </si>
  <si>
    <t>catch</t>
  </si>
  <si>
    <t>CHINOOK</t>
  </si>
  <si>
    <t>FW-HARVEST</t>
  </si>
  <si>
    <t>Area 3</t>
  </si>
  <si>
    <t>GN</t>
  </si>
  <si>
    <t>COHO</t>
  </si>
  <si>
    <t>Creel Breakout</t>
  </si>
  <si>
    <r>
      <t xml:space="preserve">Tidal </t>
    </r>
    <r>
      <rPr>
        <b/>
        <vertAlign val="superscript"/>
        <sz val="10"/>
        <rFont val="Times New Roman"/>
        <family val="1"/>
      </rPr>
      <t>1</t>
    </r>
  </si>
  <si>
    <t>3Z3</t>
  </si>
  <si>
    <t>Tidal est</t>
  </si>
  <si>
    <t>AB%</t>
  </si>
  <si>
    <t>CDE%</t>
  </si>
  <si>
    <t>Angle</t>
  </si>
  <si>
    <t>total catch in Area 3-4:  8,000</t>
  </si>
  <si>
    <t>3Z2</t>
  </si>
  <si>
    <t>3Z1</t>
  </si>
  <si>
    <t>Ivan updated DNA for 2003 to 2006 on 5Dec06</t>
  </si>
  <si>
    <t>3Y</t>
  </si>
  <si>
    <t>10% increase to 2002 estimate in Area 3 - QCI from DNA</t>
  </si>
  <si>
    <t>AVG</t>
  </si>
  <si>
    <t>No creel in 2004.  Area 3 estimates same as 2003.  Areas 1 &amp; 2 DNA (QCI)</t>
  </si>
  <si>
    <t>No creel in 2005 - used 2002 estimate based on Ivan's comments; Area 1&amp;2 sport DNA not updated</t>
  </si>
  <si>
    <t>No creel in 2006.  Used 2002 estimated based on Ivan's comments - abundance down in 05&amp;06.</t>
  </si>
  <si>
    <t>Sales Slip Data</t>
  </si>
  <si>
    <t>revised with final QCI catch and DNA estimates IW 4 Dec 08</t>
  </si>
  <si>
    <t>Area 3%</t>
  </si>
  <si>
    <t>Area4%</t>
  </si>
  <si>
    <t>Ivan checked and confirmed Area 3&amp;4 DNA</t>
  </si>
  <si>
    <t>Ivan updated on 15 May 2012</t>
  </si>
  <si>
    <t>RA preliminary using last year DNA and in-season numbers Oct 12.  Ivan updated catch 25Feb2013</t>
  </si>
  <si>
    <t>RA used recreational catch data from Peter Hall and DNA from 2012 27 Nov13.</t>
  </si>
  <si>
    <t>IW - 9 dec14</t>
  </si>
  <si>
    <t>IW- Area 3-4 creel estimate is biased low for unclipped fish.</t>
  </si>
  <si>
    <t>IW - 6 dec16</t>
  </si>
  <si>
    <t>IW - 12 dec17</t>
  </si>
  <si>
    <t xml:space="preserve">IW - 10 Dec 18 </t>
  </si>
  <si>
    <t>IW - 8 Dec 19</t>
  </si>
  <si>
    <t>No samples</t>
  </si>
  <si>
    <t>DFO - CM - Apr 13 (Nass not including Kwin = 125)</t>
  </si>
  <si>
    <t>Areas 1/2 -DFO (Dec 7/22); Area 3/4 creel - Nov 25</t>
  </si>
  <si>
    <t>Areas 1/2 -DFO (Sep 5/23); Area 3/4 creel - Sep 5/23</t>
  </si>
  <si>
    <t>Areas 1/2 -DFO (Aug 7/24); Area 3/4 creel -Dec 2</t>
  </si>
  <si>
    <t>DFO Data (A3/A4) - Nov27/25 &amp; Haida - Sep 2/25</t>
  </si>
  <si>
    <r>
      <t xml:space="preserve">Commercial </t>
    </r>
    <r>
      <rPr>
        <b/>
        <vertAlign val="superscript"/>
        <sz val="10"/>
        <rFont val="Times New Roman"/>
        <family val="1"/>
      </rPr>
      <t>2</t>
    </r>
  </si>
  <si>
    <t>Fish Slips</t>
  </si>
  <si>
    <t>Net</t>
  </si>
  <si>
    <t>Locations:</t>
  </si>
  <si>
    <t>A=3-1W (DUNDAS W)</t>
  </si>
  <si>
    <t>B=3-1E (DUNDAS E); 3-3-1 (BOSTON); 3-3-2 (TRACEY BAY); 3-4 (FINLAYSON ISLAND)</t>
  </si>
  <si>
    <t>C:</t>
  </si>
  <si>
    <t xml:space="preserve">3-5 (PORT SIMPSON); </t>
  </si>
  <si>
    <t>Ivan updated on 7 Dec 06</t>
  </si>
  <si>
    <t xml:space="preserve">3-6 (WORK CHANNEL); </t>
  </si>
  <si>
    <t>preliminary sales slip data - 6 Dec 07 (Mark P.)</t>
  </si>
  <si>
    <t>3-7-2 (BELOW CHINA HAT-3-7b)</t>
  </si>
  <si>
    <t>revised 1 Dec 08 and corrected to fish slips</t>
  </si>
  <si>
    <t>Hail from FOS 1 Dec 08</t>
  </si>
  <si>
    <t>D:</t>
  </si>
  <si>
    <t>Revised FOS data corrected to fish slips by Ivan Dec 09</t>
  </si>
  <si>
    <t>3-7-1 (ABOVE CHINA HAT-3-7a)</t>
  </si>
  <si>
    <t>FOS data corrected to fish slips by RA Oct 12.</t>
  </si>
  <si>
    <t>Oct 12</t>
  </si>
  <si>
    <t>3-9 (NASOGA)</t>
  </si>
  <si>
    <t>FOS data corrected to fish slips by RA Nov11</t>
  </si>
  <si>
    <t>Ivan updated net catch on 25 Feb 2013 from fish slips</t>
  </si>
  <si>
    <t>RA preliminary data from DFO hail catches 27 Nov 13.</t>
  </si>
  <si>
    <t>RA preliminary data from DFO hail catches xxxx.</t>
  </si>
  <si>
    <t>IW</t>
  </si>
  <si>
    <t>RA - closed fishery with 351 releases in all net fisheries. Encounter estimate like coho?</t>
  </si>
  <si>
    <t>No retention</t>
  </si>
  <si>
    <t>No retention - release mort estimate</t>
  </si>
  <si>
    <t>Troll</t>
  </si>
  <si>
    <t>3-11 (PEARSE ISLAND)</t>
  </si>
  <si>
    <t>E:</t>
  </si>
  <si>
    <t>Ivan updated DNA for 2002,4&amp;6 on 5Dec06</t>
  </si>
  <si>
    <t>3-12 TO 3-17 (KINCOLITH TO DOGFISH)</t>
  </si>
  <si>
    <t>from DNA</t>
  </si>
  <si>
    <t xml:space="preserve">from DNA (2500 samples) Nass catch = 114 area2w, 305 Area 1 </t>
  </si>
  <si>
    <t>Old values (27 Apr)</t>
  </si>
  <si>
    <t>final DNA and validation catch data IW 4 Dec 08</t>
  </si>
  <si>
    <t>Final troll catch &amp; DNA data IW Dec 09</t>
  </si>
  <si>
    <t>Final troll catch &amp; DNA data IW Dec 10</t>
  </si>
  <si>
    <t>Final Troll and DNA from Ivan 25 Feb 2013</t>
  </si>
  <si>
    <t>RA used troll catch data from Peter Hall and DNA from 2013 27 Nov13.</t>
  </si>
  <si>
    <t>IW - 10 Dec 18</t>
  </si>
  <si>
    <t>FOS - Dec 4 - Areas 1, 2, 101</t>
  </si>
  <si>
    <t>Ivan - Dec 7/20</t>
  </si>
  <si>
    <t>CM - Apr/22 (late troll start - Aug 12)</t>
  </si>
  <si>
    <t>DFO FOS - Nov 15/22 -GSI  AVG % 2020-2021</t>
  </si>
  <si>
    <t>DFO FOS - Nov 29/23 - GSI  AVG % 2020-2021</t>
  </si>
  <si>
    <t>DFO FOS - Nov 25/24 - GSI  AVG % 2020-2021</t>
  </si>
  <si>
    <t>DFO FOS - Nov 30/25 - GSI  AVG % 2020-2021</t>
  </si>
  <si>
    <t xml:space="preserve">All </t>
  </si>
  <si>
    <t>DNA is from genetic program</t>
  </si>
  <si>
    <t xml:space="preserve">Nass chinook tidal catch in Area 3 was estimated as follows:  </t>
  </si>
  <si>
    <t>2000:</t>
  </si>
  <si>
    <t xml:space="preserve">Total chinook catch in Areas 3 and 4 multiplied by 50% for Area 3 catch and then multiplied by the Nass stock proportion averaged from 2001 and 2002 </t>
  </si>
  <si>
    <t>genetic and creel sampling programs;</t>
  </si>
  <si>
    <t>2001:</t>
  </si>
  <si>
    <t xml:space="preserve">Complete creel program catch results multiplied by Nass stock proportions in Areas 3 AB (16% from genetic program) and 3 CDE (%Kincolith CWT in total Area 3 CDE catch); </t>
  </si>
  <si>
    <t xml:space="preserve">2002: </t>
  </si>
  <si>
    <t>Complete creel program catch results multiplied by Nass stock proportion observed in 2001;</t>
  </si>
  <si>
    <t xml:space="preserve">2003: </t>
  </si>
  <si>
    <t xml:space="preserve">No creel program, increased 2002 catch by 10% increase in effort and multiplied by 2001 Nass stock proportions; </t>
  </si>
  <si>
    <t xml:space="preserve">2004:  </t>
  </si>
  <si>
    <t>No creel program, used 2003 estimates.</t>
  </si>
  <si>
    <t xml:space="preserve">2005:  </t>
  </si>
  <si>
    <t xml:space="preserve">2006:  </t>
  </si>
  <si>
    <t xml:space="preserve">2007:  </t>
  </si>
  <si>
    <t xml:space="preserve">2008:  </t>
  </si>
  <si>
    <t>Complete creel program catch results multiplied by Nass stock proportions observed from DNA sampling program conducted in 2008;</t>
  </si>
  <si>
    <t xml:space="preserve">2009:  </t>
  </si>
  <si>
    <t>Complete creel program catch results multiplied by Nass stock proportions observed from DNA sampling program conducted in 2009;</t>
  </si>
  <si>
    <t xml:space="preserve">2010:  </t>
  </si>
  <si>
    <t>Complete creel program catch results multiplied by Nass stock proportions observed from DNA sampling program conducted in 2010;</t>
  </si>
  <si>
    <t xml:space="preserve">2011:  </t>
  </si>
  <si>
    <t>Complete creel program catch results multiplied by Nass stock proportions observed from DNA sampling program conducted in 2011;</t>
  </si>
  <si>
    <t xml:space="preserve">Nass chinook tidal catch in Areas 1 and 2 was estimated by multiplying the total catch in Areas 1 and 2 by Nass stock proportion observed in annual genetic sampling programs.  For 2000 to 2002 estimates, </t>
  </si>
  <si>
    <t>used results from the 2002 genetic program.</t>
  </si>
  <si>
    <t xml:space="preserve">Nass chinook net and troll catches in Area 3 were estimated in two steps:  first, hail catch in Area 3 ABCDE were multiplied by a Nass stock proportion from annual genetic and/or CWT programs, and </t>
  </si>
  <si>
    <t xml:space="preserve">second, the proportion of the Nass catch to the total hail catch was multiplied by the final sales slip catch.  Nass chinook troll catches in Areas 1 and 2 were estimated by multiplying total catch by the </t>
  </si>
  <si>
    <t>observed Nass stock proportion from annual genetic sampling programs conducted after 2002.</t>
  </si>
  <si>
    <t>DO NOT PRINT:</t>
  </si>
  <si>
    <t>SN</t>
  </si>
  <si>
    <t>NASS CHINOOK COMMERCIAL CATCH AND RELEASE MORTALITY IN COMMERCIAL FISHERIES</t>
  </si>
  <si>
    <t>HARVEST &amp; RELEASE MORTALITY</t>
  </si>
  <si>
    <t>RELEASE CATCH DATA</t>
  </si>
  <si>
    <t>Commercial Catch (SN/GN/TR)</t>
  </si>
  <si>
    <t>SN RM</t>
  </si>
  <si>
    <t>GN RM</t>
  </si>
  <si>
    <t>Total CF Rel Mort</t>
  </si>
  <si>
    <t>Total Marine CF Catch</t>
  </si>
  <si>
    <t>Tidal Sport catch estimate</t>
  </si>
  <si>
    <t>Sport-Area 1</t>
  </si>
  <si>
    <t>Sport - Area 3-4</t>
  </si>
  <si>
    <t>Total Tidal Rel Mort</t>
  </si>
  <si>
    <t>Total Marine Tidal</t>
  </si>
  <si>
    <t>Troll-Area 1 RM</t>
  </si>
  <si>
    <t>Troll-Area 3 RM</t>
  </si>
  <si>
    <t>Total Comm Releases</t>
  </si>
  <si>
    <t>Sport Area 1-RM</t>
  </si>
  <si>
    <t>Sport Area 3-RM</t>
  </si>
  <si>
    <t>Sport Area 4-RM</t>
  </si>
  <si>
    <t>Sport Nass-RM</t>
  </si>
  <si>
    <t>Total RM Est</t>
  </si>
  <si>
    <t>Sum of DNA%</t>
  </si>
  <si>
    <t>Check with Table 1</t>
  </si>
  <si>
    <t>STOCK</t>
  </si>
  <si>
    <t>Table 1</t>
  </si>
  <si>
    <t>DAMDOCHAX</t>
  </si>
  <si>
    <t>KWINAGEESE</t>
  </si>
  <si>
    <t>BELL-RIVER</t>
  </si>
  <si>
    <t>MEZIADIN</t>
  </si>
  <si>
    <t>CRAN-KITEEN</t>
  </si>
  <si>
    <t>SEASKINNISH</t>
  </si>
  <si>
    <t>TSEAX</t>
  </si>
  <si>
    <t>LOWER</t>
  </si>
  <si>
    <t>Grand Total</t>
  </si>
  <si>
    <t>5 yr Mean</t>
  </si>
  <si>
    <t>Seas+Tseax</t>
  </si>
  <si>
    <t>upper</t>
  </si>
  <si>
    <t>Sum of N</t>
  </si>
  <si>
    <t>Damdochax</t>
  </si>
  <si>
    <t>Kwinageese</t>
  </si>
  <si>
    <t>Bell-Irving</t>
  </si>
  <si>
    <t>Meziadin</t>
  </si>
  <si>
    <t>Cranberry-Kiteen</t>
  </si>
  <si>
    <t>Seaskinnish</t>
  </si>
  <si>
    <t>Lower Nass</t>
  </si>
  <si>
    <t>Sum of SD</t>
  </si>
  <si>
    <t>95% CI for other years</t>
  </si>
  <si>
    <t>MID-LOW</t>
  </si>
  <si>
    <t>Ian</t>
  </si>
  <si>
    <t>Annual estimates of escapement, catch and total stock size estimates for adult Chinook salmon returning to the Nass River, 1992 to present.</t>
  </si>
  <si>
    <t>Total Upper &amp; Middle Nass CU</t>
  </si>
  <si>
    <t>Appendix A6a.</t>
  </si>
  <si>
    <t>Appendix A6b.</t>
  </si>
  <si>
    <t>Lower Nass R. &amp; Coastal + Khutz</t>
  </si>
  <si>
    <t>Annual estimates of escapement, catch and total stock size estimates for adult Chinook salmon returning to the Nass River and Coastal CUs, 1992 to present.</t>
  </si>
  <si>
    <t>Annual estimates of escapement, catch and total stock size estimates for adult Chinook salmon returning to the Upper and Middle Nass River CU, 1992 to present.</t>
  </si>
  <si>
    <t>Annual estimates of escapement, catch and total stock size estimates for adult Chinook salmon returning to the Lower Nass and Coastal CU, 1992 to present.</t>
  </si>
  <si>
    <t>% of Area 3 Escape</t>
  </si>
  <si>
    <r>
      <t>Net Escape + Khutz</t>
    </r>
    <r>
      <rPr>
        <vertAlign val="superscript"/>
        <sz val="10"/>
        <rFont val="Times New Roman"/>
        <family val="1"/>
      </rPr>
      <t>f</t>
    </r>
  </si>
  <si>
    <t>% of Area 3 TRTC</t>
  </si>
  <si>
    <t>CHINOOK - NISGA'A ANGLED</t>
  </si>
  <si>
    <t>NFWD data reports</t>
  </si>
  <si>
    <t>Greenville</t>
  </si>
  <si>
    <t>Gitwinksihlkw</t>
  </si>
  <si>
    <t>Old Aiyansh</t>
  </si>
  <si>
    <t>TOTAL</t>
  </si>
  <si>
    <t>KEPT</t>
  </si>
  <si>
    <t>RELEASES</t>
  </si>
  <si>
    <t>KINCOLITH</t>
  </si>
  <si>
    <t>ISKEEN</t>
  </si>
  <si>
    <t>MEAN</t>
  </si>
  <si>
    <t>COHO - NISGA'A ANGLED</t>
  </si>
  <si>
    <t>* Net is not included IS catches</t>
  </si>
  <si>
    <t>STEELHEAD - NISGA'A ANGLED</t>
  </si>
  <si>
    <t>Upper Nass CU</t>
  </si>
  <si>
    <t>GW Run size</t>
  </si>
  <si>
    <t>Harvest</t>
  </si>
  <si>
    <t>Upper escapement</t>
  </si>
  <si>
    <t>Middle escapement</t>
  </si>
  <si>
    <t>Net escapement</t>
  </si>
  <si>
    <t>In River</t>
  </si>
  <si>
    <t>Marine</t>
  </si>
  <si>
    <t>Lower Nass and Coastal CU</t>
  </si>
  <si>
    <t>Aggregate (combined CU's)</t>
  </si>
  <si>
    <t>Kincolith+</t>
  </si>
  <si>
    <t>Angling</t>
  </si>
  <si>
    <t>Nisga'a angling catch estimates of Nass River Chinook salmon for 2000-2025 from NFWD reports, 1992-1999 estimates derived using annual escapement estimates and average harvest rate for 2000-2009.</t>
  </si>
  <si>
    <t>HR=</t>
  </si>
  <si>
    <r>
      <t>Nisga'a Angling (Kin+Isk)</t>
    </r>
    <r>
      <rPr>
        <vertAlign val="superscript"/>
        <sz val="10"/>
        <rFont val="Times New Roman"/>
        <family val="1"/>
      </rPr>
      <t>d</t>
    </r>
  </si>
  <si>
    <t>Harvest Rate</t>
  </si>
  <si>
    <t>Upper harvest</t>
  </si>
  <si>
    <t>Middle harvest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</si>
</sst>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_ ;[Red]\-#,##0\ "/>
    <numFmt numFmtId="165" formatCode="0.0%"/>
    <numFmt numFmtId="166" formatCode="#,##0.0"/>
    <numFmt numFmtId="167" formatCode="0.0000"/>
    <numFmt numFmtId="168" formatCode="0.00000000000000%"/>
    <numFmt numFmtId="169" formatCode="0.0"/>
    <numFmt numFmtId="170" formatCode="0.000"/>
    <numFmt numFmtId="171" formatCode="0_ ;[Red]\-0\ "/>
    <numFmt numFmtId="172" formatCode="0.000%"/>
    <numFmt numFmtId="173" formatCode="[$-409]mmm\-yy;@"/>
    <numFmt numFmtId="174" formatCode="0.0000%"/>
  </numFmts>
  <fonts count="85" x14ac:knownFonts="1">
    <font>
      <sz val="10"/>
      <name val="MS Sans Serif"/>
    </font>
    <font>
      <sz val="10"/>
      <name val="Times New Roman"/>
      <family val="1"/>
    </font>
    <font>
      <sz val="12"/>
      <name val="Times New Roman"/>
      <family val="1"/>
    </font>
    <font>
      <sz val="10"/>
      <name val="MS Sans Serif"/>
      <family val="2"/>
    </font>
    <font>
      <b/>
      <sz val="10"/>
      <name val="Times New Roman"/>
      <family val="1"/>
    </font>
    <font>
      <vertAlign val="superscript"/>
      <sz val="10"/>
      <name val="Times New Roman"/>
      <family val="1"/>
    </font>
    <font>
      <sz val="10"/>
      <name val="Arial"/>
      <family val="2"/>
    </font>
    <font>
      <i/>
      <sz val="10"/>
      <name val="Times New Roman"/>
      <family val="1"/>
    </font>
    <font>
      <sz val="8.5"/>
      <name val="MS Sans Serif"/>
      <family val="2"/>
    </font>
    <font>
      <sz val="9"/>
      <name val="Times New Roman"/>
      <family val="1"/>
    </font>
    <font>
      <b/>
      <sz val="8"/>
      <color indexed="81"/>
      <name val="Tahoma"/>
      <family val="2"/>
    </font>
    <font>
      <sz val="8"/>
      <color indexed="81"/>
      <name val="Tahoma"/>
      <family val="2"/>
    </font>
    <font>
      <b/>
      <sz val="9"/>
      <color indexed="81"/>
      <name val="Tahoma"/>
      <family val="2"/>
    </font>
    <font>
      <sz val="9"/>
      <color indexed="81"/>
      <name val="Tahoma"/>
      <family val="2"/>
    </font>
    <font>
      <sz val="12"/>
      <name val="Calibri"/>
      <family val="2"/>
      <scheme val="minor"/>
    </font>
    <font>
      <sz val="11"/>
      <color theme="1"/>
      <name val="Calibri"/>
      <family val="2"/>
      <scheme val="minor"/>
    </font>
    <font>
      <sz val="10"/>
      <name val="Calibri"/>
      <family val="2"/>
      <scheme val="minor"/>
    </font>
    <font>
      <b/>
      <sz val="10"/>
      <name val="Calibri"/>
      <family val="2"/>
      <scheme val="minor"/>
    </font>
    <font>
      <b/>
      <sz val="11"/>
      <color theme="1"/>
      <name val="Calibri"/>
      <family val="2"/>
      <scheme val="minor"/>
    </font>
    <font>
      <b/>
      <sz val="10"/>
      <color rgb="FFFF0000"/>
      <name val="Calibri"/>
      <family val="2"/>
      <scheme val="minor"/>
    </font>
    <font>
      <b/>
      <sz val="10"/>
      <color theme="1"/>
      <name val="Calibri"/>
      <family val="2"/>
      <scheme val="minor"/>
    </font>
    <font>
      <sz val="10"/>
      <color theme="1"/>
      <name val="Calibri"/>
      <family val="2"/>
      <scheme val="minor"/>
    </font>
    <font>
      <i/>
      <sz val="10"/>
      <color theme="1"/>
      <name val="Calibri"/>
      <family val="2"/>
      <scheme val="minor"/>
    </font>
    <font>
      <vertAlign val="superscript"/>
      <sz val="10"/>
      <name val="Calibri"/>
      <family val="2"/>
      <scheme val="minor"/>
    </font>
    <font>
      <sz val="11"/>
      <name val="Calibri"/>
      <family val="2"/>
      <scheme val="minor"/>
    </font>
    <font>
      <sz val="9"/>
      <name val="Calibri"/>
      <family val="2"/>
      <scheme val="minor"/>
    </font>
    <font>
      <vertAlign val="superscript"/>
      <sz val="11"/>
      <name val="Calibri"/>
      <family val="2"/>
      <scheme val="minor"/>
    </font>
    <font>
      <i/>
      <sz val="11"/>
      <color theme="1"/>
      <name val="Calibri"/>
      <family val="2"/>
      <scheme val="minor"/>
    </font>
    <font>
      <i/>
      <sz val="10"/>
      <name val="Calibri"/>
      <family val="2"/>
      <scheme val="minor"/>
    </font>
    <font>
      <i/>
      <sz val="10"/>
      <color rgb="FF0000FF"/>
      <name val="Calibri"/>
      <family val="2"/>
      <scheme val="minor"/>
    </font>
    <font>
      <b/>
      <sz val="9"/>
      <name val="Calibri"/>
      <family val="2"/>
      <scheme val="minor"/>
    </font>
    <font>
      <sz val="9"/>
      <color indexed="12"/>
      <name val="Calibri"/>
      <family val="2"/>
      <scheme val="minor"/>
    </font>
    <font>
      <b/>
      <vertAlign val="superscript"/>
      <sz val="11"/>
      <color theme="1"/>
      <name val="Calibri"/>
      <family val="2"/>
      <scheme val="minor"/>
    </font>
    <font>
      <u/>
      <sz val="11"/>
      <color theme="1"/>
      <name val="Calibri"/>
      <family val="2"/>
      <scheme val="minor"/>
    </font>
    <font>
      <vertAlign val="superscript"/>
      <sz val="10"/>
      <color theme="1"/>
      <name val="Calibri"/>
      <family val="2"/>
      <scheme val="minor"/>
    </font>
    <font>
      <sz val="10"/>
      <color rgb="FFFF0000"/>
      <name val="Times New Roman"/>
      <family val="1"/>
    </font>
    <font>
      <b/>
      <vertAlign val="superscript"/>
      <sz val="10"/>
      <name val="Times New Roman"/>
      <family val="1"/>
    </font>
    <font>
      <b/>
      <sz val="10"/>
      <color indexed="10"/>
      <name val="Times New Roman"/>
      <family val="1"/>
    </font>
    <font>
      <sz val="10"/>
      <color indexed="8"/>
      <name val="Times New Roman"/>
      <family val="1"/>
    </font>
    <font>
      <sz val="10"/>
      <color indexed="10"/>
      <name val="Times New Roman"/>
      <family val="1"/>
    </font>
    <font>
      <b/>
      <sz val="10"/>
      <color indexed="12"/>
      <name val="Times New Roman"/>
      <family val="1"/>
    </font>
    <font>
      <sz val="10"/>
      <color indexed="12"/>
      <name val="Times New Roman"/>
      <family val="1"/>
    </font>
    <font>
      <b/>
      <i/>
      <sz val="10"/>
      <name val="Times New Roman"/>
      <family val="1"/>
    </font>
    <font>
      <sz val="10"/>
      <color indexed="18"/>
      <name val="Times New Roman"/>
      <family val="1"/>
    </font>
    <font>
      <i/>
      <sz val="10"/>
      <color rgb="FF00B050"/>
      <name val="Times New Roman"/>
      <family val="1"/>
    </font>
    <font>
      <b/>
      <sz val="10"/>
      <color rgb="FF00B050"/>
      <name val="Times New Roman"/>
      <family val="1"/>
    </font>
    <font>
      <b/>
      <i/>
      <sz val="10"/>
      <color rgb="FF0070C0"/>
      <name val="Times New Roman"/>
      <family val="1"/>
    </font>
    <font>
      <i/>
      <sz val="10"/>
      <color rgb="FF0070C0"/>
      <name val="Times New Roman"/>
      <family val="1"/>
    </font>
    <font>
      <b/>
      <sz val="10"/>
      <color rgb="FF0070C0"/>
      <name val="Times New Roman"/>
      <family val="1"/>
    </font>
    <font>
      <b/>
      <sz val="10"/>
      <color indexed="16"/>
      <name val="Times New Roman"/>
      <family val="1"/>
    </font>
    <font>
      <b/>
      <i/>
      <sz val="10"/>
      <color indexed="62"/>
      <name val="Times New Roman"/>
      <family val="1"/>
    </font>
    <font>
      <sz val="10"/>
      <color indexed="16"/>
      <name val="Times New Roman"/>
      <family val="1"/>
    </font>
    <font>
      <b/>
      <i/>
      <sz val="10"/>
      <color rgb="FFFF00FF"/>
      <name val="Times New Roman"/>
      <family val="1"/>
    </font>
    <font>
      <b/>
      <sz val="10"/>
      <color rgb="FFFF00FF"/>
      <name val="Times New Roman"/>
      <family val="1"/>
    </font>
    <font>
      <i/>
      <sz val="10"/>
      <color rgb="FFFF00FF"/>
      <name val="Times New Roman"/>
      <family val="1"/>
    </font>
    <font>
      <sz val="10"/>
      <color rgb="FFFF00FF"/>
      <name val="Times New Roman"/>
      <family val="1"/>
    </font>
    <font>
      <b/>
      <i/>
      <sz val="10"/>
      <color rgb="FF00FF00"/>
      <name val="Times New Roman"/>
      <family val="1"/>
    </font>
    <font>
      <i/>
      <sz val="10"/>
      <color rgb="FF00FF00"/>
      <name val="Times New Roman"/>
      <family val="1"/>
    </font>
    <font>
      <b/>
      <sz val="10"/>
      <color rgb="FF00FF00"/>
      <name val="Times New Roman"/>
      <family val="1"/>
    </font>
    <font>
      <sz val="10"/>
      <color rgb="FF00FF00"/>
      <name val="Times New Roman"/>
      <family val="1"/>
    </font>
    <font>
      <b/>
      <i/>
      <sz val="10"/>
      <color theme="0" tint="-0.499984740745262"/>
      <name val="Times New Roman"/>
      <family val="1"/>
    </font>
    <font>
      <b/>
      <sz val="10"/>
      <color theme="0" tint="-0.499984740745262"/>
      <name val="Times New Roman"/>
      <family val="1"/>
    </font>
    <font>
      <i/>
      <sz val="10"/>
      <color theme="0" tint="-0.499984740745262"/>
      <name val="Times New Roman"/>
      <family val="1"/>
    </font>
    <font>
      <sz val="10"/>
      <color theme="0" tint="-0.499984740745262"/>
      <name val="Times New Roman"/>
      <family val="1"/>
    </font>
    <font>
      <b/>
      <i/>
      <sz val="10"/>
      <color rgb="FF0000FF"/>
      <name val="Times New Roman"/>
      <family val="1"/>
    </font>
    <font>
      <b/>
      <sz val="10"/>
      <color rgb="FF0000FF"/>
      <name val="Times New Roman"/>
      <family val="1"/>
    </font>
    <font>
      <i/>
      <sz val="10"/>
      <color rgb="FF0000FF"/>
      <name val="Times New Roman"/>
      <family val="1"/>
    </font>
    <font>
      <sz val="10"/>
      <color rgb="FF0000FF"/>
      <name val="Times New Roman"/>
      <family val="1"/>
    </font>
    <font>
      <b/>
      <i/>
      <sz val="10"/>
      <color rgb="FFFF0000"/>
      <name val="Times New Roman"/>
      <family val="1"/>
    </font>
    <font>
      <b/>
      <sz val="10"/>
      <color rgb="FFFF0000"/>
      <name val="Times New Roman"/>
      <family val="1"/>
    </font>
    <font>
      <i/>
      <sz val="10"/>
      <color rgb="FFFF0000"/>
      <name val="Times New Roman"/>
      <family val="1"/>
    </font>
    <font>
      <b/>
      <i/>
      <sz val="10"/>
      <color rgb="FF00B050"/>
      <name val="Times New Roman"/>
      <family val="1"/>
    </font>
    <font>
      <b/>
      <i/>
      <sz val="10"/>
      <color indexed="16"/>
      <name val="Times New Roman"/>
      <family val="1"/>
    </font>
    <font>
      <i/>
      <sz val="10"/>
      <color indexed="16"/>
      <name val="Times New Roman"/>
      <family val="1"/>
    </font>
    <font>
      <i/>
      <sz val="10"/>
      <color indexed="10"/>
      <name val="Times New Roman"/>
      <family val="1"/>
    </font>
    <font>
      <b/>
      <i/>
      <sz val="10"/>
      <color theme="9" tint="-0.249977111117893"/>
      <name val="Times New Roman"/>
      <family val="1"/>
    </font>
    <font>
      <b/>
      <sz val="10"/>
      <color theme="9" tint="-0.249977111117893"/>
      <name val="Times New Roman"/>
      <family val="1"/>
    </font>
    <font>
      <sz val="10"/>
      <color rgb="FF00B050"/>
      <name val="Times New Roman"/>
      <family val="1"/>
    </font>
    <font>
      <sz val="10"/>
      <color indexed="17"/>
      <name val="Times New Roman"/>
      <family val="1"/>
    </font>
    <font>
      <vertAlign val="superscript"/>
      <sz val="11"/>
      <name val="Times New Roman"/>
      <family val="1"/>
    </font>
    <font>
      <b/>
      <sz val="10"/>
      <color theme="1"/>
      <name val="Times New Roman"/>
      <family val="1"/>
    </font>
    <font>
      <b/>
      <i/>
      <sz val="10"/>
      <color theme="1"/>
      <name val="Times New Roman"/>
      <family val="1"/>
    </font>
    <font>
      <sz val="10"/>
      <name val="MS Sans Serif"/>
    </font>
    <font>
      <b/>
      <sz val="10"/>
      <name val="MS Sans Serif"/>
    </font>
    <font>
      <b/>
      <sz val="11"/>
      <name val="Calibri"/>
      <family val="2"/>
      <scheme val="minor"/>
    </font>
  </fonts>
  <fills count="31">
    <fill>
      <patternFill patternType="none"/>
    </fill>
    <fill>
      <patternFill patternType="gray125"/>
    </fill>
    <fill>
      <patternFill patternType="solid">
        <fgColor theme="0" tint="-0.14999847407452621"/>
        <bgColor indexed="64"/>
      </patternFill>
    </fill>
    <fill>
      <patternFill patternType="solid">
        <fgColor rgb="FF00FF00"/>
        <bgColor indexed="64"/>
      </patternFill>
    </fill>
    <fill>
      <patternFill patternType="solid">
        <fgColor theme="0" tint="-4.9989318521683403E-2"/>
        <bgColor indexed="64"/>
      </patternFill>
    </fill>
    <fill>
      <patternFill patternType="solid">
        <fgColor theme="9" tint="0.59999389629810485"/>
        <bgColor indexed="64"/>
      </patternFill>
    </fill>
    <fill>
      <patternFill patternType="solid">
        <fgColor theme="0" tint="-0.249977111117893"/>
        <bgColor indexed="64"/>
      </patternFill>
    </fill>
    <fill>
      <patternFill patternType="solid">
        <fgColor rgb="FF92D050"/>
        <bgColor indexed="64"/>
      </patternFill>
    </fill>
    <fill>
      <patternFill patternType="solid">
        <fgColor rgb="FFFFFF00"/>
        <bgColor indexed="64"/>
      </patternFill>
    </fill>
    <fill>
      <patternFill patternType="solid">
        <fgColor theme="0"/>
        <bgColor indexed="64"/>
      </patternFill>
    </fill>
    <fill>
      <patternFill patternType="solid">
        <fgColor rgb="FFFF0000"/>
        <bgColor indexed="64"/>
      </patternFill>
    </fill>
    <fill>
      <patternFill patternType="solid">
        <fgColor rgb="FF66FFFF"/>
        <bgColor indexed="64"/>
      </patternFill>
    </fill>
    <fill>
      <patternFill patternType="solid">
        <fgColor rgb="FF66FF33"/>
        <bgColor indexed="64"/>
      </patternFill>
    </fill>
    <fill>
      <patternFill patternType="solid">
        <fgColor rgb="FFFFC000"/>
        <bgColor indexed="64"/>
      </patternFill>
    </fill>
    <fill>
      <patternFill patternType="solid">
        <fgColor theme="5" tint="0.79998168889431442"/>
        <bgColor indexed="64"/>
      </patternFill>
    </fill>
    <fill>
      <patternFill patternType="solid">
        <fgColor indexed="47"/>
        <bgColor indexed="64"/>
      </patternFill>
    </fill>
    <fill>
      <patternFill patternType="solid">
        <fgColor theme="9" tint="0.79998168889431442"/>
        <bgColor indexed="64"/>
      </patternFill>
    </fill>
    <fill>
      <patternFill patternType="solid">
        <fgColor rgb="FFFF66FF"/>
        <bgColor indexed="64"/>
      </patternFill>
    </fill>
    <fill>
      <patternFill patternType="solid">
        <fgColor indexed="13"/>
        <bgColor indexed="64"/>
      </patternFill>
    </fill>
    <fill>
      <patternFill patternType="solid">
        <fgColor indexed="2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8" tint="0.59999389629810485"/>
        <bgColor indexed="64"/>
      </patternFill>
    </fill>
    <fill>
      <patternFill patternType="solid">
        <fgColor rgb="FF00B0F0"/>
        <bgColor indexed="64"/>
      </patternFill>
    </fill>
    <fill>
      <patternFill patternType="solid">
        <fgColor theme="9" tint="0.39997558519241921"/>
        <bgColor indexed="64"/>
      </patternFill>
    </fill>
    <fill>
      <patternFill patternType="solid">
        <fgColor theme="4" tint="0.79998168889431442"/>
        <bgColor theme="4" tint="0.79998168889431442"/>
      </patternFill>
    </fill>
    <fill>
      <patternFill patternType="solid">
        <fgColor rgb="FFFFFF00"/>
        <bgColor theme="4" tint="0.79998168889431442"/>
      </patternFill>
    </fill>
    <fill>
      <patternFill patternType="solid">
        <fgColor rgb="FFFF00FF"/>
        <bgColor indexed="64"/>
      </patternFill>
    </fill>
    <fill>
      <patternFill patternType="solid">
        <fgColor theme="3" tint="0.79998168889431442"/>
        <bgColor indexed="64"/>
      </patternFill>
    </fill>
    <fill>
      <patternFill patternType="solid">
        <fgColor theme="8" tint="0.79998168889431442"/>
        <bgColor indexed="64"/>
      </patternFill>
    </fill>
    <fill>
      <patternFill patternType="solid">
        <fgColor theme="6" tint="0.59999389629810485"/>
        <bgColor indexed="64"/>
      </patternFill>
    </fill>
  </fills>
  <borders count="43">
    <border>
      <left/>
      <right/>
      <top/>
      <bottom/>
      <diagonal/>
    </border>
    <border>
      <left style="medium">
        <color indexed="64"/>
      </left>
      <right style="medium">
        <color indexed="64"/>
      </right>
      <top style="medium">
        <color indexed="64"/>
      </top>
      <bottom/>
      <diagonal/>
    </border>
    <border>
      <left/>
      <right/>
      <top/>
      <bottom style="thin">
        <color indexed="64"/>
      </bottom>
      <diagonal/>
    </border>
    <border>
      <left style="medium">
        <color indexed="64"/>
      </left>
      <right style="medium">
        <color indexed="64"/>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theme="4" tint="0.39997558519241921"/>
      </bottom>
      <diagonal/>
    </border>
    <border>
      <left/>
      <right/>
      <top style="thin">
        <color theme="4" tint="0.39997558519241921"/>
      </top>
      <bottom/>
      <diagonal/>
    </border>
  </borders>
  <cellStyleXfs count="20">
    <xf numFmtId="0" fontId="0" fillId="0" borderId="0"/>
    <xf numFmtId="40" fontId="3" fillId="0" borderId="0" applyFont="0" applyFill="0" applyBorder="0" applyAlignment="0" applyProtection="0"/>
    <xf numFmtId="9" fontId="3" fillId="0" borderId="0" applyFont="0" applyFill="0" applyBorder="0" applyAlignment="0" applyProtection="0"/>
    <xf numFmtId="0" fontId="1" fillId="0" borderId="0"/>
    <xf numFmtId="0" fontId="3" fillId="0" borderId="0"/>
    <xf numFmtId="0" fontId="6" fillId="0" borderId="0"/>
    <xf numFmtId="9" fontId="1" fillId="0" borderId="0" applyFont="0" applyFill="0" applyBorder="0" applyAlignment="0" applyProtection="0"/>
    <xf numFmtId="0" fontId="6" fillId="0" borderId="0"/>
    <xf numFmtId="0" fontId="3" fillId="0" borderId="0"/>
    <xf numFmtId="0" fontId="15" fillId="0" borderId="0"/>
    <xf numFmtId="0" fontId="3" fillId="0" borderId="0"/>
    <xf numFmtId="9" fontId="15" fillId="0" borderId="0" applyFont="0" applyFill="0" applyBorder="0" applyAlignment="0" applyProtection="0"/>
    <xf numFmtId="0" fontId="1" fillId="0" borderId="0"/>
    <xf numFmtId="9" fontId="1" fillId="0" borderId="0" applyFont="0" applyFill="0" applyBorder="0" applyAlignment="0" applyProtection="0"/>
    <xf numFmtId="0" fontId="3" fillId="0" borderId="0"/>
    <xf numFmtId="0" fontId="82" fillId="0" borderId="0"/>
    <xf numFmtId="40" fontId="3" fillId="0" borderId="0" applyFont="0" applyFill="0" applyBorder="0" applyAlignment="0" applyProtection="0"/>
    <xf numFmtId="40" fontId="3" fillId="0" borderId="0" applyFont="0" applyFill="0" applyBorder="0" applyAlignment="0" applyProtection="0"/>
    <xf numFmtId="9" fontId="3" fillId="0" borderId="0" applyFont="0" applyFill="0" applyBorder="0" applyAlignment="0" applyProtection="0"/>
    <xf numFmtId="0" fontId="82" fillId="0" borderId="0"/>
  </cellStyleXfs>
  <cellXfs count="1046">
    <xf numFmtId="0" fontId="0" fillId="0" borderId="0" xfId="0"/>
    <xf numFmtId="0" fontId="2" fillId="0" borderId="0" xfId="3" applyFont="1"/>
    <xf numFmtId="0" fontId="2" fillId="0" borderId="0" xfId="4" applyFont="1" applyAlignment="1">
      <alignment horizontal="left"/>
    </xf>
    <xf numFmtId="0" fontId="1" fillId="0" borderId="0" xfId="3"/>
    <xf numFmtId="0" fontId="1" fillId="0" borderId="0" xfId="3" applyAlignment="1">
      <alignment horizontal="center"/>
    </xf>
    <xf numFmtId="1" fontId="1" fillId="0" borderId="0" xfId="3" applyNumberFormat="1"/>
    <xf numFmtId="1" fontId="1" fillId="0" borderId="0" xfId="3" applyNumberFormat="1" applyAlignment="1">
      <alignment horizontal="center"/>
    </xf>
    <xf numFmtId="164" fontId="1" fillId="0" borderId="0" xfId="3" applyNumberFormat="1" applyAlignment="1">
      <alignment horizontal="center"/>
    </xf>
    <xf numFmtId="164" fontId="1" fillId="0" borderId="0" xfId="3" applyNumberFormat="1"/>
    <xf numFmtId="3" fontId="4" fillId="0" borderId="0" xfId="0" applyNumberFormat="1" applyFont="1"/>
    <xf numFmtId="3" fontId="4" fillId="0" borderId="0" xfId="0" applyNumberFormat="1" applyFont="1" applyAlignment="1">
      <alignment horizontal="right"/>
    </xf>
    <xf numFmtId="3" fontId="1" fillId="0" borderId="0" xfId="0" applyNumberFormat="1" applyFont="1"/>
    <xf numFmtId="0" fontId="1" fillId="0" borderId="0" xfId="0" applyFont="1"/>
    <xf numFmtId="0" fontId="1" fillId="0" borderId="2" xfId="3" applyBorder="1"/>
    <xf numFmtId="3" fontId="1" fillId="0" borderId="0" xfId="3" applyNumberFormat="1"/>
    <xf numFmtId="3" fontId="1" fillId="0" borderId="0" xfId="0" applyNumberFormat="1" applyFont="1" applyAlignment="1">
      <alignment horizontal="right"/>
    </xf>
    <xf numFmtId="0" fontId="1" fillId="0" borderId="2" xfId="3" applyBorder="1" applyAlignment="1">
      <alignment horizontal="center"/>
    </xf>
    <xf numFmtId="165" fontId="1" fillId="0" borderId="0" xfId="3" applyNumberFormat="1"/>
    <xf numFmtId="0" fontId="1" fillId="0" borderId="0" xfId="3" applyAlignment="1">
      <alignment horizontal="right"/>
    </xf>
    <xf numFmtId="3" fontId="2" fillId="0" borderId="0" xfId="5" applyNumberFormat="1" applyFont="1"/>
    <xf numFmtId="0" fontId="1" fillId="0" borderId="0" xfId="3" applyAlignment="1">
      <alignment horizontal="right" wrapText="1"/>
    </xf>
    <xf numFmtId="0" fontId="1" fillId="0" borderId="0" xfId="3" applyAlignment="1">
      <alignment horizontal="center" wrapText="1"/>
    </xf>
    <xf numFmtId="1" fontId="1" fillId="0" borderId="6" xfId="3" applyNumberFormat="1" applyBorder="1" applyAlignment="1">
      <alignment horizontal="center"/>
    </xf>
    <xf numFmtId="164" fontId="1" fillId="3" borderId="6" xfId="3" applyNumberFormat="1" applyFill="1" applyBorder="1" applyAlignment="1">
      <alignment horizontal="center" wrapText="1"/>
    </xf>
    <xf numFmtId="164" fontId="1" fillId="3" borderId="0" xfId="3" applyNumberFormat="1" applyFill="1" applyAlignment="1">
      <alignment horizontal="center" wrapText="1"/>
    </xf>
    <xf numFmtId="0" fontId="1" fillId="0" borderId="6" xfId="0" applyFont="1" applyBorder="1" applyAlignment="1">
      <alignment horizontal="center" wrapText="1"/>
    </xf>
    <xf numFmtId="0" fontId="1" fillId="0" borderId="0" xfId="0" applyFont="1" applyAlignment="1">
      <alignment horizontal="center" wrapText="1"/>
    </xf>
    <xf numFmtId="0" fontId="1" fillId="0" borderId="2" xfId="3" applyBorder="1" applyAlignment="1">
      <alignment horizontal="center" wrapText="1"/>
    </xf>
    <xf numFmtId="0" fontId="1" fillId="0" borderId="2" xfId="3" applyBorder="1" applyAlignment="1">
      <alignment horizontal="right" wrapText="1"/>
    </xf>
    <xf numFmtId="0" fontId="1" fillId="0" borderId="2" xfId="3" applyBorder="1" applyAlignment="1">
      <alignment horizontal="right"/>
    </xf>
    <xf numFmtId="0" fontId="1" fillId="2" borderId="2" xfId="3" applyFill="1" applyBorder="1" applyAlignment="1">
      <alignment horizontal="right" wrapText="1"/>
    </xf>
    <xf numFmtId="0" fontId="1" fillId="2" borderId="2" xfId="3" applyFill="1" applyBorder="1" applyAlignment="1">
      <alignment horizontal="right" textRotation="90"/>
    </xf>
    <xf numFmtId="0" fontId="1" fillId="0" borderId="0" xfId="3" applyAlignment="1">
      <alignment wrapText="1"/>
    </xf>
    <xf numFmtId="0" fontId="1" fillId="0" borderId="6" xfId="3" applyBorder="1"/>
    <xf numFmtId="1" fontId="1" fillId="0" borderId="6" xfId="3" applyNumberFormat="1" applyBorder="1"/>
    <xf numFmtId="0" fontId="1" fillId="0" borderId="6" xfId="3" applyBorder="1" applyAlignment="1">
      <alignment wrapText="1"/>
    </xf>
    <xf numFmtId="164" fontId="1" fillId="3" borderId="6" xfId="3" applyNumberFormat="1" applyFill="1" applyBorder="1" applyAlignment="1">
      <alignment horizontal="center"/>
    </xf>
    <xf numFmtId="164" fontId="1" fillId="4" borderId="6" xfId="3" applyNumberFormat="1" applyFill="1" applyBorder="1" applyAlignment="1">
      <alignment horizontal="center" wrapText="1"/>
    </xf>
    <xf numFmtId="0" fontId="1" fillId="0" borderId="6" xfId="0" applyFont="1" applyBorder="1" applyAlignment="1">
      <alignment horizontal="left"/>
    </xf>
    <xf numFmtId="0" fontId="1" fillId="0" borderId="6" xfId="0" applyFont="1" applyBorder="1" applyAlignment="1">
      <alignment horizontal="right"/>
    </xf>
    <xf numFmtId="0" fontId="1" fillId="0" borderId="6" xfId="0" applyFont="1" applyBorder="1" applyAlignment="1">
      <alignment horizontal="right" wrapText="1"/>
    </xf>
    <xf numFmtId="0" fontId="1" fillId="5" borderId="6" xfId="0" applyFont="1" applyFill="1" applyBorder="1" applyAlignment="1">
      <alignment horizontal="right" wrapText="1"/>
    </xf>
    <xf numFmtId="0" fontId="4" fillId="5" borderId="6" xfId="0" applyFont="1" applyFill="1" applyBorder="1" applyAlignment="1">
      <alignment horizontal="right" wrapText="1"/>
    </xf>
    <xf numFmtId="0" fontId="1" fillId="0" borderId="9" xfId="0" applyFont="1" applyBorder="1" applyAlignment="1">
      <alignment horizontal="right" wrapText="1"/>
    </xf>
    <xf numFmtId="0" fontId="1" fillId="0" borderId="6" xfId="3" applyBorder="1" applyAlignment="1">
      <alignment horizontal="right" wrapText="1"/>
    </xf>
    <xf numFmtId="0" fontId="1" fillId="0" borderId="11" xfId="0" applyFont="1" applyBorder="1" applyAlignment="1">
      <alignment horizontal="right" wrapText="1"/>
    </xf>
    <xf numFmtId="0" fontId="1" fillId="3" borderId="0" xfId="3" applyFill="1"/>
    <xf numFmtId="0" fontId="1" fillId="2" borderId="0" xfId="3" applyFill="1"/>
    <xf numFmtId="164" fontId="1" fillId="3" borderId="0" xfId="3" applyNumberFormat="1" applyFill="1" applyAlignment="1">
      <alignment horizontal="center"/>
    </xf>
    <xf numFmtId="164" fontId="1" fillId="4" borderId="0" xfId="3" applyNumberFormat="1" applyFill="1" applyAlignment="1">
      <alignment horizontal="center"/>
    </xf>
    <xf numFmtId="0" fontId="1" fillId="5" borderId="0" xfId="3" applyFill="1"/>
    <xf numFmtId="0" fontId="4" fillId="5" borderId="0" xfId="3" applyFont="1" applyFill="1"/>
    <xf numFmtId="0" fontId="1" fillId="2" borderId="0" xfId="3" applyFill="1" applyAlignment="1">
      <alignment horizontal="center"/>
    </xf>
    <xf numFmtId="3" fontId="1" fillId="2" borderId="0" xfId="3" applyNumberFormat="1" applyFill="1" applyAlignment="1">
      <alignment horizontal="center"/>
    </xf>
    <xf numFmtId="3" fontId="7" fillId="2" borderId="0" xfId="3" applyNumberFormat="1" applyFont="1" applyFill="1"/>
    <xf numFmtId="3" fontId="7" fillId="3" borderId="0" xfId="3" applyNumberFormat="1" applyFont="1" applyFill="1"/>
    <xf numFmtId="3" fontId="1" fillId="2" borderId="0" xfId="3" applyNumberFormat="1" applyFill="1"/>
    <xf numFmtId="1" fontId="1" fillId="2" borderId="0" xfId="3" applyNumberFormat="1" applyFill="1"/>
    <xf numFmtId="1" fontId="0" fillId="0" borderId="7" xfId="6" applyNumberFormat="1" applyFont="1" applyBorder="1"/>
    <xf numFmtId="1" fontId="8" fillId="0" borderId="0" xfId="6" applyNumberFormat="1" applyFont="1" applyAlignment="1">
      <alignment horizontal="left"/>
    </xf>
    <xf numFmtId="1" fontId="8" fillId="0" borderId="0" xfId="6" applyNumberFormat="1" applyFont="1" applyAlignment="1">
      <alignment horizontal="center"/>
    </xf>
    <xf numFmtId="165" fontId="0" fillId="0" borderId="6" xfId="6" applyNumberFormat="1" applyFont="1" applyBorder="1"/>
    <xf numFmtId="3" fontId="1" fillId="0" borderId="6" xfId="3" applyNumberFormat="1" applyBorder="1"/>
    <xf numFmtId="3" fontId="1" fillId="2" borderId="6" xfId="3" applyNumberFormat="1" applyFill="1" applyBorder="1"/>
    <xf numFmtId="9" fontId="1" fillId="2" borderId="6" xfId="2" applyFont="1" applyFill="1" applyBorder="1"/>
    <xf numFmtId="0" fontId="4" fillId="5" borderId="0" xfId="0" applyFont="1" applyFill="1" applyAlignment="1">
      <alignment horizontal="center" wrapText="1"/>
    </xf>
    <xf numFmtId="9" fontId="1" fillId="0" borderId="0" xfId="2" applyFont="1"/>
    <xf numFmtId="166" fontId="1" fillId="0" borderId="0" xfId="3" applyNumberFormat="1"/>
    <xf numFmtId="1" fontId="0" fillId="0" borderId="12" xfId="6" applyNumberFormat="1" applyFont="1" applyBorder="1"/>
    <xf numFmtId="1" fontId="8" fillId="0" borderId="0" xfId="6" applyNumberFormat="1" applyFont="1" applyAlignment="1">
      <alignment horizontal="right"/>
    </xf>
    <xf numFmtId="1" fontId="0" fillId="0" borderId="10" xfId="6" applyNumberFormat="1" applyFont="1" applyBorder="1"/>
    <xf numFmtId="3" fontId="1" fillId="0" borderId="0" xfId="3" applyNumberFormat="1" applyAlignment="1">
      <alignment horizontal="center"/>
    </xf>
    <xf numFmtId="3" fontId="1" fillId="3" borderId="0" xfId="3" applyNumberFormat="1" applyFill="1"/>
    <xf numFmtId="165" fontId="1" fillId="2" borderId="0" xfId="2" applyNumberFormat="1" applyFont="1" applyFill="1"/>
    <xf numFmtId="4" fontId="7" fillId="2" borderId="0" xfId="0" applyNumberFormat="1" applyFont="1" applyFill="1" applyAlignment="1">
      <alignment horizontal="right"/>
    </xf>
    <xf numFmtId="0" fontId="1" fillId="6" borderId="0" xfId="3" applyFill="1"/>
    <xf numFmtId="10" fontId="7" fillId="0" borderId="0" xfId="2" applyNumberFormat="1" applyFont="1"/>
    <xf numFmtId="9" fontId="0" fillId="0" borderId="6" xfId="6" applyFont="1" applyBorder="1"/>
    <xf numFmtId="165" fontId="1" fillId="0" borderId="6" xfId="3" applyNumberFormat="1" applyBorder="1"/>
    <xf numFmtId="9" fontId="1" fillId="0" borderId="6" xfId="2" applyFont="1" applyBorder="1"/>
    <xf numFmtId="9" fontId="1" fillId="0" borderId="6" xfId="3" applyNumberFormat="1" applyBorder="1"/>
    <xf numFmtId="164" fontId="1" fillId="4" borderId="6" xfId="3" applyNumberFormat="1" applyFill="1" applyBorder="1" applyAlignment="1">
      <alignment horizontal="center"/>
    </xf>
    <xf numFmtId="0" fontId="1" fillId="0" borderId="6" xfId="3" applyBorder="1" applyAlignment="1">
      <alignment horizontal="right"/>
    </xf>
    <xf numFmtId="0" fontId="1" fillId="5" borderId="6" xfId="3" applyFill="1" applyBorder="1"/>
    <xf numFmtId="0" fontId="4" fillId="5" borderId="6" xfId="3" applyFont="1" applyFill="1" applyBorder="1"/>
    <xf numFmtId="3" fontId="1" fillId="0" borderId="1" xfId="3" applyNumberFormat="1" applyBorder="1"/>
    <xf numFmtId="167" fontId="0" fillId="0" borderId="0" xfId="6" applyNumberFormat="1" applyFont="1"/>
    <xf numFmtId="0" fontId="1" fillId="0" borderId="13" xfId="3" applyBorder="1"/>
    <xf numFmtId="0" fontId="1" fillId="0" borderId="14" xfId="3" applyBorder="1"/>
    <xf numFmtId="9" fontId="1" fillId="0" borderId="0" xfId="6"/>
    <xf numFmtId="0" fontId="1" fillId="0" borderId="3" xfId="3" applyBorder="1"/>
    <xf numFmtId="0" fontId="1" fillId="0" borderId="15" xfId="3" applyBorder="1"/>
    <xf numFmtId="0" fontId="1" fillId="0" borderId="16" xfId="3" applyBorder="1"/>
    <xf numFmtId="0" fontId="1" fillId="0" borderId="8" xfId="3" applyBorder="1"/>
    <xf numFmtId="0" fontId="1" fillId="0" borderId="17" xfId="3" applyBorder="1"/>
    <xf numFmtId="0" fontId="1" fillId="0" borderId="18" xfId="3" applyBorder="1"/>
    <xf numFmtId="3" fontId="1" fillId="0" borderId="6" xfId="3" applyNumberFormat="1" applyBorder="1" applyAlignment="1">
      <alignment horizontal="right"/>
    </xf>
    <xf numFmtId="3" fontId="1" fillId="0" borderId="6" xfId="7" applyNumberFormat="1" applyFont="1" applyBorder="1" applyAlignment="1">
      <alignment horizontal="right"/>
    </xf>
    <xf numFmtId="0" fontId="1" fillId="0" borderId="6" xfId="0" applyFont="1" applyBorder="1" applyAlignment="1">
      <alignment horizontal="center"/>
    </xf>
    <xf numFmtId="38" fontId="4" fillId="5" borderId="6" xfId="1" applyNumberFormat="1" applyFont="1" applyFill="1" applyBorder="1"/>
    <xf numFmtId="38" fontId="4" fillId="7" borderId="6" xfId="1" applyNumberFormat="1" applyFont="1" applyFill="1" applyBorder="1"/>
    <xf numFmtId="3" fontId="4" fillId="5" borderId="6" xfId="0" applyNumberFormat="1" applyFont="1" applyFill="1" applyBorder="1"/>
    <xf numFmtId="38" fontId="4" fillId="5" borderId="6" xfId="0" applyNumberFormat="1" applyFont="1" applyFill="1" applyBorder="1"/>
    <xf numFmtId="38" fontId="1" fillId="0" borderId="6" xfId="1" applyNumberFormat="1" applyFont="1" applyBorder="1"/>
    <xf numFmtId="38" fontId="1" fillId="3" borderId="6" xfId="1" applyNumberFormat="1" applyFont="1" applyFill="1" applyBorder="1"/>
    <xf numFmtId="38" fontId="1" fillId="2" borderId="6" xfId="0" applyNumberFormat="1" applyFont="1" applyFill="1" applyBorder="1"/>
    <xf numFmtId="165" fontId="0" fillId="0" borderId="0" xfId="6" applyNumberFormat="1" applyFont="1"/>
    <xf numFmtId="38" fontId="1" fillId="8" borderId="6" xfId="1" applyNumberFormat="1" applyFont="1" applyFill="1" applyBorder="1"/>
    <xf numFmtId="165" fontId="0" fillId="8" borderId="6" xfId="6" applyNumberFormat="1" applyFont="1" applyFill="1" applyBorder="1"/>
    <xf numFmtId="3" fontId="7" fillId="0" borderId="0" xfId="3" applyNumberFormat="1" applyFont="1"/>
    <xf numFmtId="0" fontId="1" fillId="9" borderId="0" xfId="3" applyFill="1"/>
    <xf numFmtId="3" fontId="1" fillId="9" borderId="0" xfId="3" applyNumberFormat="1" applyFill="1"/>
    <xf numFmtId="1" fontId="1" fillId="9" borderId="0" xfId="3" applyNumberFormat="1" applyFill="1"/>
    <xf numFmtId="3" fontId="7" fillId="9" borderId="0" xfId="3" applyNumberFormat="1" applyFont="1" applyFill="1"/>
    <xf numFmtId="0" fontId="1" fillId="10" borderId="6" xfId="0" applyFont="1" applyFill="1" applyBorder="1" applyAlignment="1">
      <alignment horizontal="center"/>
    </xf>
    <xf numFmtId="165" fontId="1" fillId="8" borderId="1" xfId="2" applyNumberFormat="1" applyFont="1" applyFill="1" applyBorder="1"/>
    <xf numFmtId="165" fontId="1" fillId="8" borderId="3" xfId="2" applyNumberFormat="1" applyFont="1" applyFill="1" applyBorder="1"/>
    <xf numFmtId="10" fontId="7" fillId="11" borderId="0" xfId="2" applyNumberFormat="1" applyFont="1" applyFill="1"/>
    <xf numFmtId="165" fontId="1" fillId="8" borderId="8" xfId="2" applyNumberFormat="1" applyFont="1" applyFill="1" applyBorder="1"/>
    <xf numFmtId="3" fontId="1" fillId="11" borderId="0" xfId="3" applyNumberFormat="1" applyFill="1"/>
    <xf numFmtId="165" fontId="1" fillId="11" borderId="0" xfId="2" applyNumberFormat="1" applyFont="1" applyFill="1"/>
    <xf numFmtId="1" fontId="1" fillId="11" borderId="0" xfId="3" applyNumberFormat="1" applyFill="1"/>
    <xf numFmtId="3" fontId="1" fillId="6" borderId="0" xfId="3" applyNumberFormat="1" applyFill="1"/>
    <xf numFmtId="10" fontId="7" fillId="8" borderId="0" xfId="2" applyNumberFormat="1" applyFont="1" applyFill="1"/>
    <xf numFmtId="38" fontId="1" fillId="0" borderId="0" xfId="3" applyNumberFormat="1"/>
    <xf numFmtId="3" fontId="1" fillId="0" borderId="0" xfId="3" applyNumberFormat="1" applyAlignment="1">
      <alignment horizontal="right"/>
    </xf>
    <xf numFmtId="164" fontId="1" fillId="0" borderId="6" xfId="3" applyNumberFormat="1" applyBorder="1" applyAlignment="1">
      <alignment horizontal="center"/>
    </xf>
    <xf numFmtId="167" fontId="1" fillId="0" borderId="0" xfId="3" applyNumberFormat="1"/>
    <xf numFmtId="9" fontId="0" fillId="0" borderId="0" xfId="6" applyFont="1"/>
    <xf numFmtId="165" fontId="3" fillId="0" borderId="0" xfId="6" applyNumberFormat="1" applyFont="1" applyAlignment="1">
      <alignment horizontal="right"/>
    </xf>
    <xf numFmtId="165" fontId="0" fillId="12" borderId="19" xfId="6" applyNumberFormat="1" applyFont="1" applyFill="1" applyBorder="1"/>
    <xf numFmtId="9" fontId="1" fillId="0" borderId="0" xfId="3" applyNumberFormat="1"/>
    <xf numFmtId="0" fontId="5" fillId="0" borderId="0" xfId="3" applyFont="1"/>
    <xf numFmtId="0" fontId="9" fillId="0" borderId="0" xfId="3" applyFont="1"/>
    <xf numFmtId="0" fontId="7" fillId="0" borderId="6" xfId="3" applyFont="1" applyBorder="1"/>
    <xf numFmtId="0" fontId="7" fillId="0" borderId="9" xfId="3" applyFont="1" applyBorder="1"/>
    <xf numFmtId="165" fontId="1" fillId="0" borderId="6" xfId="2" applyNumberFormat="1" applyFont="1" applyBorder="1"/>
    <xf numFmtId="0" fontId="1" fillId="0" borderId="19" xfId="3" applyBorder="1"/>
    <xf numFmtId="165" fontId="7" fillId="0" borderId="8" xfId="2" applyNumberFormat="1" applyFont="1" applyBorder="1"/>
    <xf numFmtId="165" fontId="7" fillId="0" borderId="17" xfId="2" applyNumberFormat="1" applyFont="1" applyBorder="1"/>
    <xf numFmtId="165" fontId="7" fillId="0" borderId="6" xfId="3" applyNumberFormat="1" applyFont="1" applyBorder="1"/>
    <xf numFmtId="0" fontId="9" fillId="0" borderId="0" xfId="8" applyFont="1"/>
    <xf numFmtId="1" fontId="4" fillId="3" borderId="0" xfId="3" applyNumberFormat="1" applyFont="1" applyFill="1"/>
    <xf numFmtId="1" fontId="4" fillId="8" borderId="0" xfId="3" applyNumberFormat="1" applyFont="1" applyFill="1"/>
    <xf numFmtId="165" fontId="1" fillId="0" borderId="19" xfId="2" applyNumberFormat="1" applyFont="1" applyBorder="1"/>
    <xf numFmtId="165" fontId="1" fillId="0" borderId="0" xfId="2" applyNumberFormat="1" applyFont="1"/>
    <xf numFmtId="168" fontId="1" fillId="0" borderId="0" xfId="2" applyNumberFormat="1" applyFont="1"/>
    <xf numFmtId="0" fontId="14" fillId="0" borderId="0" xfId="3" applyFont="1"/>
    <xf numFmtId="0" fontId="15" fillId="0" borderId="0" xfId="9"/>
    <xf numFmtId="0" fontId="16" fillId="0" borderId="0" xfId="10" applyFont="1"/>
    <xf numFmtId="0" fontId="17" fillId="0" borderId="0" xfId="10" applyFont="1"/>
    <xf numFmtId="0" fontId="18" fillId="0" borderId="0" xfId="9" applyFont="1"/>
    <xf numFmtId="0" fontId="18" fillId="0" borderId="0" xfId="9" applyFont="1" applyAlignment="1">
      <alignment horizontal="center"/>
    </xf>
    <xf numFmtId="0" fontId="17" fillId="13" borderId="0" xfId="10" applyFont="1" applyFill="1"/>
    <xf numFmtId="0" fontId="14" fillId="13" borderId="0" xfId="3" applyFont="1" applyFill="1"/>
    <xf numFmtId="0" fontId="14" fillId="13" borderId="0" xfId="4" applyFont="1" applyFill="1" applyAlignment="1">
      <alignment horizontal="left"/>
    </xf>
    <xf numFmtId="0" fontId="16" fillId="13" borderId="0" xfId="10" applyFont="1" applyFill="1"/>
    <xf numFmtId="0" fontId="15" fillId="9" borderId="0" xfId="9" applyFill="1"/>
    <xf numFmtId="0" fontId="17" fillId="9" borderId="0" xfId="10" applyFont="1" applyFill="1"/>
    <xf numFmtId="0" fontId="18" fillId="9" borderId="0" xfId="9" applyFont="1" applyFill="1"/>
    <xf numFmtId="0" fontId="18" fillId="9" borderId="0" xfId="9" applyFont="1" applyFill="1" applyAlignment="1">
      <alignment horizontal="center"/>
    </xf>
    <xf numFmtId="0" fontId="16" fillId="0" borderId="2" xfId="3" applyFont="1" applyBorder="1"/>
    <xf numFmtId="0" fontId="16" fillId="0" borderId="0" xfId="3" applyFont="1"/>
    <xf numFmtId="0" fontId="15" fillId="0" borderId="0" xfId="9" applyAlignment="1">
      <alignment horizontal="center"/>
    </xf>
    <xf numFmtId="0" fontId="17" fillId="9" borderId="4" xfId="10" applyFont="1" applyFill="1" applyBorder="1" applyAlignment="1">
      <alignment horizontal="center"/>
    </xf>
    <xf numFmtId="0" fontId="17" fillId="9" borderId="4" xfId="3" applyFont="1" applyFill="1" applyBorder="1" applyAlignment="1">
      <alignment horizontal="center"/>
    </xf>
    <xf numFmtId="0" fontId="17" fillId="9" borderId="4" xfId="3" applyFont="1" applyFill="1" applyBorder="1"/>
    <xf numFmtId="0" fontId="17" fillId="9" borderId="4" xfId="3" applyFont="1" applyFill="1" applyBorder="1" applyAlignment="1">
      <alignment horizontal="center" wrapText="1"/>
    </xf>
    <xf numFmtId="0" fontId="20" fillId="9" borderId="0" xfId="9" applyFont="1" applyFill="1" applyAlignment="1">
      <alignment horizontal="center" wrapText="1"/>
    </xf>
    <xf numFmtId="0" fontId="21" fillId="9" borderId="0" xfId="9" applyFont="1" applyFill="1" applyAlignment="1">
      <alignment horizontal="center" wrapText="1"/>
    </xf>
    <xf numFmtId="0" fontId="15" fillId="2" borderId="0" xfId="9" applyFill="1"/>
    <xf numFmtId="0" fontId="17" fillId="9" borderId="0" xfId="3" applyFont="1" applyFill="1" applyAlignment="1">
      <alignment horizontal="center"/>
    </xf>
    <xf numFmtId="0" fontId="17" fillId="9" borderId="2" xfId="3" applyFont="1" applyFill="1" applyBorder="1" applyAlignment="1">
      <alignment horizontal="center"/>
    </xf>
    <xf numFmtId="0" fontId="17" fillId="9" borderId="0" xfId="3" applyFont="1" applyFill="1" applyAlignment="1">
      <alignment horizontal="center" wrapText="1"/>
    </xf>
    <xf numFmtId="0" fontId="17" fillId="9" borderId="2" xfId="3" applyFont="1" applyFill="1" applyBorder="1" applyAlignment="1">
      <alignment horizontal="center" wrapText="1"/>
    </xf>
    <xf numFmtId="0" fontId="20" fillId="2" borderId="0" xfId="9" applyFont="1" applyFill="1" applyAlignment="1">
      <alignment horizontal="center" wrapText="1"/>
    </xf>
    <xf numFmtId="3" fontId="20" fillId="9" borderId="0" xfId="9" applyNumberFormat="1" applyFont="1" applyFill="1" applyAlignment="1">
      <alignment horizontal="center" wrapText="1"/>
    </xf>
    <xf numFmtId="0" fontId="16" fillId="9" borderId="0" xfId="3" applyFont="1" applyFill="1" applyAlignment="1">
      <alignment horizontal="center"/>
    </xf>
    <xf numFmtId="3" fontId="16" fillId="3" borderId="0" xfId="3" applyNumberFormat="1" applyFont="1" applyFill="1" applyAlignment="1">
      <alignment horizontal="center"/>
    </xf>
    <xf numFmtId="3" fontId="16" fillId="9" borderId="0" xfId="10" applyNumberFormat="1" applyFont="1" applyFill="1" applyAlignment="1">
      <alignment horizontal="center"/>
    </xf>
    <xf numFmtId="3" fontId="16" fillId="9" borderId="0" xfId="3" applyNumberFormat="1" applyFont="1" applyFill="1" applyAlignment="1">
      <alignment horizontal="center"/>
    </xf>
    <xf numFmtId="166" fontId="21" fillId="0" borderId="0" xfId="11" applyNumberFormat="1" applyFont="1" applyFill="1" applyAlignment="1">
      <alignment horizontal="center"/>
    </xf>
    <xf numFmtId="3" fontId="16" fillId="9" borderId="0" xfId="11" applyNumberFormat="1" applyFont="1" applyFill="1" applyAlignment="1">
      <alignment horizontal="center"/>
    </xf>
    <xf numFmtId="1" fontId="16" fillId="9" borderId="0" xfId="3" applyNumberFormat="1" applyFont="1" applyFill="1" applyAlignment="1">
      <alignment horizontal="center"/>
    </xf>
    <xf numFmtId="169" fontId="21" fillId="9" borderId="0" xfId="11" applyNumberFormat="1" applyFont="1" applyFill="1" applyAlignment="1">
      <alignment horizontal="center"/>
    </xf>
    <xf numFmtId="1" fontId="21" fillId="9" borderId="0" xfId="11" applyNumberFormat="1" applyFont="1" applyFill="1" applyAlignment="1">
      <alignment horizontal="center"/>
    </xf>
    <xf numFmtId="9" fontId="21" fillId="9" borderId="0" xfId="11" applyFont="1" applyFill="1" applyAlignment="1">
      <alignment horizontal="center"/>
    </xf>
    <xf numFmtId="9" fontId="21" fillId="2" borderId="0" xfId="11" applyFont="1" applyFill="1" applyAlignment="1">
      <alignment horizontal="center"/>
    </xf>
    <xf numFmtId="3" fontId="21" fillId="9" borderId="0" xfId="11" applyNumberFormat="1" applyFont="1" applyFill="1" applyAlignment="1">
      <alignment horizontal="center"/>
    </xf>
    <xf numFmtId="1" fontId="22" fillId="9" borderId="0" xfId="11" applyNumberFormat="1" applyFont="1" applyFill="1" applyAlignment="1">
      <alignment horizontal="center"/>
    </xf>
    <xf numFmtId="9" fontId="15" fillId="0" borderId="0" xfId="11" applyAlignment="1">
      <alignment horizontal="center"/>
    </xf>
    <xf numFmtId="3" fontId="15" fillId="0" borderId="0" xfId="9" applyNumberFormat="1"/>
    <xf numFmtId="0" fontId="1" fillId="2" borderId="0" xfId="3" applyFill="1" applyAlignment="1">
      <alignment horizontal="left"/>
    </xf>
    <xf numFmtId="4" fontId="7" fillId="2" borderId="0" xfId="9" applyNumberFormat="1" applyFont="1" applyFill="1" applyAlignment="1">
      <alignment horizontal="right"/>
    </xf>
    <xf numFmtId="9" fontId="15" fillId="0" borderId="0" xfId="11"/>
    <xf numFmtId="9" fontId="16" fillId="8" borderId="0" xfId="11" applyFont="1" applyFill="1" applyAlignment="1">
      <alignment horizontal="center"/>
    </xf>
    <xf numFmtId="9" fontId="16" fillId="9" borderId="0" xfId="11" applyFont="1" applyFill="1" applyAlignment="1">
      <alignment horizontal="center"/>
    </xf>
    <xf numFmtId="0" fontId="16" fillId="0" borderId="0" xfId="3" applyFont="1" applyAlignment="1">
      <alignment horizontal="center"/>
    </xf>
    <xf numFmtId="0" fontId="16" fillId="9" borderId="0" xfId="10" applyFont="1" applyFill="1" applyAlignment="1">
      <alignment horizontal="center"/>
    </xf>
    <xf numFmtId="1" fontId="16" fillId="9" borderId="0" xfId="10" applyNumberFormat="1" applyFont="1" applyFill="1" applyAlignment="1">
      <alignment horizontal="center"/>
    </xf>
    <xf numFmtId="0" fontId="15" fillId="9" borderId="0" xfId="9" applyFill="1" applyAlignment="1">
      <alignment horizontal="center"/>
    </xf>
    <xf numFmtId="3" fontId="15" fillId="9" borderId="0" xfId="9" applyNumberFormat="1" applyFill="1" applyAlignment="1">
      <alignment horizontal="center"/>
    </xf>
    <xf numFmtId="0" fontId="17" fillId="9" borderId="4" xfId="3" applyFont="1" applyFill="1" applyBorder="1" applyAlignment="1">
      <alignment horizontal="left"/>
    </xf>
    <xf numFmtId="0" fontId="16" fillId="9" borderId="4" xfId="10" applyFont="1" applyFill="1" applyBorder="1" applyAlignment="1">
      <alignment horizontal="center"/>
    </xf>
    <xf numFmtId="0" fontId="16" fillId="9" borderId="4" xfId="3" applyFont="1" applyFill="1" applyBorder="1" applyAlignment="1">
      <alignment horizontal="center"/>
    </xf>
    <xf numFmtId="1" fontId="16" fillId="9" borderId="4" xfId="10" applyNumberFormat="1" applyFont="1" applyFill="1" applyBorder="1" applyAlignment="1">
      <alignment horizontal="center"/>
    </xf>
    <xf numFmtId="3" fontId="16" fillId="9" borderId="4" xfId="10" applyNumberFormat="1" applyFont="1" applyFill="1" applyBorder="1" applyAlignment="1">
      <alignment horizontal="center"/>
    </xf>
    <xf numFmtId="0" fontId="15" fillId="9" borderId="4" xfId="9" applyFill="1" applyBorder="1" applyAlignment="1">
      <alignment horizontal="center"/>
    </xf>
    <xf numFmtId="0" fontId="16" fillId="9" borderId="0" xfId="3" applyFont="1" applyFill="1" applyAlignment="1">
      <alignment horizontal="left"/>
    </xf>
    <xf numFmtId="169" fontId="16" fillId="9" borderId="0" xfId="11" applyNumberFormat="1" applyFont="1" applyFill="1" applyAlignment="1">
      <alignment horizontal="center"/>
    </xf>
    <xf numFmtId="1" fontId="16" fillId="9" borderId="0" xfId="11" applyNumberFormat="1" applyFont="1" applyFill="1" applyAlignment="1">
      <alignment horizontal="center"/>
    </xf>
    <xf numFmtId="0" fontId="16" fillId="9" borderId="0" xfId="10" applyFont="1" applyFill="1"/>
    <xf numFmtId="166" fontId="16" fillId="9" borderId="0" xfId="3" applyNumberFormat="1" applyFont="1" applyFill="1" applyAlignment="1">
      <alignment horizontal="center"/>
    </xf>
    <xf numFmtId="169" fontId="16" fillId="9" borderId="0" xfId="3" applyNumberFormat="1" applyFont="1" applyFill="1" applyAlignment="1">
      <alignment horizontal="center"/>
    </xf>
    <xf numFmtId="165" fontId="15" fillId="0" borderId="0" xfId="9" applyNumberFormat="1"/>
    <xf numFmtId="9" fontId="15" fillId="0" borderId="0" xfId="9" applyNumberFormat="1"/>
    <xf numFmtId="0" fontId="16" fillId="9" borderId="0" xfId="3" applyFont="1" applyFill="1"/>
    <xf numFmtId="0" fontId="16" fillId="9" borderId="4" xfId="3" applyFont="1" applyFill="1" applyBorder="1"/>
    <xf numFmtId="3" fontId="16" fillId="9" borderId="4" xfId="3" applyNumberFormat="1" applyFont="1" applyFill="1" applyBorder="1" applyAlignment="1">
      <alignment horizontal="center"/>
    </xf>
    <xf numFmtId="169" fontId="16" fillId="9" borderId="4" xfId="11" applyNumberFormat="1" applyFont="1" applyFill="1" applyBorder="1" applyAlignment="1">
      <alignment horizontal="center"/>
    </xf>
    <xf numFmtId="9" fontId="16" fillId="9" borderId="4" xfId="11" applyFont="1" applyFill="1" applyBorder="1" applyAlignment="1">
      <alignment horizontal="center"/>
    </xf>
    <xf numFmtId="1" fontId="16" fillId="9" borderId="4" xfId="3" applyNumberFormat="1" applyFont="1" applyFill="1" applyBorder="1" applyAlignment="1">
      <alignment horizontal="center"/>
    </xf>
    <xf numFmtId="1" fontId="16" fillId="9" borderId="0" xfId="11" applyNumberFormat="1" applyFont="1" applyFill="1" applyBorder="1" applyAlignment="1">
      <alignment horizontal="center"/>
    </xf>
    <xf numFmtId="9" fontId="16" fillId="9" borderId="0" xfId="11" applyFont="1" applyFill="1" applyBorder="1" applyAlignment="1">
      <alignment horizontal="center"/>
    </xf>
    <xf numFmtId="0" fontId="16" fillId="9" borderId="2" xfId="3" applyFont="1" applyFill="1" applyBorder="1"/>
    <xf numFmtId="1" fontId="16" fillId="9" borderId="2" xfId="3" applyNumberFormat="1" applyFont="1" applyFill="1" applyBorder="1"/>
    <xf numFmtId="0" fontId="15" fillId="9" borderId="2" xfId="9" applyFill="1" applyBorder="1"/>
    <xf numFmtId="0" fontId="23" fillId="9" borderId="4" xfId="3" applyFont="1" applyFill="1" applyBorder="1" applyAlignment="1">
      <alignment vertical="top"/>
    </xf>
    <xf numFmtId="0" fontId="24" fillId="9" borderId="4" xfId="3" applyFont="1" applyFill="1" applyBorder="1"/>
    <xf numFmtId="0" fontId="24" fillId="9" borderId="4" xfId="10" applyFont="1" applyFill="1" applyBorder="1"/>
    <xf numFmtId="0" fontId="15" fillId="9" borderId="4" xfId="9" applyFill="1" applyBorder="1"/>
    <xf numFmtId="0" fontId="23" fillId="9" borderId="0" xfId="3" applyFont="1" applyFill="1" applyAlignment="1">
      <alignment vertical="top"/>
    </xf>
    <xf numFmtId="0" fontId="24" fillId="9" borderId="0" xfId="3" applyFont="1" applyFill="1"/>
    <xf numFmtId="0" fontId="24" fillId="9" borderId="0" xfId="10" applyFont="1" applyFill="1"/>
    <xf numFmtId="9" fontId="24" fillId="9" borderId="0" xfId="10" applyNumberFormat="1" applyFont="1" applyFill="1"/>
    <xf numFmtId="3" fontId="24" fillId="9" borderId="0" xfId="10" applyNumberFormat="1" applyFont="1" applyFill="1"/>
    <xf numFmtId="165" fontId="25" fillId="9" borderId="0" xfId="11" applyNumberFormat="1" applyFont="1" applyFill="1"/>
    <xf numFmtId="165" fontId="24" fillId="9" borderId="0" xfId="10" applyNumberFormat="1" applyFont="1" applyFill="1"/>
    <xf numFmtId="1" fontId="24" fillId="9" borderId="0" xfId="11" applyNumberFormat="1" applyFont="1" applyFill="1"/>
    <xf numFmtId="9" fontId="24" fillId="9" borderId="0" xfId="11" applyFont="1" applyFill="1"/>
    <xf numFmtId="0" fontId="26" fillId="9" borderId="0" xfId="3" applyFont="1" applyFill="1" applyAlignment="1">
      <alignment vertical="top"/>
    </xf>
    <xf numFmtId="0" fontId="24" fillId="9" borderId="0" xfId="8" applyFont="1" applyFill="1"/>
    <xf numFmtId="0" fontId="24" fillId="9" borderId="0" xfId="3" applyFont="1" applyFill="1" applyAlignment="1">
      <alignment vertical="top"/>
    </xf>
    <xf numFmtId="0" fontId="24" fillId="14" borderId="7" xfId="10" applyFont="1" applyFill="1" applyBorder="1"/>
    <xf numFmtId="9" fontId="24" fillId="9" borderId="12" xfId="11" applyFont="1" applyFill="1" applyBorder="1"/>
    <xf numFmtId="0" fontId="15" fillId="9" borderId="0" xfId="9" applyFill="1" applyAlignment="1">
      <alignment vertical="top"/>
    </xf>
    <xf numFmtId="9" fontId="24" fillId="9" borderId="10" xfId="10" applyNumberFormat="1" applyFont="1" applyFill="1" applyBorder="1"/>
    <xf numFmtId="0" fontId="24" fillId="0" borderId="0" xfId="3" applyFont="1"/>
    <xf numFmtId="164" fontId="15" fillId="0" borderId="0" xfId="9" applyNumberFormat="1" applyAlignment="1">
      <alignment horizontal="center"/>
    </xf>
    <xf numFmtId="17" fontId="18" fillId="0" borderId="0" xfId="9" quotePrefix="1" applyNumberFormat="1" applyFont="1"/>
    <xf numFmtId="0" fontId="18" fillId="0" borderId="0" xfId="9" applyFont="1" applyAlignment="1">
      <alignment wrapText="1"/>
    </xf>
    <xf numFmtId="0" fontId="18" fillId="2" borderId="0" xfId="9" applyFont="1" applyFill="1" applyAlignment="1">
      <alignment horizontal="center"/>
    </xf>
    <xf numFmtId="0" fontId="18" fillId="8" borderId="0" xfId="9" applyFont="1" applyFill="1" applyAlignment="1">
      <alignment horizontal="center"/>
    </xf>
    <xf numFmtId="0" fontId="18" fillId="3" borderId="0" xfId="9" applyFont="1" applyFill="1" applyAlignment="1">
      <alignment horizontal="center" wrapText="1"/>
    </xf>
    <xf numFmtId="164" fontId="18" fillId="8" borderId="0" xfId="9" applyNumberFormat="1" applyFont="1" applyFill="1" applyAlignment="1">
      <alignment horizontal="center" wrapText="1"/>
    </xf>
    <xf numFmtId="0" fontId="18" fillId="0" borderId="6" xfId="9" applyFont="1" applyBorder="1" applyAlignment="1">
      <alignment horizontal="center"/>
    </xf>
    <xf numFmtId="0" fontId="15" fillId="0" borderId="6" xfId="9" applyBorder="1" applyAlignment="1">
      <alignment horizontal="center"/>
    </xf>
    <xf numFmtId="0" fontId="15" fillId="0" borderId="6" xfId="9" applyBorder="1" applyAlignment="1">
      <alignment horizontal="center" wrapText="1"/>
    </xf>
    <xf numFmtId="0" fontId="15" fillId="3" borderId="6" xfId="9" applyFill="1" applyBorder="1" applyAlignment="1">
      <alignment horizontal="center"/>
    </xf>
    <xf numFmtId="0" fontId="18" fillId="8" borderId="0" xfId="9" applyFont="1" applyFill="1" applyAlignment="1">
      <alignment horizontal="center" wrapText="1"/>
    </xf>
    <xf numFmtId="0" fontId="18" fillId="3" borderId="0" xfId="9" applyFont="1" applyFill="1" applyAlignment="1">
      <alignment horizontal="center"/>
    </xf>
    <xf numFmtId="164" fontId="18" fillId="8" borderId="0" xfId="9" applyNumberFormat="1" applyFont="1" applyFill="1" applyAlignment="1">
      <alignment horizontal="center"/>
    </xf>
    <xf numFmtId="3" fontId="15" fillId="8" borderId="0" xfId="9" applyNumberFormat="1" applyFill="1" applyAlignment="1">
      <alignment horizontal="center"/>
    </xf>
    <xf numFmtId="3" fontId="15" fillId="3" borderId="0" xfId="9" applyNumberFormat="1" applyFill="1" applyAlignment="1">
      <alignment horizontal="center"/>
    </xf>
    <xf numFmtId="3" fontId="15" fillId="0" borderId="6" xfId="9" applyNumberFormat="1" applyBorder="1" applyAlignment="1">
      <alignment horizontal="center"/>
    </xf>
    <xf numFmtId="3" fontId="27" fillId="0" borderId="6" xfId="9" applyNumberFormat="1" applyFont="1" applyBorder="1" applyAlignment="1">
      <alignment horizontal="center"/>
    </xf>
    <xf numFmtId="3" fontId="15" fillId="3" borderId="6" xfId="9" applyNumberFormat="1" applyFill="1" applyBorder="1" applyAlignment="1">
      <alignment horizontal="center"/>
    </xf>
    <xf numFmtId="3" fontId="15" fillId="2" borderId="0" xfId="9" applyNumberFormat="1" applyFill="1" applyAlignment="1">
      <alignment horizontal="center"/>
    </xf>
    <xf numFmtId="3" fontId="15" fillId="0" borderId="0" xfId="9" applyNumberFormat="1" applyAlignment="1">
      <alignment horizontal="center"/>
    </xf>
    <xf numFmtId="0" fontId="15" fillId="13" borderId="0" xfId="9" applyFill="1" applyAlignment="1">
      <alignment horizontal="center"/>
    </xf>
    <xf numFmtId="0" fontId="15" fillId="13" borderId="0" xfId="9" applyFill="1"/>
    <xf numFmtId="3" fontId="15" fillId="13" borderId="0" xfId="9" applyNumberFormat="1" applyFill="1" applyAlignment="1">
      <alignment horizontal="center"/>
    </xf>
    <xf numFmtId="164" fontId="18" fillId="13" borderId="0" xfId="9" applyNumberFormat="1" applyFont="1" applyFill="1" applyAlignment="1">
      <alignment horizontal="center"/>
    </xf>
    <xf numFmtId="0" fontId="15" fillId="4" borderId="0" xfId="9" applyFill="1" applyAlignment="1">
      <alignment horizontal="center"/>
    </xf>
    <xf numFmtId="0" fontId="15" fillId="4" borderId="0" xfId="9" applyFill="1"/>
    <xf numFmtId="0" fontId="17" fillId="8" borderId="4" xfId="3" applyFont="1" applyFill="1" applyBorder="1"/>
    <xf numFmtId="0" fontId="21" fillId="9" borderId="0" xfId="9" applyFont="1" applyFill="1" applyAlignment="1">
      <alignment horizontal="right" wrapText="1"/>
    </xf>
    <xf numFmtId="0" fontId="17" fillId="8" borderId="0" xfId="3" applyFont="1" applyFill="1" applyAlignment="1">
      <alignment horizontal="center"/>
    </xf>
    <xf numFmtId="0" fontId="17" fillId="8" borderId="0" xfId="3" applyFont="1" applyFill="1" applyAlignment="1">
      <alignment horizontal="center" wrapText="1"/>
    </xf>
    <xf numFmtId="0" fontId="17" fillId="8" borderId="2" xfId="3" applyFont="1" applyFill="1" applyBorder="1" applyAlignment="1">
      <alignment horizontal="center"/>
    </xf>
    <xf numFmtId="0" fontId="17" fillId="8" borderId="2" xfId="3" applyFont="1" applyFill="1" applyBorder="1" applyAlignment="1">
      <alignment horizontal="center" wrapText="1"/>
    </xf>
    <xf numFmtId="0" fontId="20" fillId="8" borderId="2" xfId="9" applyFont="1" applyFill="1" applyBorder="1" applyAlignment="1">
      <alignment horizontal="center" wrapText="1"/>
    </xf>
    <xf numFmtId="166" fontId="21" fillId="9" borderId="0" xfId="11" applyNumberFormat="1" applyFont="1" applyFill="1" applyAlignment="1">
      <alignment horizontal="center"/>
    </xf>
    <xf numFmtId="9" fontId="21" fillId="9" borderId="0" xfId="11" applyFont="1" applyFill="1"/>
    <xf numFmtId="0" fontId="16" fillId="13" borderId="0" xfId="3" applyFont="1" applyFill="1" applyAlignment="1">
      <alignment horizontal="center"/>
    </xf>
    <xf numFmtId="3" fontId="16" fillId="13" borderId="0" xfId="3" applyNumberFormat="1" applyFont="1" applyFill="1" applyAlignment="1">
      <alignment horizontal="center"/>
    </xf>
    <xf numFmtId="3" fontId="16" fillId="0" borderId="0" xfId="3" applyNumberFormat="1" applyFont="1" applyAlignment="1">
      <alignment horizontal="center"/>
    </xf>
    <xf numFmtId="9" fontId="0" fillId="0" borderId="0" xfId="6" applyFont="1" applyBorder="1"/>
    <xf numFmtId="9" fontId="16" fillId="9" borderId="0" xfId="11" applyFont="1" applyFill="1"/>
    <xf numFmtId="0" fontId="17" fillId="0" borderId="0" xfId="0" applyFont="1"/>
    <xf numFmtId="0" fontId="16" fillId="0" borderId="0" xfId="0" applyFont="1"/>
    <xf numFmtId="0" fontId="16" fillId="0" borderId="0" xfId="0" applyFont="1" applyAlignment="1">
      <alignment horizontal="center"/>
    </xf>
    <xf numFmtId="2" fontId="16" fillId="0" borderId="0" xfId="0" applyNumberFormat="1" applyFont="1" applyAlignment="1">
      <alignment horizontal="center"/>
    </xf>
    <xf numFmtId="167" fontId="16" fillId="0" borderId="0" xfId="0" applyNumberFormat="1" applyFont="1"/>
    <xf numFmtId="0" fontId="16" fillId="0" borderId="0" xfId="0" applyFont="1" applyAlignment="1">
      <alignment horizontal="right"/>
    </xf>
    <xf numFmtId="9" fontId="16" fillId="0" borderId="0" xfId="2" applyFont="1"/>
    <xf numFmtId="0" fontId="16" fillId="0" borderId="6" xfId="0" applyFont="1" applyBorder="1"/>
    <xf numFmtId="0" fontId="16" fillId="0" borderId="23" xfId="0" applyFont="1" applyBorder="1"/>
    <xf numFmtId="0" fontId="16" fillId="0" borderId="4" xfId="0" applyFont="1" applyBorder="1" applyAlignment="1">
      <alignment horizontal="center"/>
    </xf>
    <xf numFmtId="0" fontId="16" fillId="0" borderId="24" xfId="0" applyFont="1" applyBorder="1"/>
    <xf numFmtId="0" fontId="16" fillId="6" borderId="0" xfId="0" applyFont="1" applyFill="1"/>
    <xf numFmtId="0" fontId="16" fillId="0" borderId="4" xfId="0" applyFont="1" applyBorder="1"/>
    <xf numFmtId="0" fontId="16" fillId="0" borderId="11" xfId="0" applyFont="1" applyBorder="1" applyAlignment="1">
      <alignment horizontal="center" wrapText="1"/>
    </xf>
    <xf numFmtId="0" fontId="16" fillId="0" borderId="6" xfId="0" applyFont="1" applyBorder="1" applyAlignment="1">
      <alignment horizontal="center" wrapText="1"/>
    </xf>
    <xf numFmtId="0" fontId="16" fillId="8" borderId="2" xfId="0" applyFont="1" applyFill="1" applyBorder="1"/>
    <xf numFmtId="167" fontId="16" fillId="0" borderId="7" xfId="0" applyNumberFormat="1" applyFont="1" applyBorder="1" applyAlignment="1">
      <alignment horizontal="center"/>
    </xf>
    <xf numFmtId="0" fontId="17" fillId="3" borderId="6" xfId="0" applyFont="1" applyFill="1" applyBorder="1"/>
    <xf numFmtId="0" fontId="17" fillId="15" borderId="6" xfId="0" applyFont="1" applyFill="1" applyBorder="1"/>
    <xf numFmtId="0" fontId="16" fillId="2" borderId="6" xfId="0" applyFont="1" applyFill="1" applyBorder="1"/>
    <xf numFmtId="9" fontId="16" fillId="0" borderId="0" xfId="2" applyFont="1" applyAlignment="1">
      <alignment horizontal="center"/>
    </xf>
    <xf numFmtId="170" fontId="16" fillId="0" borderId="1" xfId="0" applyNumberFormat="1" applyFont="1" applyBorder="1"/>
    <xf numFmtId="170" fontId="16" fillId="0" borderId="0" xfId="0" applyNumberFormat="1" applyFont="1"/>
    <xf numFmtId="0" fontId="16" fillId="0" borderId="9" xfId="0" applyFont="1" applyBorder="1"/>
    <xf numFmtId="0" fontId="17" fillId="0" borderId="5" xfId="0" applyFont="1" applyBorder="1" applyAlignment="1">
      <alignment horizontal="right" wrapText="1"/>
    </xf>
    <xf numFmtId="0" fontId="17" fillId="0" borderId="5" xfId="0" applyFont="1" applyBorder="1" applyAlignment="1">
      <alignment horizontal="right"/>
    </xf>
    <xf numFmtId="0" fontId="17" fillId="0" borderId="11" xfId="0" applyFont="1" applyBorder="1" applyAlignment="1">
      <alignment horizontal="right" wrapText="1"/>
    </xf>
    <xf numFmtId="0" fontId="16" fillId="0" borderId="0" xfId="0" applyFont="1" applyAlignment="1">
      <alignment wrapText="1"/>
    </xf>
    <xf numFmtId="0" fontId="16" fillId="2" borderId="6" xfId="0" applyFont="1" applyFill="1" applyBorder="1" applyAlignment="1">
      <alignment horizontal="center"/>
    </xf>
    <xf numFmtId="0" fontId="16" fillId="0" borderId="25" xfId="0" applyFont="1" applyBorder="1"/>
    <xf numFmtId="0" fontId="16" fillId="0" borderId="2" xfId="0" applyFont="1" applyBorder="1" applyAlignment="1">
      <alignment horizontal="center" wrapText="1"/>
    </xf>
    <xf numFmtId="0" fontId="16" fillId="0" borderId="26" xfId="0" applyFont="1" applyBorder="1" applyAlignment="1">
      <alignment horizontal="center" wrapText="1"/>
    </xf>
    <xf numFmtId="0" fontId="16" fillId="8" borderId="0" xfId="0" applyFont="1" applyFill="1" applyAlignment="1">
      <alignment horizontal="right" wrapText="1"/>
    </xf>
    <xf numFmtId="0" fontId="16" fillId="8" borderId="0" xfId="0" applyFont="1" applyFill="1" applyAlignment="1">
      <alignment horizontal="right"/>
    </xf>
    <xf numFmtId="0" fontId="16" fillId="0" borderId="0" xfId="0" applyFont="1" applyAlignment="1">
      <alignment horizontal="right" wrapText="1"/>
    </xf>
    <xf numFmtId="167" fontId="16" fillId="0" borderId="10" xfId="0" applyNumberFormat="1" applyFont="1" applyBorder="1" applyAlignment="1">
      <alignment horizontal="center"/>
    </xf>
    <xf numFmtId="0" fontId="16" fillId="0" borderId="0" xfId="0" applyFont="1" applyAlignment="1">
      <alignment horizontal="center" wrapText="1"/>
    </xf>
    <xf numFmtId="0" fontId="16" fillId="11" borderId="6" xfId="0" applyFont="1" applyFill="1" applyBorder="1" applyAlignment="1">
      <alignment horizontal="center" textRotation="90"/>
    </xf>
    <xf numFmtId="0" fontId="16" fillId="16" borderId="6" xfId="0" applyFont="1" applyFill="1" applyBorder="1" applyAlignment="1">
      <alignment textRotation="90"/>
    </xf>
    <xf numFmtId="0" fontId="16" fillId="0" borderId="10" xfId="0" applyFont="1" applyBorder="1" applyAlignment="1">
      <alignment horizontal="right"/>
    </xf>
    <xf numFmtId="0" fontId="16" fillId="0" borderId="10" xfId="0" applyFont="1" applyBorder="1" applyAlignment="1">
      <alignment horizontal="right" wrapText="1"/>
    </xf>
    <xf numFmtId="0" fontId="16" fillId="0" borderId="10" xfId="0" applyFont="1" applyBorder="1"/>
    <xf numFmtId="0" fontId="16" fillId="2" borderId="6" xfId="0" applyFont="1" applyFill="1" applyBorder="1" applyAlignment="1">
      <alignment horizontal="right" wrapText="1"/>
    </xf>
    <xf numFmtId="0" fontId="16" fillId="2" borderId="6" xfId="0" applyFont="1" applyFill="1" applyBorder="1" applyAlignment="1">
      <alignment horizontal="right"/>
    </xf>
    <xf numFmtId="0" fontId="16" fillId="13" borderId="6" xfId="0" applyFont="1" applyFill="1" applyBorder="1" applyAlignment="1">
      <alignment horizontal="right" wrapText="1"/>
    </xf>
    <xf numFmtId="0" fontId="16" fillId="12" borderId="6" xfId="0" applyFont="1" applyFill="1" applyBorder="1" applyAlignment="1">
      <alignment horizontal="center" wrapText="1"/>
    </xf>
    <xf numFmtId="0" fontId="16" fillId="5" borderId="6" xfId="0" applyFont="1" applyFill="1" applyBorder="1" applyAlignment="1">
      <alignment horizontal="right" wrapText="1"/>
    </xf>
    <xf numFmtId="0" fontId="16" fillId="17" borderId="6" xfId="0" applyFont="1" applyFill="1" applyBorder="1" applyAlignment="1">
      <alignment horizontal="right" wrapText="1"/>
    </xf>
    <xf numFmtId="0" fontId="16" fillId="11" borderId="9" xfId="0" applyFont="1" applyFill="1" applyBorder="1" applyAlignment="1">
      <alignment horizontal="right" wrapText="1"/>
    </xf>
    <xf numFmtId="0" fontId="16" fillId="0" borderId="6" xfId="0" applyFont="1" applyBorder="1" applyAlignment="1">
      <alignment horizontal="right"/>
    </xf>
    <xf numFmtId="0" fontId="16" fillId="0" borderId="6" xfId="0" applyFont="1" applyBorder="1" applyAlignment="1">
      <alignment horizontal="right" wrapText="1"/>
    </xf>
    <xf numFmtId="0" fontId="16" fillId="12" borderId="6" xfId="0" applyFont="1" applyFill="1" applyBorder="1" applyAlignment="1">
      <alignment horizontal="right" wrapText="1"/>
    </xf>
    <xf numFmtId="0" fontId="16" fillId="10" borderId="6" xfId="0" applyFont="1" applyFill="1" applyBorder="1" applyAlignment="1">
      <alignment horizontal="right" wrapText="1"/>
    </xf>
    <xf numFmtId="0" fontId="17" fillId="0" borderId="0" xfId="0" applyFont="1" applyAlignment="1">
      <alignment horizontal="right"/>
    </xf>
    <xf numFmtId="0" fontId="16" fillId="0" borderId="27" xfId="0" applyFont="1" applyBorder="1"/>
    <xf numFmtId="0" fontId="16" fillId="0" borderId="28" xfId="0" applyFont="1" applyBorder="1"/>
    <xf numFmtId="0" fontId="16" fillId="8" borderId="0" xfId="0" applyFont="1" applyFill="1"/>
    <xf numFmtId="0" fontId="16" fillId="11" borderId="6" xfId="0" applyFont="1" applyFill="1" applyBorder="1" applyAlignment="1">
      <alignment horizontal="center"/>
    </xf>
    <xf numFmtId="0" fontId="16" fillId="16" borderId="6" xfId="0" applyFont="1" applyFill="1" applyBorder="1"/>
    <xf numFmtId="0" fontId="16" fillId="2" borderId="0" xfId="0" applyFont="1" applyFill="1"/>
    <xf numFmtId="0" fontId="16" fillId="13" borderId="0" xfId="0" applyFont="1" applyFill="1"/>
    <xf numFmtId="0" fontId="16" fillId="12" borderId="0" xfId="0" applyFont="1" applyFill="1" applyAlignment="1">
      <alignment horizontal="center"/>
    </xf>
    <xf numFmtId="0" fontId="16" fillId="5" borderId="0" xfId="0" applyFont="1" applyFill="1"/>
    <xf numFmtId="0" fontId="16" fillId="17" borderId="0" xfId="0" applyFont="1" applyFill="1"/>
    <xf numFmtId="0" fontId="16" fillId="11" borderId="0" xfId="0" applyFont="1" applyFill="1"/>
    <xf numFmtId="0" fontId="16" fillId="0" borderId="27" xfId="0" applyFont="1" applyBorder="1" applyAlignment="1">
      <alignment horizontal="left"/>
    </xf>
    <xf numFmtId="3" fontId="25" fillId="0" borderId="0" xfId="0" applyNumberFormat="1" applyFont="1" applyAlignment="1">
      <alignment horizontal="right"/>
    </xf>
    <xf numFmtId="3" fontId="25" fillId="9" borderId="0" xfId="0" applyNumberFormat="1" applyFont="1" applyFill="1" applyAlignment="1">
      <alignment horizontal="right"/>
    </xf>
    <xf numFmtId="3" fontId="16" fillId="0" borderId="0" xfId="0" applyNumberFormat="1" applyFont="1" applyAlignment="1">
      <alignment horizontal="right"/>
    </xf>
    <xf numFmtId="9" fontId="16" fillId="0" borderId="0" xfId="2" applyFont="1" applyBorder="1" applyAlignment="1">
      <alignment horizontal="right"/>
    </xf>
    <xf numFmtId="3" fontId="17" fillId="18" borderId="28" xfId="0" applyNumberFormat="1" applyFont="1" applyFill="1" applyBorder="1"/>
    <xf numFmtId="3" fontId="16" fillId="0" borderId="0" xfId="0" applyNumberFormat="1" applyFont="1"/>
    <xf numFmtId="17" fontId="16" fillId="2" borderId="6" xfId="0" quotePrefix="1" applyNumberFormat="1" applyFont="1" applyFill="1" applyBorder="1" applyAlignment="1">
      <alignment horizontal="center"/>
    </xf>
    <xf numFmtId="3" fontId="16" fillId="0" borderId="0" xfId="0" applyNumberFormat="1" applyFont="1" applyAlignment="1">
      <alignment horizontal="center"/>
    </xf>
    <xf numFmtId="166" fontId="16" fillId="0" borderId="0" xfId="0" applyNumberFormat="1" applyFont="1" applyAlignment="1">
      <alignment horizontal="center"/>
    </xf>
    <xf numFmtId="3" fontId="16" fillId="0" borderId="28" xfId="0" applyNumberFormat="1" applyFont="1" applyBorder="1" applyAlignment="1">
      <alignment horizontal="center"/>
    </xf>
    <xf numFmtId="2" fontId="16" fillId="0" borderId="6" xfId="0" applyNumberFormat="1" applyFont="1" applyBorder="1" applyAlignment="1">
      <alignment horizontal="center"/>
    </xf>
    <xf numFmtId="167" fontId="16" fillId="0" borderId="6" xfId="0" applyNumberFormat="1" applyFont="1" applyBorder="1"/>
    <xf numFmtId="0" fontId="16" fillId="0" borderId="6" xfId="0" applyFont="1" applyBorder="1" applyAlignment="1">
      <alignment horizontal="left"/>
    </xf>
    <xf numFmtId="3" fontId="17" fillId="18" borderId="0" xfId="0" applyNumberFormat="1" applyFont="1" applyFill="1"/>
    <xf numFmtId="0" fontId="16" fillId="0" borderId="28" xfId="0" applyFont="1" applyBorder="1" applyAlignment="1">
      <alignment horizontal="center"/>
    </xf>
    <xf numFmtId="1" fontId="16" fillId="0" borderId="0" xfId="0" applyNumberFormat="1" applyFont="1"/>
    <xf numFmtId="3" fontId="16" fillId="8" borderId="0" xfId="0" applyNumberFormat="1" applyFont="1" applyFill="1"/>
    <xf numFmtId="9" fontId="1" fillId="8" borderId="0" xfId="2" applyFont="1" applyFill="1" applyBorder="1" applyAlignment="1">
      <alignment horizontal="center"/>
    </xf>
    <xf numFmtId="3" fontId="1" fillId="4" borderId="11" xfId="2" applyNumberFormat="1" applyFont="1" applyFill="1" applyBorder="1" applyAlignment="1">
      <alignment horizontal="center"/>
    </xf>
    <xf numFmtId="0" fontId="16" fillId="0" borderId="0" xfId="0" applyFont="1" applyAlignment="1">
      <alignment horizontal="left"/>
    </xf>
    <xf numFmtId="0" fontId="16" fillId="14" borderId="27" xfId="0" applyFont="1" applyFill="1" applyBorder="1" applyAlignment="1">
      <alignment horizontal="left"/>
    </xf>
    <xf numFmtId="3" fontId="25" fillId="14" borderId="0" xfId="0" applyNumberFormat="1" applyFont="1" applyFill="1" applyAlignment="1">
      <alignment horizontal="right"/>
    </xf>
    <xf numFmtId="3" fontId="16" fillId="18" borderId="28" xfId="0" applyNumberFormat="1" applyFont="1" applyFill="1" applyBorder="1"/>
    <xf numFmtId="165" fontId="16" fillId="0" borderId="0" xfId="2" applyNumberFormat="1" applyFont="1" applyFill="1" applyBorder="1" applyAlignment="1">
      <alignment horizontal="center"/>
    </xf>
    <xf numFmtId="1" fontId="16" fillId="0" borderId="0" xfId="2" applyNumberFormat="1" applyFont="1" applyFill="1" applyBorder="1" applyAlignment="1">
      <alignment horizontal="center"/>
    </xf>
    <xf numFmtId="2" fontId="16" fillId="0" borderId="0" xfId="2" applyNumberFormat="1" applyFont="1" applyFill="1" applyBorder="1" applyAlignment="1">
      <alignment horizontal="center"/>
    </xf>
    <xf numFmtId="1" fontId="16" fillId="2" borderId="28" xfId="2" applyNumberFormat="1" applyFont="1" applyFill="1" applyBorder="1" applyAlignment="1">
      <alignment horizontal="center"/>
    </xf>
    <xf numFmtId="1" fontId="28" fillId="0" borderId="11" xfId="2" applyNumberFormat="1" applyFont="1" applyBorder="1" applyAlignment="1">
      <alignment horizontal="center"/>
    </xf>
    <xf numFmtId="1" fontId="28" fillId="0" borderId="6" xfId="2" applyNumberFormat="1" applyFont="1" applyBorder="1" applyAlignment="1">
      <alignment horizontal="center"/>
    </xf>
    <xf numFmtId="3" fontId="1" fillId="8" borderId="0" xfId="3" applyNumberFormat="1" applyFill="1" applyAlignment="1">
      <alignment horizontal="right"/>
    </xf>
    <xf numFmtId="1" fontId="16" fillId="8" borderId="6" xfId="0" applyNumberFormat="1" applyFont="1" applyFill="1" applyBorder="1" applyAlignment="1">
      <alignment horizontal="center"/>
    </xf>
    <xf numFmtId="171" fontId="16" fillId="16" borderId="6" xfId="0" applyNumberFormat="1" applyFont="1" applyFill="1" applyBorder="1"/>
    <xf numFmtId="0" fontId="16" fillId="8" borderId="6" xfId="0" applyFont="1" applyFill="1" applyBorder="1" applyAlignment="1">
      <alignment horizontal="right"/>
    </xf>
    <xf numFmtId="0" fontId="16" fillId="8" borderId="6" xfId="0" applyFont="1" applyFill="1" applyBorder="1"/>
    <xf numFmtId="1" fontId="16" fillId="8" borderId="6" xfId="0" applyNumberFormat="1" applyFont="1" applyFill="1" applyBorder="1"/>
    <xf numFmtId="0" fontId="16" fillId="8" borderId="6" xfId="0" applyFont="1" applyFill="1" applyBorder="1" applyAlignment="1">
      <alignment horizontal="left"/>
    </xf>
    <xf numFmtId="9" fontId="16" fillId="2" borderId="6" xfId="2" applyFont="1" applyFill="1" applyBorder="1"/>
    <xf numFmtId="9" fontId="16" fillId="2" borderId="6" xfId="0" applyNumberFormat="1" applyFont="1" applyFill="1" applyBorder="1"/>
    <xf numFmtId="3" fontId="16" fillId="13" borderId="6" xfId="0" applyNumberFormat="1" applyFont="1" applyFill="1" applyBorder="1"/>
    <xf numFmtId="3" fontId="16" fillId="12" borderId="6" xfId="0" applyNumberFormat="1" applyFont="1" applyFill="1" applyBorder="1" applyAlignment="1">
      <alignment horizontal="center"/>
    </xf>
    <xf numFmtId="3" fontId="16" fillId="5" borderId="6" xfId="0" applyNumberFormat="1" applyFont="1" applyFill="1" applyBorder="1"/>
    <xf numFmtId="3" fontId="17" fillId="17" borderId="6" xfId="0" applyNumberFormat="1" applyFont="1" applyFill="1" applyBorder="1"/>
    <xf numFmtId="3" fontId="29" fillId="11" borderId="9" xfId="0" applyNumberFormat="1" applyFont="1" applyFill="1" applyBorder="1"/>
    <xf numFmtId="170" fontId="16" fillId="0" borderId="6" xfId="0" applyNumberFormat="1" applyFont="1" applyBorder="1" applyAlignment="1">
      <alignment horizontal="right"/>
    </xf>
    <xf numFmtId="170" fontId="16" fillId="8" borderId="6" xfId="0" applyNumberFormat="1" applyFont="1" applyFill="1" applyBorder="1" applyAlignment="1">
      <alignment horizontal="right"/>
    </xf>
    <xf numFmtId="170" fontId="16" fillId="0" borderId="0" xfId="0" applyNumberFormat="1" applyFont="1" applyAlignment="1">
      <alignment horizontal="right"/>
    </xf>
    <xf numFmtId="165" fontId="16" fillId="0" borderId="6" xfId="2" applyNumberFormat="1" applyFont="1" applyBorder="1"/>
    <xf numFmtId="165" fontId="16" fillId="8" borderId="6" xfId="2" applyNumberFormat="1" applyFont="1" applyFill="1" applyBorder="1"/>
    <xf numFmtId="165" fontId="16" fillId="0" borderId="0" xfId="0" applyNumberFormat="1" applyFont="1"/>
    <xf numFmtId="9" fontId="16" fillId="0" borderId="6" xfId="0" applyNumberFormat="1" applyFont="1" applyBorder="1"/>
    <xf numFmtId="1" fontId="17" fillId="8" borderId="6" xfId="0" applyNumberFormat="1" applyFont="1" applyFill="1" applyBorder="1"/>
    <xf numFmtId="165" fontId="17" fillId="8" borderId="6" xfId="2" applyNumberFormat="1" applyFont="1" applyFill="1" applyBorder="1"/>
    <xf numFmtId="1" fontId="16" fillId="0" borderId="6" xfId="0" applyNumberFormat="1" applyFont="1" applyBorder="1"/>
    <xf numFmtId="3" fontId="30" fillId="14" borderId="0" xfId="0" applyNumberFormat="1" applyFont="1" applyFill="1" applyAlignment="1">
      <alignment horizontal="right"/>
    </xf>
    <xf numFmtId="3" fontId="16" fillId="0" borderId="6" xfId="0" applyNumberFormat="1" applyFont="1" applyBorder="1"/>
    <xf numFmtId="9" fontId="16" fillId="0" borderId="6" xfId="2" applyFont="1" applyBorder="1"/>
    <xf numFmtId="38" fontId="17" fillId="3" borderId="6" xfId="1" applyNumberFormat="1" applyFont="1" applyFill="1" applyBorder="1"/>
    <xf numFmtId="38" fontId="17" fillId="15" borderId="6" xfId="1" applyNumberFormat="1" applyFont="1" applyFill="1" applyBorder="1"/>
    <xf numFmtId="1" fontId="16" fillId="13" borderId="6" xfId="0" applyNumberFormat="1" applyFont="1" applyFill="1" applyBorder="1" applyAlignment="1">
      <alignment horizontal="center"/>
    </xf>
    <xf numFmtId="170" fontId="16" fillId="0" borderId="6" xfId="0" applyNumberFormat="1" applyFont="1" applyBorder="1"/>
    <xf numFmtId="0" fontId="16" fillId="13" borderId="6" xfId="0" applyFont="1" applyFill="1" applyBorder="1" applyAlignment="1">
      <alignment horizontal="left"/>
    </xf>
    <xf numFmtId="170" fontId="16" fillId="2" borderId="6" xfId="0" applyNumberFormat="1" applyFont="1" applyFill="1" applyBorder="1" applyAlignment="1">
      <alignment horizontal="right"/>
    </xf>
    <xf numFmtId="170" fontId="16" fillId="11" borderId="6" xfId="0" applyNumberFormat="1" applyFont="1" applyFill="1" applyBorder="1" applyAlignment="1">
      <alignment horizontal="right"/>
    </xf>
    <xf numFmtId="170" fontId="16" fillId="12" borderId="6" xfId="0" applyNumberFormat="1" applyFont="1" applyFill="1" applyBorder="1" applyAlignment="1">
      <alignment horizontal="right"/>
    </xf>
    <xf numFmtId="170" fontId="16" fillId="17" borderId="6" xfId="0" applyNumberFormat="1" applyFont="1" applyFill="1" applyBorder="1" applyAlignment="1">
      <alignment horizontal="right"/>
    </xf>
    <xf numFmtId="1" fontId="16" fillId="0" borderId="9" xfId="0" applyNumberFormat="1" applyFont="1" applyBorder="1" applyAlignment="1">
      <alignment horizontal="right"/>
    </xf>
    <xf numFmtId="3" fontId="16" fillId="11" borderId="6" xfId="0" applyNumberFormat="1" applyFont="1" applyFill="1" applyBorder="1"/>
    <xf numFmtId="3" fontId="16" fillId="12" borderId="6" xfId="0" applyNumberFormat="1" applyFont="1" applyFill="1" applyBorder="1"/>
    <xf numFmtId="3" fontId="16" fillId="17" borderId="6" xfId="0" applyNumberFormat="1" applyFont="1" applyFill="1" applyBorder="1"/>
    <xf numFmtId="3" fontId="30" fillId="8" borderId="0" xfId="0" applyNumberFormat="1" applyFont="1" applyFill="1" applyAlignment="1">
      <alignment horizontal="right"/>
    </xf>
    <xf numFmtId="0" fontId="16" fillId="8" borderId="27" xfId="0" applyFont="1" applyFill="1" applyBorder="1" applyAlignment="1">
      <alignment horizontal="left"/>
    </xf>
    <xf numFmtId="165" fontId="16" fillId="11" borderId="0" xfId="2" applyNumberFormat="1" applyFont="1" applyFill="1" applyBorder="1" applyAlignment="1">
      <alignment horizontal="center"/>
    </xf>
    <xf numFmtId="3" fontId="16" fillId="18" borderId="6" xfId="0" applyNumberFormat="1" applyFont="1" applyFill="1" applyBorder="1" applyAlignment="1">
      <alignment horizontal="right"/>
    </xf>
    <xf numFmtId="9" fontId="16" fillId="18" borderId="6" xfId="2" applyFont="1" applyFill="1" applyBorder="1"/>
    <xf numFmtId="2" fontId="16" fillId="18" borderId="6" xfId="0" applyNumberFormat="1" applyFont="1" applyFill="1" applyBorder="1" applyAlignment="1">
      <alignment horizontal="center"/>
    </xf>
    <xf numFmtId="3" fontId="16" fillId="15" borderId="6" xfId="0" applyNumberFormat="1" applyFont="1" applyFill="1" applyBorder="1" applyAlignment="1">
      <alignment horizontal="center"/>
    </xf>
    <xf numFmtId="167" fontId="17" fillId="19" borderId="6" xfId="0" applyNumberFormat="1" applyFont="1" applyFill="1" applyBorder="1"/>
    <xf numFmtId="1" fontId="16" fillId="18" borderId="0" xfId="0" applyNumberFormat="1" applyFont="1" applyFill="1"/>
    <xf numFmtId="1" fontId="16" fillId="0" borderId="6" xfId="0" applyNumberFormat="1" applyFont="1" applyBorder="1" applyAlignment="1">
      <alignment horizontal="right"/>
    </xf>
    <xf numFmtId="3" fontId="17" fillId="11" borderId="9" xfId="0" applyNumberFormat="1" applyFont="1" applyFill="1" applyBorder="1"/>
    <xf numFmtId="38" fontId="16" fillId="0" borderId="6" xfId="1" applyNumberFormat="1" applyFont="1" applyBorder="1"/>
    <xf numFmtId="2" fontId="16" fillId="8" borderId="0" xfId="2" applyNumberFormat="1" applyFont="1" applyFill="1" applyBorder="1" applyAlignment="1">
      <alignment horizontal="center"/>
    </xf>
    <xf numFmtId="2" fontId="16" fillId="0" borderId="6" xfId="0" applyNumberFormat="1" applyFont="1" applyBorder="1"/>
    <xf numFmtId="3" fontId="16" fillId="8" borderId="6" xfId="0" applyNumberFormat="1" applyFont="1" applyFill="1" applyBorder="1"/>
    <xf numFmtId="38" fontId="16" fillId="0" borderId="0" xfId="1" applyNumberFormat="1" applyFont="1"/>
    <xf numFmtId="169" fontId="16" fillId="0" borderId="6" xfId="0" applyNumberFormat="1" applyFont="1" applyBorder="1"/>
    <xf numFmtId="3" fontId="16" fillId="0" borderId="6" xfId="0" quotePrefix="1" applyNumberFormat="1" applyFont="1" applyBorder="1" applyAlignment="1">
      <alignment horizontal="right"/>
    </xf>
    <xf numFmtId="3" fontId="31" fillId="14" borderId="0" xfId="0" applyNumberFormat="1" applyFont="1" applyFill="1" applyAlignment="1">
      <alignment horizontal="right"/>
    </xf>
    <xf numFmtId="3" fontId="31" fillId="20" borderId="0" xfId="0" applyNumberFormat="1" applyFont="1" applyFill="1" applyAlignment="1">
      <alignment horizontal="right"/>
    </xf>
    <xf numFmtId="3" fontId="31" fillId="9" borderId="0" xfId="0" applyNumberFormat="1" applyFont="1" applyFill="1" applyAlignment="1">
      <alignment horizontal="right"/>
    </xf>
    <xf numFmtId="3" fontId="16" fillId="12" borderId="6" xfId="0" applyNumberFormat="1" applyFont="1" applyFill="1" applyBorder="1" applyAlignment="1">
      <alignment horizontal="right"/>
    </xf>
    <xf numFmtId="3" fontId="16" fillId="3" borderId="6" xfId="0" applyNumberFormat="1" applyFont="1" applyFill="1" applyBorder="1"/>
    <xf numFmtId="1" fontId="16" fillId="0" borderId="23" xfId="0" applyNumberFormat="1" applyFont="1" applyBorder="1" applyAlignment="1">
      <alignment horizontal="right"/>
    </xf>
    <xf numFmtId="3" fontId="16" fillId="11" borderId="7" xfId="0" applyNumberFormat="1" applyFont="1" applyFill="1" applyBorder="1"/>
    <xf numFmtId="3" fontId="16" fillId="12" borderId="7" xfId="0" applyNumberFormat="1" applyFont="1" applyFill="1" applyBorder="1"/>
    <xf numFmtId="3" fontId="16" fillId="17" borderId="7" xfId="0" applyNumberFormat="1" applyFont="1" applyFill="1" applyBorder="1"/>
    <xf numFmtId="3" fontId="16" fillId="0" borderId="7" xfId="0" applyNumberFormat="1" applyFont="1" applyBorder="1"/>
    <xf numFmtId="0" fontId="16" fillId="21" borderId="27" xfId="0" applyFont="1" applyFill="1" applyBorder="1" applyAlignment="1">
      <alignment horizontal="left"/>
    </xf>
    <xf numFmtId="3" fontId="25" fillId="21" borderId="0" xfId="0" applyNumberFormat="1" applyFont="1" applyFill="1" applyAlignment="1">
      <alignment horizontal="right"/>
    </xf>
    <xf numFmtId="1" fontId="16" fillId="12" borderId="6" xfId="0" applyNumberFormat="1" applyFont="1" applyFill="1" applyBorder="1"/>
    <xf numFmtId="165" fontId="17" fillId="8" borderId="0" xfId="2" applyNumberFormat="1" applyFont="1" applyFill="1" applyBorder="1" applyAlignment="1">
      <alignment horizontal="center"/>
    </xf>
    <xf numFmtId="1" fontId="16" fillId="3" borderId="6" xfId="0" applyNumberFormat="1" applyFont="1" applyFill="1" applyBorder="1"/>
    <xf numFmtId="0" fontId="16" fillId="21" borderId="25" xfId="0" applyFont="1" applyFill="1" applyBorder="1" applyAlignment="1">
      <alignment horizontal="left"/>
    </xf>
    <xf numFmtId="3" fontId="25" fillId="21" borderId="2" xfId="0" applyNumberFormat="1" applyFont="1" applyFill="1" applyBorder="1" applyAlignment="1">
      <alignment horizontal="right"/>
    </xf>
    <xf numFmtId="3" fontId="16" fillId="0" borderId="2" xfId="0" applyNumberFormat="1" applyFont="1" applyBorder="1" applyAlignment="1">
      <alignment horizontal="right"/>
    </xf>
    <xf numFmtId="9" fontId="16" fillId="0" borderId="2" xfId="2" applyFont="1" applyBorder="1" applyAlignment="1">
      <alignment horizontal="right"/>
    </xf>
    <xf numFmtId="3" fontId="16" fillId="18" borderId="26" xfId="0" applyNumberFormat="1" applyFont="1" applyFill="1" applyBorder="1"/>
    <xf numFmtId="0" fontId="16" fillId="0" borderId="25" xfId="0" applyFont="1" applyBorder="1" applyAlignment="1">
      <alignment horizontal="left"/>
    </xf>
    <xf numFmtId="0" fontId="16" fillId="0" borderId="2" xfId="0" applyFont="1" applyBorder="1" applyAlignment="1">
      <alignment horizontal="center"/>
    </xf>
    <xf numFmtId="3" fontId="16" fillId="0" borderId="2" xfId="0" applyNumberFormat="1" applyFont="1" applyBorder="1" applyAlignment="1">
      <alignment horizontal="center"/>
    </xf>
    <xf numFmtId="165" fontId="16" fillId="0" borderId="2" xfId="2" applyNumberFormat="1" applyFont="1" applyFill="1" applyBorder="1" applyAlignment="1">
      <alignment horizontal="center"/>
    </xf>
    <xf numFmtId="1" fontId="16" fillId="0" borderId="2" xfId="2" applyNumberFormat="1" applyFont="1" applyFill="1" applyBorder="1" applyAlignment="1">
      <alignment horizontal="center"/>
    </xf>
    <xf numFmtId="2" fontId="16" fillId="0" borderId="2" xfId="2" applyNumberFormat="1" applyFont="1" applyFill="1" applyBorder="1" applyAlignment="1">
      <alignment horizontal="center"/>
    </xf>
    <xf numFmtId="1" fontId="16" fillId="2" borderId="26" xfId="2" applyNumberFormat="1" applyFont="1" applyFill="1" applyBorder="1" applyAlignment="1">
      <alignment horizontal="center"/>
    </xf>
    <xf numFmtId="0" fontId="17" fillId="0" borderId="27" xfId="0" applyFont="1" applyBorder="1" applyAlignment="1">
      <alignment horizontal="left"/>
    </xf>
    <xf numFmtId="3" fontId="17" fillId="0" borderId="0" xfId="0" applyNumberFormat="1" applyFont="1" applyAlignment="1">
      <alignment horizontal="right"/>
    </xf>
    <xf numFmtId="3" fontId="17" fillId="0" borderId="28" xfId="0" applyNumberFormat="1" applyFont="1" applyBorder="1"/>
    <xf numFmtId="1" fontId="16" fillId="0" borderId="0" xfId="2" applyNumberFormat="1" applyFont="1" applyBorder="1" applyAlignment="1">
      <alignment horizontal="center"/>
    </xf>
    <xf numFmtId="9" fontId="16" fillId="8" borderId="0" xfId="2" applyFont="1" applyFill="1" applyBorder="1" applyAlignment="1">
      <alignment horizontal="center"/>
    </xf>
    <xf numFmtId="38" fontId="16" fillId="0" borderId="0" xfId="1" applyNumberFormat="1" applyFont="1" applyBorder="1"/>
    <xf numFmtId="169" fontId="16" fillId="0" borderId="10" xfId="0" applyNumberFormat="1" applyFont="1" applyBorder="1"/>
    <xf numFmtId="165" fontId="16" fillId="0" borderId="0" xfId="2" applyNumberFormat="1" applyFont="1" applyBorder="1"/>
    <xf numFmtId="9" fontId="16" fillId="0" borderId="0" xfId="0" applyNumberFormat="1" applyFont="1"/>
    <xf numFmtId="1" fontId="17" fillId="8" borderId="0" xfId="0" applyNumberFormat="1" applyFont="1" applyFill="1"/>
    <xf numFmtId="165" fontId="17" fillId="8" borderId="0" xfId="2" applyNumberFormat="1" applyFont="1" applyFill="1" applyBorder="1"/>
    <xf numFmtId="0" fontId="16" fillId="0" borderId="27" xfId="0" applyFont="1" applyBorder="1" applyAlignment="1">
      <alignment horizontal="right"/>
    </xf>
    <xf numFmtId="165" fontId="16" fillId="11" borderId="19" xfId="2" applyNumberFormat="1" applyFont="1" applyFill="1" applyBorder="1" applyAlignment="1">
      <alignment horizontal="center"/>
    </xf>
    <xf numFmtId="1" fontId="28" fillId="0" borderId="0" xfId="2" applyNumberFormat="1" applyFont="1" applyFill="1" applyBorder="1" applyAlignment="1">
      <alignment horizontal="center"/>
    </xf>
    <xf numFmtId="0" fontId="16" fillId="0" borderId="25" xfId="0" applyFont="1" applyBorder="1" applyAlignment="1">
      <alignment horizontal="right" wrapText="1"/>
    </xf>
    <xf numFmtId="165" fontId="16" fillId="0" borderId="2" xfId="2" applyNumberFormat="1" applyFont="1" applyBorder="1" applyAlignment="1">
      <alignment vertical="center"/>
    </xf>
    <xf numFmtId="0" fontId="16" fillId="0" borderId="2" xfId="0" applyFont="1" applyBorder="1"/>
    <xf numFmtId="0" fontId="16" fillId="0" borderId="26" xfId="0" applyFont="1" applyBorder="1"/>
    <xf numFmtId="165" fontId="16" fillId="8" borderId="19" xfId="2" applyNumberFormat="1" applyFont="1" applyFill="1" applyBorder="1" applyAlignment="1">
      <alignment horizontal="center"/>
    </xf>
    <xf numFmtId="169" fontId="16" fillId="2" borderId="10" xfId="0" applyNumberFormat="1" applyFont="1" applyFill="1" applyBorder="1" applyAlignment="1">
      <alignment horizontal="right"/>
    </xf>
    <xf numFmtId="0" fontId="16" fillId="2" borderId="29" xfId="0" applyFont="1" applyFill="1" applyBorder="1" applyAlignment="1">
      <alignment horizontal="right"/>
    </xf>
    <xf numFmtId="38" fontId="16" fillId="11" borderId="30" xfId="1" applyNumberFormat="1" applyFont="1" applyFill="1" applyBorder="1" applyAlignment="1">
      <alignment horizontal="right"/>
    </xf>
    <xf numFmtId="38" fontId="16" fillId="12" borderId="30" xfId="1" applyNumberFormat="1" applyFont="1" applyFill="1" applyBorder="1" applyAlignment="1">
      <alignment horizontal="right"/>
    </xf>
    <xf numFmtId="38" fontId="16" fillId="17" borderId="30" xfId="1" applyNumberFormat="1" applyFont="1" applyFill="1" applyBorder="1" applyAlignment="1">
      <alignment horizontal="right"/>
    </xf>
    <xf numFmtId="38" fontId="16" fillId="2" borderId="30" xfId="1" applyNumberFormat="1" applyFont="1" applyFill="1" applyBorder="1" applyAlignment="1">
      <alignment horizontal="right"/>
    </xf>
    <xf numFmtId="38" fontId="16" fillId="2" borderId="31" xfId="1" applyNumberFormat="1" applyFont="1" applyFill="1" applyBorder="1" applyAlignment="1">
      <alignment horizontal="right"/>
    </xf>
    <xf numFmtId="9" fontId="16" fillId="2" borderId="11" xfId="2" applyFont="1" applyFill="1" applyBorder="1" applyAlignment="1">
      <alignment horizontal="right"/>
    </xf>
    <xf numFmtId="9" fontId="16" fillId="2" borderId="6" xfId="2" applyFont="1" applyFill="1" applyBorder="1" applyAlignment="1">
      <alignment horizontal="right"/>
    </xf>
    <xf numFmtId="0" fontId="16" fillId="2" borderId="32" xfId="0" applyFont="1" applyFill="1" applyBorder="1" applyAlignment="1">
      <alignment horizontal="right"/>
    </xf>
    <xf numFmtId="38" fontId="16" fillId="11" borderId="10" xfId="1" applyNumberFormat="1" applyFont="1" applyFill="1" applyBorder="1" applyAlignment="1">
      <alignment horizontal="right"/>
    </xf>
    <xf numFmtId="38" fontId="16" fillId="12" borderId="10" xfId="1" applyNumberFormat="1" applyFont="1" applyFill="1" applyBorder="1" applyAlignment="1">
      <alignment horizontal="right"/>
    </xf>
    <xf numFmtId="38" fontId="16" fillId="17" borderId="10" xfId="1" applyNumberFormat="1" applyFont="1" applyFill="1" applyBorder="1" applyAlignment="1">
      <alignment horizontal="right"/>
    </xf>
    <xf numFmtId="38" fontId="16" fillId="2" borderId="10" xfId="1" applyNumberFormat="1" applyFont="1" applyFill="1" applyBorder="1" applyAlignment="1">
      <alignment horizontal="right"/>
    </xf>
    <xf numFmtId="38" fontId="16" fillId="2" borderId="33" xfId="1" applyNumberFormat="1" applyFont="1" applyFill="1" applyBorder="1" applyAlignment="1">
      <alignment horizontal="right"/>
    </xf>
    <xf numFmtId="1" fontId="16" fillId="0" borderId="0" xfId="2" applyNumberFormat="1" applyFont="1"/>
    <xf numFmtId="172" fontId="16" fillId="0" borderId="0" xfId="2" applyNumberFormat="1" applyFont="1"/>
    <xf numFmtId="1" fontId="16" fillId="0" borderId="0" xfId="0" applyNumberFormat="1" applyFont="1" applyAlignment="1">
      <alignment horizontal="center"/>
    </xf>
    <xf numFmtId="3" fontId="16" fillId="0" borderId="5" xfId="0" applyNumberFormat="1" applyFont="1" applyBorder="1"/>
    <xf numFmtId="0" fontId="16" fillId="0" borderId="5" xfId="0" applyFont="1" applyBorder="1"/>
    <xf numFmtId="2" fontId="16" fillId="0" borderId="5" xfId="0" applyNumberFormat="1" applyFont="1" applyBorder="1" applyAlignment="1">
      <alignment horizontal="center"/>
    </xf>
    <xf numFmtId="1" fontId="16" fillId="0" borderId="6" xfId="0" applyNumberFormat="1" applyFont="1" applyBorder="1" applyAlignment="1">
      <alignment horizontal="center"/>
    </xf>
    <xf numFmtId="3" fontId="17" fillId="11" borderId="6" xfId="0" applyNumberFormat="1" applyFont="1" applyFill="1" applyBorder="1"/>
    <xf numFmtId="169" fontId="16" fillId="2" borderId="6" xfId="0" applyNumberFormat="1" applyFont="1" applyFill="1" applyBorder="1" applyAlignment="1">
      <alignment horizontal="right"/>
    </xf>
    <xf numFmtId="0" fontId="16" fillId="2" borderId="34" xfId="0" applyFont="1" applyFill="1" applyBorder="1" applyAlignment="1">
      <alignment horizontal="right"/>
    </xf>
    <xf numFmtId="38" fontId="16" fillId="11" borderId="6" xfId="1" applyNumberFormat="1" applyFont="1" applyFill="1" applyBorder="1" applyAlignment="1">
      <alignment horizontal="right"/>
    </xf>
    <xf numFmtId="38" fontId="16" fillId="12" borderId="6" xfId="1" applyNumberFormat="1" applyFont="1" applyFill="1" applyBorder="1" applyAlignment="1">
      <alignment horizontal="right"/>
    </xf>
    <xf numFmtId="38" fontId="16" fillId="17" borderId="6" xfId="1" applyNumberFormat="1" applyFont="1" applyFill="1" applyBorder="1" applyAlignment="1">
      <alignment horizontal="right"/>
    </xf>
    <xf numFmtId="38" fontId="16" fillId="2" borderId="6" xfId="1" applyNumberFormat="1" applyFont="1" applyFill="1" applyBorder="1" applyAlignment="1">
      <alignment horizontal="right"/>
    </xf>
    <xf numFmtId="38" fontId="16" fillId="2" borderId="35" xfId="1" applyNumberFormat="1" applyFont="1" applyFill="1" applyBorder="1" applyAlignment="1">
      <alignment horizontal="right"/>
    </xf>
    <xf numFmtId="0" fontId="16" fillId="0" borderId="11" xfId="0" applyFont="1" applyBorder="1"/>
    <xf numFmtId="165" fontId="16" fillId="0" borderId="6" xfId="0" applyNumberFormat="1" applyFont="1" applyBorder="1"/>
    <xf numFmtId="165" fontId="16" fillId="0" borderId="5" xfId="2" applyNumberFormat="1" applyFont="1" applyBorder="1"/>
    <xf numFmtId="2" fontId="16" fillId="0" borderId="0" xfId="0" applyNumberFormat="1" applyFont="1"/>
    <xf numFmtId="0" fontId="16" fillId="2" borderId="36" xfId="0" applyFont="1" applyFill="1" applyBorder="1" applyAlignment="1">
      <alignment horizontal="right"/>
    </xf>
    <xf numFmtId="38" fontId="16" fillId="11" borderId="37" xfId="1" applyNumberFormat="1" applyFont="1" applyFill="1" applyBorder="1" applyAlignment="1">
      <alignment horizontal="right"/>
    </xf>
    <xf numFmtId="38" fontId="16" fillId="12" borderId="37" xfId="1" applyNumberFormat="1" applyFont="1" applyFill="1" applyBorder="1" applyAlignment="1">
      <alignment horizontal="right"/>
    </xf>
    <xf numFmtId="38" fontId="16" fillId="17" borderId="37" xfId="1" applyNumberFormat="1" applyFont="1" applyFill="1" applyBorder="1" applyAlignment="1">
      <alignment horizontal="right"/>
    </xf>
    <xf numFmtId="38" fontId="16" fillId="2" borderId="37" xfId="1" applyNumberFormat="1" applyFont="1" applyFill="1" applyBorder="1" applyAlignment="1">
      <alignment horizontal="right"/>
    </xf>
    <xf numFmtId="38" fontId="16" fillId="2" borderId="38" xfId="1" applyNumberFormat="1" applyFont="1" applyFill="1" applyBorder="1" applyAlignment="1">
      <alignment horizontal="right"/>
    </xf>
    <xf numFmtId="0" fontId="16" fillId="12" borderId="6" xfId="0" applyFont="1" applyFill="1" applyBorder="1" applyAlignment="1">
      <alignment horizontal="center"/>
    </xf>
    <xf numFmtId="0" fontId="16" fillId="5" borderId="6" xfId="0" applyFont="1" applyFill="1" applyBorder="1"/>
    <xf numFmtId="0" fontId="16" fillId="17" borderId="6" xfId="0" applyFont="1" applyFill="1" applyBorder="1"/>
    <xf numFmtId="0" fontId="16" fillId="11" borderId="6" xfId="0" applyFont="1" applyFill="1" applyBorder="1"/>
    <xf numFmtId="165" fontId="16" fillId="18" borderId="5" xfId="2" applyNumberFormat="1" applyFont="1" applyFill="1" applyBorder="1"/>
    <xf numFmtId="2" fontId="16" fillId="0" borderId="0" xfId="2" applyNumberFormat="1" applyFont="1"/>
    <xf numFmtId="0" fontId="16" fillId="0" borderId="6" xfId="0" applyFont="1" applyBorder="1" applyAlignment="1">
      <alignment horizontal="center"/>
    </xf>
    <xf numFmtId="38" fontId="16" fillId="0" borderId="0" xfId="0" applyNumberFormat="1" applyFont="1"/>
    <xf numFmtId="3" fontId="16" fillId="0" borderId="6" xfId="0" applyNumberFormat="1" applyFont="1" applyBorder="1" applyAlignment="1">
      <alignment horizontal="center"/>
    </xf>
    <xf numFmtId="9" fontId="16" fillId="18" borderId="6" xfId="2" applyFont="1" applyFill="1" applyBorder="1" applyAlignment="1">
      <alignment horizontal="center"/>
    </xf>
    <xf numFmtId="165" fontId="16" fillId="0" borderId="0" xfId="0" applyNumberFormat="1" applyFont="1" applyAlignment="1">
      <alignment horizontal="center"/>
    </xf>
    <xf numFmtId="165" fontId="16" fillId="0" borderId="4" xfId="2" applyNumberFormat="1" applyFont="1" applyBorder="1"/>
    <xf numFmtId="165" fontId="16" fillId="18" borderId="4" xfId="2" applyNumberFormat="1" applyFont="1" applyFill="1" applyBorder="1"/>
    <xf numFmtId="1" fontId="16" fillId="0" borderId="20" xfId="0" applyNumberFormat="1" applyFont="1" applyBorder="1"/>
    <xf numFmtId="165" fontId="16" fillId="0" borderId="21" xfId="2" applyNumberFormat="1" applyFont="1" applyBorder="1"/>
    <xf numFmtId="165" fontId="16" fillId="18" borderId="21" xfId="2" applyNumberFormat="1" applyFont="1" applyFill="1" applyBorder="1"/>
    <xf numFmtId="165" fontId="16" fillId="0" borderId="22" xfId="2" applyNumberFormat="1" applyFont="1" applyBorder="1"/>
    <xf numFmtId="165" fontId="16" fillId="0" borderId="0" xfId="2" applyNumberFormat="1" applyFont="1"/>
    <xf numFmtId="2" fontId="16" fillId="3" borderId="6" xfId="0" applyNumberFormat="1" applyFont="1" applyFill="1" applyBorder="1" applyAlignment="1">
      <alignment horizontal="center"/>
    </xf>
    <xf numFmtId="0" fontId="16" fillId="0" borderId="7" xfId="0" applyFont="1" applyBorder="1"/>
    <xf numFmtId="0" fontId="16" fillId="0" borderId="7" xfId="0" applyFont="1" applyBorder="1" applyAlignment="1">
      <alignment horizontal="center"/>
    </xf>
    <xf numFmtId="2" fontId="16" fillId="0" borderId="7" xfId="0" applyNumberFormat="1" applyFont="1" applyBorder="1" applyAlignment="1">
      <alignment horizontal="center"/>
    </xf>
    <xf numFmtId="0" fontId="16" fillId="0" borderId="20" xfId="0" applyFont="1" applyBorder="1"/>
    <xf numFmtId="0" fontId="16" fillId="0" borderId="21" xfId="0" applyFont="1" applyBorder="1"/>
    <xf numFmtId="3" fontId="16" fillId="0" borderId="39" xfId="0" applyNumberFormat="1" applyFont="1" applyBorder="1" applyAlignment="1">
      <alignment horizontal="center"/>
    </xf>
    <xf numFmtId="9" fontId="16" fillId="18" borderId="39" xfId="2" applyFont="1" applyFill="1" applyBorder="1" applyAlignment="1">
      <alignment horizontal="center"/>
    </xf>
    <xf numFmtId="2" fontId="16" fillId="17" borderId="40" xfId="0" applyNumberFormat="1" applyFont="1" applyFill="1" applyBorder="1" applyAlignment="1">
      <alignment horizontal="center"/>
    </xf>
    <xf numFmtId="9" fontId="16" fillId="0" borderId="6" xfId="2" applyFont="1" applyBorder="1" applyAlignment="1">
      <alignment horizontal="right"/>
    </xf>
    <xf numFmtId="0" fontId="16" fillId="2" borderId="11" xfId="0" applyFont="1" applyFill="1" applyBorder="1" applyAlignment="1">
      <alignment horizontal="right"/>
    </xf>
    <xf numFmtId="0" fontId="18" fillId="9" borderId="5" xfId="9" applyFont="1" applyFill="1" applyBorder="1"/>
    <xf numFmtId="0" fontId="18" fillId="9" borderId="5" xfId="9" applyFont="1" applyFill="1" applyBorder="1" applyAlignment="1">
      <alignment horizontal="center" wrapText="1"/>
    </xf>
    <xf numFmtId="0" fontId="18" fillId="5" borderId="0" xfId="9" applyFont="1" applyFill="1" applyAlignment="1">
      <alignment wrapText="1"/>
    </xf>
    <xf numFmtId="0" fontId="15" fillId="22" borderId="0" xfId="9" applyFill="1" applyAlignment="1">
      <alignment horizontal="center" wrapText="1"/>
    </xf>
    <xf numFmtId="2" fontId="15" fillId="9" borderId="0" xfId="9" applyNumberFormat="1" applyFill="1" applyAlignment="1">
      <alignment horizontal="center"/>
    </xf>
    <xf numFmtId="10" fontId="0" fillId="5" borderId="0" xfId="11" applyNumberFormat="1" applyFont="1" applyFill="1"/>
    <xf numFmtId="3" fontId="15" fillId="22" borderId="0" xfId="9" applyNumberFormat="1" applyFill="1"/>
    <xf numFmtId="0" fontId="15" fillId="22" borderId="0" xfId="9" applyFill="1"/>
    <xf numFmtId="1" fontId="27" fillId="22" borderId="0" xfId="9" applyNumberFormat="1" applyFont="1" applyFill="1"/>
    <xf numFmtId="10" fontId="15" fillId="0" borderId="0" xfId="9" applyNumberFormat="1"/>
    <xf numFmtId="0" fontId="15" fillId="9" borderId="2" xfId="9" applyFill="1" applyBorder="1" applyAlignment="1">
      <alignment horizontal="right"/>
    </xf>
    <xf numFmtId="3" fontId="15" fillId="9" borderId="2" xfId="9" applyNumberFormat="1" applyFill="1" applyBorder="1" applyAlignment="1">
      <alignment horizontal="center"/>
    </xf>
    <xf numFmtId="2" fontId="15" fillId="9" borderId="2" xfId="9" applyNumberFormat="1" applyFill="1" applyBorder="1" applyAlignment="1">
      <alignment horizontal="center"/>
    </xf>
    <xf numFmtId="3" fontId="24" fillId="9" borderId="2" xfId="9" applyNumberFormat="1" applyFont="1" applyFill="1" applyBorder="1" applyAlignment="1">
      <alignment horizontal="center"/>
    </xf>
    <xf numFmtId="2" fontId="15" fillId="0" borderId="2" xfId="9" applyNumberFormat="1" applyBorder="1" applyAlignment="1">
      <alignment horizontal="center"/>
    </xf>
    <xf numFmtId="3" fontId="18" fillId="9" borderId="2" xfId="9" applyNumberFormat="1" applyFont="1" applyFill="1" applyBorder="1" applyAlignment="1">
      <alignment horizontal="center"/>
    </xf>
    <xf numFmtId="1" fontId="15" fillId="0" borderId="0" xfId="9" applyNumberFormat="1"/>
    <xf numFmtId="9" fontId="15" fillId="22" borderId="0" xfId="9" applyNumberFormat="1" applyFill="1"/>
    <xf numFmtId="0" fontId="21" fillId="9" borderId="0" xfId="9" applyFont="1" applyFill="1"/>
    <xf numFmtId="0" fontId="15" fillId="0" borderId="0" xfId="9" applyAlignment="1">
      <alignment horizontal="right"/>
    </xf>
    <xf numFmtId="0" fontId="21" fillId="9" borderId="0" xfId="9" quotePrefix="1" applyFont="1" applyFill="1"/>
    <xf numFmtId="16" fontId="15" fillId="0" borderId="0" xfId="9" applyNumberFormat="1"/>
    <xf numFmtId="2" fontId="15" fillId="0" borderId="0" xfId="9" applyNumberFormat="1"/>
    <xf numFmtId="0" fontId="1" fillId="0" borderId="0" xfId="12" applyAlignment="1">
      <alignment horizontal="left"/>
    </xf>
    <xf numFmtId="0" fontId="1" fillId="8" borderId="9" xfId="12" applyFill="1" applyBorder="1"/>
    <xf numFmtId="0" fontId="1" fillId="8" borderId="5" xfId="12" applyFill="1" applyBorder="1"/>
    <xf numFmtId="0" fontId="1" fillId="8" borderId="0" xfId="12" applyFill="1" applyAlignment="1">
      <alignment horizontal="center"/>
    </xf>
    <xf numFmtId="0" fontId="1" fillId="0" borderId="0" xfId="12" applyAlignment="1">
      <alignment horizontal="center"/>
    </xf>
    <xf numFmtId="0" fontId="1" fillId="0" borderId="0" xfId="12"/>
    <xf numFmtId="0" fontId="1" fillId="3" borderId="0" xfId="12" applyFill="1" applyAlignment="1">
      <alignment horizontal="center"/>
    </xf>
    <xf numFmtId="0" fontId="1" fillId="0" borderId="10" xfId="12" applyBorder="1" applyAlignment="1">
      <alignment horizontal="center"/>
    </xf>
    <xf numFmtId="0" fontId="1" fillId="0" borderId="2" xfId="12" applyBorder="1"/>
    <xf numFmtId="0" fontId="1" fillId="0" borderId="2" xfId="12" applyBorder="1" applyAlignment="1">
      <alignment horizontal="center"/>
    </xf>
    <xf numFmtId="0" fontId="1" fillId="3" borderId="0" xfId="12" applyFill="1" applyAlignment="1">
      <alignment horizontal="center" wrapText="1"/>
    </xf>
    <xf numFmtId="0" fontId="1" fillId="0" borderId="6" xfId="12" applyBorder="1" applyAlignment="1">
      <alignment horizontal="left"/>
    </xf>
    <xf numFmtId="0" fontId="1" fillId="0" borderId="6" xfId="12" applyBorder="1"/>
    <xf numFmtId="0" fontId="1" fillId="0" borderId="6" xfId="12" applyBorder="1" applyAlignment="1">
      <alignment horizontal="center"/>
    </xf>
    <xf numFmtId="0" fontId="1" fillId="3" borderId="6" xfId="12" applyFill="1" applyBorder="1" applyAlignment="1">
      <alignment horizontal="center"/>
    </xf>
    <xf numFmtId="9" fontId="1" fillId="0" borderId="6" xfId="2" applyFont="1" applyBorder="1" applyAlignment="1">
      <alignment horizontal="center"/>
    </xf>
    <xf numFmtId="1" fontId="1" fillId="0" borderId="6" xfId="12" applyNumberFormat="1" applyBorder="1" applyAlignment="1">
      <alignment horizontal="left"/>
    </xf>
    <xf numFmtId="1" fontId="1" fillId="0" borderId="6" xfId="12" applyNumberFormat="1" applyBorder="1"/>
    <xf numFmtId="3" fontId="1" fillId="0" borderId="6" xfId="12" applyNumberFormat="1" applyBorder="1"/>
    <xf numFmtId="3" fontId="35" fillId="0" borderId="6" xfId="12" applyNumberFormat="1" applyFont="1" applyBorder="1"/>
    <xf numFmtId="165" fontId="0" fillId="0" borderId="6" xfId="13" applyNumberFormat="1" applyFont="1" applyBorder="1"/>
    <xf numFmtId="38" fontId="1" fillId="0" borderId="6" xfId="12" applyNumberFormat="1" applyBorder="1" applyAlignment="1">
      <alignment horizontal="center"/>
    </xf>
    <xf numFmtId="38" fontId="1" fillId="3" borderId="6" xfId="12" applyNumberFormat="1" applyFill="1" applyBorder="1" applyAlignment="1">
      <alignment horizontal="center"/>
    </xf>
    <xf numFmtId="165" fontId="1" fillId="23" borderId="6" xfId="2" applyNumberFormat="1" applyFont="1" applyFill="1" applyBorder="1" applyAlignment="1">
      <alignment horizontal="center"/>
    </xf>
    <xf numFmtId="38" fontId="1" fillId="23" borderId="6" xfId="12" applyNumberFormat="1" applyFill="1" applyBorder="1" applyAlignment="1">
      <alignment horizontal="center"/>
    </xf>
    <xf numFmtId="3" fontId="1" fillId="0" borderId="6" xfId="12" applyNumberFormat="1" applyBorder="1" applyAlignment="1">
      <alignment horizontal="center"/>
    </xf>
    <xf numFmtId="165" fontId="1" fillId="0" borderId="6" xfId="2" applyNumberFormat="1" applyFont="1" applyBorder="1" applyAlignment="1">
      <alignment horizontal="center"/>
    </xf>
    <xf numFmtId="3" fontId="1" fillId="0" borderId="7" xfId="12" applyNumberFormat="1" applyBorder="1"/>
    <xf numFmtId="1" fontId="0" fillId="8" borderId="6" xfId="0" applyNumberFormat="1" applyFill="1" applyBorder="1"/>
    <xf numFmtId="3" fontId="0" fillId="8" borderId="6" xfId="0" applyNumberFormat="1" applyFill="1" applyBorder="1"/>
    <xf numFmtId="3" fontId="1" fillId="8" borderId="9" xfId="12" applyNumberFormat="1" applyFill="1" applyBorder="1"/>
    <xf numFmtId="3" fontId="1" fillId="8" borderId="29" xfId="12" applyNumberFormat="1" applyFill="1" applyBorder="1"/>
    <xf numFmtId="3" fontId="1" fillId="8" borderId="31" xfId="12" applyNumberFormat="1" applyFill="1" applyBorder="1"/>
    <xf numFmtId="3" fontId="1" fillId="8" borderId="11" xfId="12" applyNumberFormat="1" applyFill="1" applyBorder="1"/>
    <xf numFmtId="3" fontId="1" fillId="8" borderId="6" xfId="12" applyNumberFormat="1" applyFill="1" applyBorder="1"/>
    <xf numFmtId="165" fontId="0" fillId="8" borderId="6" xfId="13" applyNumberFormat="1" applyFont="1" applyFill="1" applyBorder="1"/>
    <xf numFmtId="38" fontId="1" fillId="13" borderId="6" xfId="12" applyNumberFormat="1" applyFill="1" applyBorder="1" applyAlignment="1">
      <alignment horizontal="center"/>
    </xf>
    <xf numFmtId="165" fontId="1" fillId="8" borderId="6" xfId="2" applyNumberFormat="1" applyFont="1" applyFill="1" applyBorder="1" applyAlignment="1">
      <alignment horizontal="center"/>
    </xf>
    <xf numFmtId="38" fontId="1" fillId="8" borderId="6" xfId="1" applyNumberFormat="1" applyFont="1" applyFill="1" applyBorder="1" applyAlignment="1">
      <alignment horizontal="center"/>
    </xf>
    <xf numFmtId="1" fontId="1" fillId="8" borderId="6" xfId="12" applyNumberFormat="1" applyFill="1" applyBorder="1" applyAlignment="1">
      <alignment horizontal="center"/>
    </xf>
    <xf numFmtId="9" fontId="1" fillId="8" borderId="6" xfId="12" applyNumberFormat="1" applyFill="1" applyBorder="1"/>
    <xf numFmtId="165" fontId="1" fillId="8" borderId="6" xfId="12" applyNumberFormat="1" applyFill="1" applyBorder="1" applyAlignment="1">
      <alignment horizontal="center"/>
    </xf>
    <xf numFmtId="165" fontId="1" fillId="0" borderId="0" xfId="2" applyNumberFormat="1" applyFont="1" applyAlignment="1">
      <alignment horizontal="center"/>
    </xf>
    <xf numFmtId="9" fontId="1" fillId="0" borderId="0" xfId="2" applyFont="1" applyAlignment="1">
      <alignment horizontal="center"/>
    </xf>
    <xf numFmtId="3" fontId="1" fillId="8" borderId="34" xfId="12" applyNumberFormat="1" applyFill="1" applyBorder="1"/>
    <xf numFmtId="3" fontId="1" fillId="8" borderId="35" xfId="12" applyNumberFormat="1" applyFill="1" applyBorder="1"/>
    <xf numFmtId="3" fontId="1" fillId="8" borderId="36" xfId="12" applyNumberFormat="1" applyFill="1" applyBorder="1"/>
    <xf numFmtId="3" fontId="1" fillId="8" borderId="38" xfId="12" applyNumberFormat="1" applyFill="1" applyBorder="1"/>
    <xf numFmtId="1" fontId="1" fillId="13" borderId="6" xfId="12" applyNumberFormat="1" applyFill="1" applyBorder="1" applyAlignment="1">
      <alignment horizontal="center"/>
    </xf>
    <xf numFmtId="0" fontId="2" fillId="0" borderId="0" xfId="14" applyFont="1"/>
    <xf numFmtId="9" fontId="1" fillId="0" borderId="0" xfId="0" applyNumberFormat="1" applyFont="1"/>
    <xf numFmtId="0" fontId="1" fillId="2" borderId="0" xfId="0" applyFont="1" applyFill="1"/>
    <xf numFmtId="0" fontId="1" fillId="0" borderId="5" xfId="0" applyFont="1" applyBorder="1"/>
    <xf numFmtId="0" fontId="1" fillId="2" borderId="5" xfId="0" applyFont="1" applyFill="1" applyBorder="1"/>
    <xf numFmtId="0" fontId="1" fillId="0" borderId="6" xfId="0" applyFont="1" applyBorder="1"/>
    <xf numFmtId="0" fontId="1" fillId="2" borderId="6" xfId="0" applyFont="1" applyFill="1" applyBorder="1"/>
    <xf numFmtId="0" fontId="1" fillId="0" borderId="0" xfId="14" applyFont="1"/>
    <xf numFmtId="0" fontId="1" fillId="2" borderId="0" xfId="14" applyFont="1" applyFill="1"/>
    <xf numFmtId="0" fontId="1" fillId="0" borderId="6" xfId="14" applyFont="1" applyBorder="1" applyAlignment="1">
      <alignment horizontal="left"/>
    </xf>
    <xf numFmtId="3" fontId="1" fillId="0" borderId="6" xfId="14" applyNumberFormat="1" applyFont="1" applyBorder="1"/>
    <xf numFmtId="3" fontId="1" fillId="2" borderId="6" xfId="14" applyNumberFormat="1" applyFont="1" applyFill="1" applyBorder="1"/>
    <xf numFmtId="0" fontId="2" fillId="0" borderId="0" xfId="0" applyFont="1"/>
    <xf numFmtId="0" fontId="2" fillId="0" borderId="0" xfId="0" applyFont="1" applyAlignment="1">
      <alignment horizontal="center"/>
    </xf>
    <xf numFmtId="1" fontId="2" fillId="0" borderId="0" xfId="0" applyNumberFormat="1" applyFont="1"/>
    <xf numFmtId="1" fontId="2" fillId="0" borderId="0" xfId="0" applyNumberFormat="1" applyFont="1" applyAlignment="1">
      <alignment horizontal="right"/>
    </xf>
    <xf numFmtId="0" fontId="2" fillId="0" borderId="0" xfId="0" applyFont="1" applyAlignment="1">
      <alignment horizontal="right"/>
    </xf>
    <xf numFmtId="38" fontId="2" fillId="0" borderId="0" xfId="0" applyNumberFormat="1" applyFont="1"/>
    <xf numFmtId="0" fontId="2" fillId="0" borderId="2" xfId="0" applyFont="1" applyBorder="1"/>
    <xf numFmtId="0" fontId="2" fillId="0" borderId="2" xfId="0" applyFont="1" applyBorder="1" applyAlignment="1">
      <alignment horizontal="center"/>
    </xf>
    <xf numFmtId="1" fontId="2" fillId="0" borderId="2" xfId="0" applyNumberFormat="1" applyFont="1" applyBorder="1" applyAlignment="1">
      <alignment horizontal="right"/>
    </xf>
    <xf numFmtId="0" fontId="1" fillId="0" borderId="4" xfId="0" applyFont="1" applyBorder="1"/>
    <xf numFmtId="0" fontId="1" fillId="0" borderId="2" xfId="0" applyFont="1" applyBorder="1" applyAlignment="1">
      <alignment horizontal="center"/>
    </xf>
    <xf numFmtId="0" fontId="1" fillId="0" borderId="4" xfId="0" applyFont="1" applyBorder="1" applyAlignment="1">
      <alignment horizontal="center"/>
    </xf>
    <xf numFmtId="1" fontId="1" fillId="0" borderId="4" xfId="0" applyNumberFormat="1" applyFont="1" applyBorder="1" applyAlignment="1">
      <alignment horizontal="right"/>
    </xf>
    <xf numFmtId="0" fontId="7" fillId="0" borderId="0" xfId="0" applyFont="1" applyAlignment="1">
      <alignment horizontal="right"/>
    </xf>
    <xf numFmtId="0" fontId="1" fillId="0" borderId="0" xfId="0" applyFont="1" applyAlignment="1">
      <alignment horizontal="center"/>
    </xf>
    <xf numFmtId="1" fontId="1" fillId="0" borderId="0" xfId="0" applyNumberFormat="1" applyFont="1" applyAlignment="1">
      <alignment horizontal="center"/>
    </xf>
    <xf numFmtId="1" fontId="1" fillId="0" borderId="0" xfId="0" applyNumberFormat="1" applyFont="1" applyAlignment="1">
      <alignment horizontal="right"/>
    </xf>
    <xf numFmtId="0" fontId="1" fillId="0" borderId="2" xfId="0" applyFont="1" applyBorder="1"/>
    <xf numFmtId="1" fontId="1" fillId="0" borderId="2" xfId="0" applyNumberFormat="1" applyFont="1" applyBorder="1" applyAlignment="1">
      <alignment horizontal="right"/>
    </xf>
    <xf numFmtId="0" fontId="1" fillId="0" borderId="2" xfId="0" applyFont="1" applyBorder="1" applyAlignment="1">
      <alignment horizontal="right"/>
    </xf>
    <xf numFmtId="173" fontId="7" fillId="0" borderId="0" xfId="0" applyNumberFormat="1" applyFont="1" applyAlignment="1">
      <alignment horizontal="right"/>
    </xf>
    <xf numFmtId="0" fontId="1" fillId="0" borderId="0" xfId="0" applyFont="1" applyAlignment="1">
      <alignment horizontal="right"/>
    </xf>
    <xf numFmtId="0" fontId="4" fillId="0" borderId="0" xfId="0" applyFont="1"/>
    <xf numFmtId="0" fontId="4" fillId="0" borderId="0" xfId="0" applyFont="1" applyAlignment="1">
      <alignment horizontal="left"/>
    </xf>
    <xf numFmtId="38" fontId="1" fillId="0" borderId="0" xfId="1" applyNumberFormat="1" applyFont="1" applyAlignment="1">
      <alignment horizontal="right"/>
    </xf>
    <xf numFmtId="38" fontId="37" fillId="0" borderId="0" xfId="1" applyNumberFormat="1" applyFont="1" applyAlignment="1">
      <alignment horizontal="right"/>
    </xf>
    <xf numFmtId="9" fontId="1" fillId="0" borderId="0" xfId="2" applyFont="1" applyAlignment="1">
      <alignment horizontal="right"/>
    </xf>
    <xf numFmtId="1" fontId="1" fillId="3" borderId="0" xfId="10" applyNumberFormat="1" applyFont="1" applyFill="1" applyAlignment="1">
      <alignment horizontal="right"/>
    </xf>
    <xf numFmtId="172" fontId="1" fillId="0" borderId="0" xfId="2" applyNumberFormat="1" applyFont="1" applyAlignment="1">
      <alignment horizontal="right"/>
    </xf>
    <xf numFmtId="3" fontId="1" fillId="3" borderId="0" xfId="0" applyNumberFormat="1" applyFont="1" applyFill="1" applyAlignment="1">
      <alignment horizontal="right"/>
    </xf>
    <xf numFmtId="3" fontId="4" fillId="0" borderId="0" xfId="1" applyNumberFormat="1" applyFont="1" applyAlignment="1">
      <alignment horizontal="right"/>
    </xf>
    <xf numFmtId="3" fontId="7" fillId="0" borderId="0" xfId="0" applyNumberFormat="1" applyFont="1" applyAlignment="1">
      <alignment horizontal="right"/>
    </xf>
    <xf numFmtId="38" fontId="4" fillId="0" borderId="0" xfId="1" applyNumberFormat="1" applyFont="1" applyAlignment="1">
      <alignment horizontal="right"/>
    </xf>
    <xf numFmtId="1" fontId="1" fillId="3" borderId="0" xfId="0" applyNumberFormat="1" applyFont="1" applyFill="1" applyAlignment="1">
      <alignment horizontal="right"/>
    </xf>
    <xf numFmtId="38" fontId="1" fillId="0" borderId="6" xfId="0" applyNumberFormat="1" applyFont="1" applyBorder="1"/>
    <xf numFmtId="9" fontId="1" fillId="0" borderId="6" xfId="0" applyNumberFormat="1" applyFont="1" applyBorder="1"/>
    <xf numFmtId="0" fontId="1" fillId="0" borderId="19" xfId="0" applyFont="1" applyBorder="1"/>
    <xf numFmtId="38" fontId="38" fillId="0" borderId="0" xfId="1" applyNumberFormat="1" applyFont="1" applyAlignment="1">
      <alignment horizontal="right"/>
    </xf>
    <xf numFmtId="3" fontId="39" fillId="0" borderId="0" xfId="0" applyNumberFormat="1" applyFont="1"/>
    <xf numFmtId="38" fontId="37" fillId="2" borderId="0" xfId="1" applyNumberFormat="1" applyFont="1" applyFill="1" applyAlignment="1">
      <alignment horizontal="right"/>
    </xf>
    <xf numFmtId="165" fontId="1" fillId="2" borderId="0" xfId="2" applyNumberFormat="1" applyFont="1" applyFill="1" applyAlignment="1">
      <alignment horizontal="right"/>
    </xf>
    <xf numFmtId="38" fontId="37" fillId="3" borderId="0" xfId="1" applyNumberFormat="1" applyFont="1" applyFill="1" applyAlignment="1">
      <alignment horizontal="right"/>
    </xf>
    <xf numFmtId="172" fontId="39" fillId="0" borderId="0" xfId="2" applyNumberFormat="1" applyFont="1" applyAlignment="1">
      <alignment horizontal="right"/>
    </xf>
    <xf numFmtId="3" fontId="39" fillId="3" borderId="0" xfId="10" applyNumberFormat="1" applyFont="1" applyFill="1" applyAlignment="1">
      <alignment horizontal="right"/>
    </xf>
    <xf numFmtId="3" fontId="39" fillId="0" borderId="0" xfId="10" applyNumberFormat="1" applyFont="1"/>
    <xf numFmtId="3" fontId="37" fillId="0" borderId="0" xfId="1" applyNumberFormat="1" applyFont="1" applyAlignment="1">
      <alignment horizontal="right"/>
    </xf>
    <xf numFmtId="0" fontId="39" fillId="0" borderId="6" xfId="10" applyFont="1" applyBorder="1"/>
    <xf numFmtId="0" fontId="39" fillId="0" borderId="0" xfId="10" applyFont="1"/>
    <xf numFmtId="38" fontId="40" fillId="0" borderId="0" xfId="1" applyNumberFormat="1" applyFont="1" applyAlignment="1">
      <alignment horizontal="right"/>
    </xf>
    <xf numFmtId="38" fontId="40" fillId="2" borderId="0" xfId="1" applyNumberFormat="1" applyFont="1" applyFill="1" applyAlignment="1">
      <alignment horizontal="right"/>
    </xf>
    <xf numFmtId="38" fontId="40" fillId="3" borderId="0" xfId="1" applyNumberFormat="1" applyFont="1" applyFill="1" applyAlignment="1">
      <alignment horizontal="right"/>
    </xf>
    <xf numFmtId="172" fontId="41" fillId="0" borderId="0" xfId="2" applyNumberFormat="1" applyFont="1" applyAlignment="1">
      <alignment horizontal="right"/>
    </xf>
    <xf numFmtId="3" fontId="41" fillId="3" borderId="0" xfId="10" applyNumberFormat="1" applyFont="1" applyFill="1" applyAlignment="1">
      <alignment horizontal="right"/>
    </xf>
    <xf numFmtId="0" fontId="41" fillId="0" borderId="6" xfId="10" applyFont="1" applyBorder="1"/>
    <xf numFmtId="0" fontId="41" fillId="0" borderId="0" xfId="10" applyFont="1"/>
    <xf numFmtId="0" fontId="39" fillId="0" borderId="6" xfId="0" applyFont="1" applyBorder="1"/>
    <xf numFmtId="0" fontId="7" fillId="0" borderId="0" xfId="0" applyFont="1"/>
    <xf numFmtId="172" fontId="35" fillId="0" borderId="0" xfId="2" applyNumberFormat="1" applyFont="1" applyAlignment="1">
      <alignment horizontal="right"/>
    </xf>
    <xf numFmtId="3" fontId="7" fillId="3" borderId="0" xfId="10" applyNumberFormat="1" applyFont="1" applyFill="1" applyAlignment="1">
      <alignment horizontal="right"/>
    </xf>
    <xf numFmtId="3" fontId="7" fillId="0" borderId="0" xfId="10" applyNumberFormat="1" applyFont="1"/>
    <xf numFmtId="3" fontId="42" fillId="0" borderId="0" xfId="1" applyNumberFormat="1" applyFont="1" applyAlignment="1">
      <alignment horizontal="right"/>
    </xf>
    <xf numFmtId="0" fontId="43" fillId="0" borderId="6" xfId="10" applyFont="1" applyBorder="1"/>
    <xf numFmtId="0" fontId="43" fillId="0" borderId="0" xfId="10" applyFont="1"/>
    <xf numFmtId="38" fontId="44" fillId="0" borderId="0" xfId="1" applyNumberFormat="1" applyFont="1" applyAlignment="1">
      <alignment horizontal="right"/>
    </xf>
    <xf numFmtId="38" fontId="45" fillId="0" borderId="0" xfId="1" applyNumberFormat="1" applyFont="1" applyAlignment="1">
      <alignment horizontal="right"/>
    </xf>
    <xf numFmtId="38" fontId="45" fillId="3" borderId="0" xfId="1" applyNumberFormat="1" applyFont="1" applyFill="1" applyAlignment="1">
      <alignment horizontal="right"/>
    </xf>
    <xf numFmtId="172" fontId="7" fillId="0" borderId="0" xfId="2" applyNumberFormat="1" applyFont="1" applyAlignment="1">
      <alignment horizontal="right"/>
    </xf>
    <xf numFmtId="38" fontId="46" fillId="0" borderId="0" xfId="1" applyNumberFormat="1" applyFont="1" applyAlignment="1">
      <alignment horizontal="right"/>
    </xf>
    <xf numFmtId="165" fontId="47" fillId="2" borderId="0" xfId="2" applyNumberFormat="1" applyFont="1" applyFill="1" applyAlignment="1">
      <alignment horizontal="right"/>
    </xf>
    <xf numFmtId="1" fontId="48" fillId="0" borderId="0" xfId="0" applyNumberFormat="1" applyFont="1" applyAlignment="1">
      <alignment horizontal="right"/>
    </xf>
    <xf numFmtId="38" fontId="46" fillId="3" borderId="0" xfId="1" applyNumberFormat="1" applyFont="1" applyFill="1" applyAlignment="1">
      <alignment horizontal="right"/>
    </xf>
    <xf numFmtId="38" fontId="49" fillId="0" borderId="0" xfId="1" applyNumberFormat="1" applyFont="1" applyAlignment="1">
      <alignment horizontal="right"/>
    </xf>
    <xf numFmtId="172" fontId="50" fillId="0" borderId="0" xfId="2" applyNumberFormat="1" applyFont="1" applyAlignment="1">
      <alignment horizontal="right"/>
    </xf>
    <xf numFmtId="3" fontId="50" fillId="3" borderId="0" xfId="10" applyNumberFormat="1" applyFont="1" applyFill="1" applyAlignment="1">
      <alignment horizontal="right"/>
    </xf>
    <xf numFmtId="0" fontId="51" fillId="0" borderId="6" xfId="10" applyFont="1" applyBorder="1"/>
    <xf numFmtId="0" fontId="51" fillId="0" borderId="0" xfId="10" applyFont="1"/>
    <xf numFmtId="9" fontId="1" fillId="0" borderId="0" xfId="0" applyNumberFormat="1" applyFont="1" applyAlignment="1">
      <alignment horizontal="center"/>
    </xf>
    <xf numFmtId="38" fontId="52" fillId="0" borderId="0" xfId="1" applyNumberFormat="1" applyFont="1" applyAlignment="1">
      <alignment horizontal="right"/>
    </xf>
    <xf numFmtId="38" fontId="53" fillId="2" borderId="0" xfId="1" applyNumberFormat="1" applyFont="1" applyFill="1" applyAlignment="1">
      <alignment horizontal="right"/>
    </xf>
    <xf numFmtId="165" fontId="54" fillId="2" borderId="0" xfId="2" applyNumberFormat="1" applyFont="1" applyFill="1" applyAlignment="1">
      <alignment horizontal="right"/>
    </xf>
    <xf numFmtId="1" fontId="53" fillId="0" borderId="0" xfId="0" applyNumberFormat="1" applyFont="1" applyAlignment="1">
      <alignment horizontal="right"/>
    </xf>
    <xf numFmtId="38" fontId="52" fillId="3" borderId="0" xfId="1" applyNumberFormat="1" applyFont="1" applyFill="1" applyAlignment="1">
      <alignment horizontal="right"/>
    </xf>
    <xf numFmtId="38" fontId="53" fillId="0" borderId="0" xfId="1" applyNumberFormat="1" applyFont="1" applyAlignment="1">
      <alignment horizontal="right"/>
    </xf>
    <xf numFmtId="172" fontId="52" fillId="0" borderId="0" xfId="2" applyNumberFormat="1" applyFont="1" applyAlignment="1">
      <alignment horizontal="right"/>
    </xf>
    <xf numFmtId="3" fontId="52" fillId="3" borderId="0" xfId="10" applyNumberFormat="1" applyFont="1" applyFill="1" applyAlignment="1">
      <alignment horizontal="right"/>
    </xf>
    <xf numFmtId="0" fontId="55" fillId="0" borderId="6" xfId="10" applyFont="1" applyBorder="1"/>
    <xf numFmtId="0" fontId="55" fillId="0" borderId="0" xfId="10" applyFont="1"/>
    <xf numFmtId="38" fontId="56" fillId="0" borderId="0" xfId="1" applyNumberFormat="1" applyFont="1" applyAlignment="1">
      <alignment horizontal="right"/>
    </xf>
    <xf numFmtId="0" fontId="57" fillId="0" borderId="0" xfId="0" applyFont="1"/>
    <xf numFmtId="165" fontId="57" fillId="2" borderId="0" xfId="2" applyNumberFormat="1" applyFont="1" applyFill="1" applyAlignment="1">
      <alignment horizontal="right"/>
    </xf>
    <xf numFmtId="1" fontId="58" fillId="0" borderId="0" xfId="0" applyNumberFormat="1" applyFont="1" applyAlignment="1">
      <alignment horizontal="right"/>
    </xf>
    <xf numFmtId="38" fontId="58" fillId="0" borderId="0" xfId="1" applyNumberFormat="1" applyFont="1" applyAlignment="1">
      <alignment horizontal="right"/>
    </xf>
    <xf numFmtId="172" fontId="56" fillId="0" borderId="0" xfId="2" applyNumberFormat="1" applyFont="1" applyAlignment="1">
      <alignment horizontal="right"/>
    </xf>
    <xf numFmtId="3" fontId="56" fillId="0" borderId="0" xfId="10" applyNumberFormat="1" applyFont="1" applyAlignment="1">
      <alignment horizontal="right"/>
    </xf>
    <xf numFmtId="0" fontId="59" fillId="0" borderId="6" xfId="10" applyFont="1" applyBorder="1"/>
    <xf numFmtId="0" fontId="59" fillId="0" borderId="0" xfId="10" applyFont="1"/>
    <xf numFmtId="38" fontId="60" fillId="0" borderId="0" xfId="1" applyNumberFormat="1" applyFont="1" applyAlignment="1">
      <alignment horizontal="right"/>
    </xf>
    <xf numFmtId="38" fontId="61" fillId="2" borderId="0" xfId="1" applyNumberFormat="1" applyFont="1" applyFill="1" applyAlignment="1">
      <alignment horizontal="right"/>
    </xf>
    <xf numFmtId="165" fontId="62" fillId="2" borderId="0" xfId="2" applyNumberFormat="1" applyFont="1" applyFill="1" applyAlignment="1">
      <alignment horizontal="right"/>
    </xf>
    <xf numFmtId="38" fontId="60" fillId="3" borderId="0" xfId="1" applyNumberFormat="1" applyFont="1" applyFill="1" applyAlignment="1">
      <alignment horizontal="right"/>
    </xf>
    <xf numFmtId="38" fontId="61" fillId="0" borderId="0" xfId="1" applyNumberFormat="1" applyFont="1" applyAlignment="1">
      <alignment horizontal="right"/>
    </xf>
    <xf numFmtId="3" fontId="60" fillId="3" borderId="0" xfId="10" applyNumberFormat="1" applyFont="1" applyFill="1" applyAlignment="1">
      <alignment horizontal="right"/>
    </xf>
    <xf numFmtId="0" fontId="63" fillId="0" borderId="6" xfId="10" applyFont="1" applyBorder="1"/>
    <xf numFmtId="38" fontId="64" fillId="0" borderId="0" xfId="1" applyNumberFormat="1" applyFont="1" applyAlignment="1">
      <alignment horizontal="right"/>
    </xf>
    <xf numFmtId="38" fontId="65" fillId="2" borderId="0" xfId="1" applyNumberFormat="1" applyFont="1" applyFill="1" applyAlignment="1">
      <alignment horizontal="right"/>
    </xf>
    <xf numFmtId="0" fontId="66" fillId="0" borderId="0" xfId="0" applyFont="1"/>
    <xf numFmtId="165" fontId="64" fillId="2" borderId="0" xfId="2" applyNumberFormat="1" applyFont="1" applyFill="1" applyAlignment="1">
      <alignment horizontal="right"/>
    </xf>
    <xf numFmtId="0" fontId="67" fillId="0" borderId="0" xfId="0" applyFont="1"/>
    <xf numFmtId="1" fontId="65" fillId="0" borderId="0" xfId="0" applyNumberFormat="1" applyFont="1" applyAlignment="1">
      <alignment horizontal="right"/>
    </xf>
    <xf numFmtId="38" fontId="64" fillId="3" borderId="0" xfId="1" applyNumberFormat="1" applyFont="1" applyFill="1" applyAlignment="1">
      <alignment horizontal="right"/>
    </xf>
    <xf numFmtId="9" fontId="67" fillId="0" borderId="0" xfId="2" applyFont="1" applyAlignment="1">
      <alignment horizontal="right"/>
    </xf>
    <xf numFmtId="3" fontId="64" fillId="3" borderId="0" xfId="10" applyNumberFormat="1" applyFont="1" applyFill="1" applyAlignment="1">
      <alignment horizontal="right"/>
    </xf>
    <xf numFmtId="3" fontId="66" fillId="0" borderId="0" xfId="10" applyNumberFormat="1" applyFont="1"/>
    <xf numFmtId="38" fontId="68" fillId="0" borderId="0" xfId="1" applyNumberFormat="1" applyFont="1" applyAlignment="1">
      <alignment horizontal="right"/>
    </xf>
    <xf numFmtId="38" fontId="69" fillId="2" borderId="0" xfId="1" applyNumberFormat="1" applyFont="1" applyFill="1" applyAlignment="1">
      <alignment horizontal="right"/>
    </xf>
    <xf numFmtId="165" fontId="70" fillId="8" borderId="0" xfId="2" applyNumberFormat="1" applyFont="1" applyFill="1" applyAlignment="1">
      <alignment horizontal="right"/>
    </xf>
    <xf numFmtId="1" fontId="69" fillId="0" borderId="0" xfId="0" applyNumberFormat="1" applyFont="1" applyAlignment="1">
      <alignment horizontal="right"/>
    </xf>
    <xf numFmtId="38" fontId="68" fillId="3" borderId="0" xfId="1" applyNumberFormat="1" applyFont="1" applyFill="1" applyAlignment="1">
      <alignment horizontal="right"/>
    </xf>
    <xf numFmtId="38" fontId="69" fillId="0" borderId="0" xfId="1" applyNumberFormat="1" applyFont="1" applyAlignment="1">
      <alignment horizontal="right"/>
    </xf>
    <xf numFmtId="172" fontId="68" fillId="0" borderId="0" xfId="2" applyNumberFormat="1" applyFont="1" applyAlignment="1">
      <alignment horizontal="right"/>
    </xf>
    <xf numFmtId="3" fontId="68" fillId="3" borderId="0" xfId="10" applyNumberFormat="1" applyFont="1" applyFill="1" applyAlignment="1">
      <alignment horizontal="right"/>
    </xf>
    <xf numFmtId="3" fontId="70" fillId="0" borderId="0" xfId="10" applyNumberFormat="1" applyFont="1"/>
    <xf numFmtId="1" fontId="39" fillId="0" borderId="6" xfId="0" applyNumberFormat="1" applyFont="1" applyBorder="1"/>
    <xf numFmtId="165" fontId="66" fillId="8" borderId="0" xfId="2" applyNumberFormat="1" applyFont="1" applyFill="1" applyAlignment="1">
      <alignment horizontal="right"/>
    </xf>
    <xf numFmtId="38" fontId="65" fillId="0" borderId="0" xfId="1" applyNumberFormat="1" applyFont="1" applyAlignment="1">
      <alignment horizontal="right"/>
    </xf>
    <xf numFmtId="172" fontId="64" fillId="0" borderId="0" xfId="2" applyNumberFormat="1" applyFont="1" applyAlignment="1">
      <alignment horizontal="right"/>
    </xf>
    <xf numFmtId="0" fontId="67" fillId="0" borderId="6" xfId="10" applyFont="1" applyBorder="1"/>
    <xf numFmtId="172" fontId="64" fillId="8" borderId="0" xfId="2" applyNumberFormat="1" applyFont="1" applyFill="1" applyAlignment="1">
      <alignment horizontal="right"/>
    </xf>
    <xf numFmtId="165" fontId="68" fillId="24" borderId="0" xfId="2" applyNumberFormat="1" applyFont="1" applyFill="1" applyAlignment="1">
      <alignment horizontal="right"/>
    </xf>
    <xf numFmtId="172" fontId="68" fillId="0" borderId="0" xfId="2" applyNumberFormat="1" applyFont="1" applyFill="1" applyAlignment="1">
      <alignment horizontal="right"/>
    </xf>
    <xf numFmtId="3" fontId="68" fillId="24" borderId="0" xfId="10" applyNumberFormat="1" applyFont="1" applyFill="1" applyAlignment="1">
      <alignment horizontal="right"/>
    </xf>
    <xf numFmtId="0" fontId="35" fillId="0" borderId="6" xfId="10" applyFont="1" applyBorder="1"/>
    <xf numFmtId="38" fontId="65" fillId="11" borderId="0" xfId="1" applyNumberFormat="1" applyFont="1" applyFill="1" applyAlignment="1">
      <alignment horizontal="right"/>
    </xf>
    <xf numFmtId="38" fontId="1" fillId="0" borderId="2" xfId="1" applyNumberFormat="1" applyFont="1" applyBorder="1" applyAlignment="1">
      <alignment horizontal="right"/>
    </xf>
    <xf numFmtId="38" fontId="1" fillId="0" borderId="2" xfId="0" applyNumberFormat="1" applyFont="1" applyBorder="1" applyAlignment="1">
      <alignment horizontal="right"/>
    </xf>
    <xf numFmtId="3" fontId="1" fillId="0" borderId="2" xfId="0" applyNumberFormat="1" applyFont="1" applyBorder="1" applyAlignment="1">
      <alignment horizontal="right"/>
    </xf>
    <xf numFmtId="3" fontId="1" fillId="0" borderId="2" xfId="0" applyNumberFormat="1" applyFont="1" applyBorder="1"/>
    <xf numFmtId="38" fontId="1" fillId="0" borderId="0" xfId="0" applyNumberFormat="1" applyFont="1" applyAlignment="1">
      <alignment horizontal="right"/>
    </xf>
    <xf numFmtId="9" fontId="39" fillId="0" borderId="6" xfId="0" applyNumberFormat="1" applyFont="1" applyBorder="1"/>
    <xf numFmtId="38" fontId="1" fillId="0" borderId="0" xfId="1" applyNumberFormat="1" applyFont="1"/>
    <xf numFmtId="38" fontId="1" fillId="0" borderId="0" xfId="0" applyNumberFormat="1" applyFont="1"/>
    <xf numFmtId="3" fontId="1" fillId="0" borderId="0" xfId="1" applyNumberFormat="1" applyFont="1" applyAlignment="1">
      <alignment horizontal="right"/>
    </xf>
    <xf numFmtId="38" fontId="1" fillId="0" borderId="6" xfId="1" applyNumberFormat="1" applyFont="1" applyBorder="1" applyAlignment="1">
      <alignment horizontal="right"/>
    </xf>
    <xf numFmtId="0" fontId="41" fillId="0" borderId="6" xfId="0" applyFont="1" applyBorder="1"/>
    <xf numFmtId="0" fontId="41" fillId="0" borderId="0" xfId="0" applyFont="1"/>
    <xf numFmtId="38" fontId="39" fillId="0" borderId="0" xfId="1" applyNumberFormat="1" applyFont="1" applyAlignment="1">
      <alignment horizontal="right"/>
    </xf>
    <xf numFmtId="38" fontId="39" fillId="0" borderId="0" xfId="1" applyNumberFormat="1" applyFont="1"/>
    <xf numFmtId="38" fontId="41" fillId="0" borderId="6" xfId="1" applyNumberFormat="1" applyFont="1" applyBorder="1"/>
    <xf numFmtId="38" fontId="41" fillId="0" borderId="0" xfId="1" applyNumberFormat="1" applyFont="1" applyAlignment="1">
      <alignment horizontal="right"/>
    </xf>
    <xf numFmtId="38" fontId="41" fillId="0" borderId="0" xfId="1" applyNumberFormat="1" applyFont="1"/>
    <xf numFmtId="3" fontId="41" fillId="0" borderId="0" xfId="1" applyNumberFormat="1" applyFont="1" applyAlignment="1">
      <alignment horizontal="right"/>
    </xf>
    <xf numFmtId="38" fontId="68" fillId="0" borderId="0" xfId="1" applyNumberFormat="1" applyFont="1"/>
    <xf numFmtId="3" fontId="68" fillId="0" borderId="0" xfId="1" applyNumberFormat="1" applyFont="1" applyAlignment="1">
      <alignment horizontal="right"/>
    </xf>
    <xf numFmtId="16" fontId="1" fillId="0" borderId="0" xfId="0" quotePrefix="1" applyNumberFormat="1" applyFont="1"/>
    <xf numFmtId="38" fontId="71" fillId="0" borderId="0" xfId="1" applyNumberFormat="1" applyFont="1" applyAlignment="1">
      <alignment horizontal="right"/>
    </xf>
    <xf numFmtId="38" fontId="7" fillId="0" borderId="0" xfId="1" applyNumberFormat="1" applyFont="1" applyAlignment="1">
      <alignment horizontal="right"/>
    </xf>
    <xf numFmtId="38" fontId="71" fillId="0" borderId="0" xfId="1" applyNumberFormat="1" applyFont="1"/>
    <xf numFmtId="3" fontId="7" fillId="0" borderId="0" xfId="1" applyNumberFormat="1" applyFont="1" applyAlignment="1">
      <alignment horizontal="right"/>
    </xf>
    <xf numFmtId="38" fontId="70" fillId="0" borderId="6" xfId="1" applyNumberFormat="1" applyFont="1" applyBorder="1"/>
    <xf numFmtId="38" fontId="72" fillId="0" borderId="0" xfId="1" applyNumberFormat="1" applyFont="1" applyAlignment="1">
      <alignment horizontal="right"/>
    </xf>
    <xf numFmtId="38" fontId="73" fillId="0" borderId="0" xfId="1" applyNumberFormat="1" applyFont="1" applyAlignment="1">
      <alignment horizontal="right"/>
    </xf>
    <xf numFmtId="38" fontId="72" fillId="0" borderId="0" xfId="1" applyNumberFormat="1" applyFont="1"/>
    <xf numFmtId="38" fontId="70" fillId="8" borderId="6" xfId="1" applyNumberFormat="1" applyFont="1" applyFill="1" applyBorder="1"/>
    <xf numFmtId="38" fontId="1" fillId="8" borderId="6" xfId="1" applyNumberFormat="1" applyFont="1" applyFill="1" applyBorder="1" applyAlignment="1">
      <alignment horizontal="right"/>
    </xf>
    <xf numFmtId="1" fontId="74" fillId="8" borderId="6" xfId="0" applyNumberFormat="1" applyFont="1" applyFill="1" applyBorder="1"/>
    <xf numFmtId="16" fontId="1" fillId="0" borderId="0" xfId="0" applyNumberFormat="1" applyFont="1"/>
    <xf numFmtId="38" fontId="54" fillId="0" borderId="0" xfId="1" applyNumberFormat="1" applyFont="1" applyAlignment="1">
      <alignment horizontal="right"/>
    </xf>
    <xf numFmtId="38" fontId="52" fillId="0" borderId="0" xfId="1" applyNumberFormat="1" applyFont="1"/>
    <xf numFmtId="38" fontId="75" fillId="0" borderId="0" xfId="1" applyNumberFormat="1" applyFont="1" applyAlignment="1">
      <alignment horizontal="right"/>
    </xf>
    <xf numFmtId="38" fontId="75" fillId="0" borderId="0" xfId="1" applyNumberFormat="1" applyFont="1"/>
    <xf numFmtId="0" fontId="76" fillId="0" borderId="0" xfId="0" applyFont="1"/>
    <xf numFmtId="9" fontId="76" fillId="0" borderId="0" xfId="2" applyFont="1" applyAlignment="1">
      <alignment horizontal="right"/>
    </xf>
    <xf numFmtId="38" fontId="76" fillId="0" borderId="0" xfId="1" applyNumberFormat="1" applyFont="1" applyAlignment="1">
      <alignment horizontal="right"/>
    </xf>
    <xf numFmtId="38" fontId="76" fillId="0" borderId="0" xfId="0" applyNumberFormat="1" applyFont="1"/>
    <xf numFmtId="0" fontId="76" fillId="0" borderId="0" xfId="0" applyFont="1" applyAlignment="1">
      <alignment horizontal="right"/>
    </xf>
    <xf numFmtId="3" fontId="76" fillId="0" borderId="0" xfId="1" applyNumberFormat="1" applyFont="1" applyAlignment="1">
      <alignment horizontal="right"/>
    </xf>
    <xf numFmtId="3" fontId="76" fillId="0" borderId="0" xfId="0" applyNumberFormat="1" applyFont="1"/>
    <xf numFmtId="3" fontId="75" fillId="0" borderId="0" xfId="1" applyNumberFormat="1" applyFont="1" applyAlignment="1">
      <alignment horizontal="right"/>
    </xf>
    <xf numFmtId="38" fontId="60" fillId="0" borderId="0" xfId="1" applyNumberFormat="1" applyFont="1"/>
    <xf numFmtId="0" fontId="61" fillId="0" borderId="0" xfId="0" applyFont="1"/>
    <xf numFmtId="9" fontId="61" fillId="0" borderId="0" xfId="2" applyFont="1" applyAlignment="1">
      <alignment horizontal="right"/>
    </xf>
    <xf numFmtId="38" fontId="61" fillId="0" borderId="0" xfId="0" applyNumberFormat="1" applyFont="1"/>
    <xf numFmtId="0" fontId="61" fillId="0" borderId="0" xfId="0" applyFont="1" applyAlignment="1">
      <alignment horizontal="right"/>
    </xf>
    <xf numFmtId="3" fontId="61" fillId="0" borderId="0" xfId="1" applyNumberFormat="1" applyFont="1" applyAlignment="1">
      <alignment horizontal="right"/>
    </xf>
    <xf numFmtId="3" fontId="61" fillId="0" borderId="0" xfId="0" applyNumberFormat="1" applyFont="1"/>
    <xf numFmtId="3" fontId="60" fillId="0" borderId="0" xfId="1" applyNumberFormat="1" applyFont="1" applyAlignment="1">
      <alignment horizontal="right"/>
    </xf>
    <xf numFmtId="38" fontId="64" fillId="0" borderId="0" xfId="1" applyNumberFormat="1" applyFont="1"/>
    <xf numFmtId="0" fontId="65" fillId="0" borderId="0" xfId="0" applyFont="1"/>
    <xf numFmtId="9" fontId="65" fillId="0" borderId="0" xfId="2" applyFont="1" applyAlignment="1">
      <alignment horizontal="right"/>
    </xf>
    <xf numFmtId="38" fontId="65" fillId="0" borderId="0" xfId="0" applyNumberFormat="1" applyFont="1"/>
    <xf numFmtId="0" fontId="65" fillId="0" borderId="0" xfId="0" applyFont="1" applyAlignment="1">
      <alignment horizontal="right"/>
    </xf>
    <xf numFmtId="3" fontId="65" fillId="0" borderId="0" xfId="1" applyNumberFormat="1" applyFont="1" applyAlignment="1">
      <alignment horizontal="right"/>
    </xf>
    <xf numFmtId="3" fontId="65" fillId="0" borderId="0" xfId="0" applyNumberFormat="1" applyFont="1"/>
    <xf numFmtId="3" fontId="64" fillId="0" borderId="0" xfId="1" applyNumberFormat="1" applyFont="1" applyAlignment="1">
      <alignment horizontal="right"/>
    </xf>
    <xf numFmtId="0" fontId="69" fillId="0" borderId="0" xfId="0" applyFont="1"/>
    <xf numFmtId="9" fontId="69" fillId="0" borderId="0" xfId="2" applyFont="1" applyAlignment="1">
      <alignment horizontal="right"/>
    </xf>
    <xf numFmtId="38" fontId="69" fillId="0" borderId="0" xfId="0" applyNumberFormat="1" applyFont="1"/>
    <xf numFmtId="0" fontId="69" fillId="0" borderId="0" xfId="0" applyFont="1" applyAlignment="1">
      <alignment horizontal="right"/>
    </xf>
    <xf numFmtId="3" fontId="69" fillId="0" borderId="0" xfId="1" applyNumberFormat="1" applyFont="1" applyAlignment="1">
      <alignment horizontal="right"/>
    </xf>
    <xf numFmtId="3" fontId="69" fillId="0" borderId="0" xfId="0" applyNumberFormat="1" applyFont="1"/>
    <xf numFmtId="9" fontId="53" fillId="0" borderId="0" xfId="2" applyFont="1" applyAlignment="1">
      <alignment horizontal="right"/>
    </xf>
    <xf numFmtId="3" fontId="52" fillId="0" borderId="0" xfId="1" applyNumberFormat="1" applyFont="1" applyAlignment="1">
      <alignment horizontal="right"/>
    </xf>
    <xf numFmtId="165" fontId="69" fillId="0" borderId="0" xfId="2" applyNumberFormat="1" applyFont="1" applyAlignment="1">
      <alignment horizontal="right"/>
    </xf>
    <xf numFmtId="174" fontId="1" fillId="0" borderId="0" xfId="2" applyNumberFormat="1" applyFont="1"/>
    <xf numFmtId="172" fontId="38" fillId="0" borderId="0" xfId="2" applyNumberFormat="1" applyFont="1" applyAlignment="1">
      <alignment horizontal="right"/>
    </xf>
    <xf numFmtId="0" fontId="39" fillId="0" borderId="0" xfId="0" applyFont="1"/>
    <xf numFmtId="3" fontId="39" fillId="0" borderId="0" xfId="1" applyNumberFormat="1" applyFont="1" applyAlignment="1">
      <alignment horizontal="right"/>
    </xf>
    <xf numFmtId="3" fontId="7" fillId="0" borderId="0" xfId="0" applyNumberFormat="1" applyFont="1"/>
    <xf numFmtId="38" fontId="77" fillId="0" borderId="0" xfId="1" applyNumberFormat="1" applyFont="1" applyAlignment="1">
      <alignment horizontal="right"/>
    </xf>
    <xf numFmtId="172" fontId="77" fillId="0" borderId="0" xfId="2" applyNumberFormat="1" applyFont="1" applyAlignment="1">
      <alignment horizontal="right"/>
    </xf>
    <xf numFmtId="38" fontId="51" fillId="0" borderId="0" xfId="1" applyNumberFormat="1" applyFont="1" applyAlignment="1">
      <alignment horizontal="right"/>
    </xf>
    <xf numFmtId="172" fontId="78" fillId="0" borderId="0" xfId="2" applyNumberFormat="1" applyFont="1" applyAlignment="1">
      <alignment horizontal="right"/>
    </xf>
    <xf numFmtId="3" fontId="51" fillId="0" borderId="0" xfId="1" applyNumberFormat="1" applyFont="1" applyAlignment="1">
      <alignment horizontal="right"/>
    </xf>
    <xf numFmtId="38" fontId="55" fillId="0" borderId="0" xfId="1" applyNumberFormat="1" applyFont="1" applyAlignment="1">
      <alignment horizontal="right"/>
    </xf>
    <xf numFmtId="172" fontId="55" fillId="0" borderId="0" xfId="2" applyNumberFormat="1" applyFont="1" applyAlignment="1">
      <alignment horizontal="right"/>
    </xf>
    <xf numFmtId="3" fontId="55" fillId="0" borderId="0" xfId="1" applyNumberFormat="1" applyFont="1" applyAlignment="1">
      <alignment horizontal="right"/>
    </xf>
    <xf numFmtId="172" fontId="58" fillId="0" borderId="0" xfId="2" applyNumberFormat="1" applyFont="1" applyAlignment="1">
      <alignment horizontal="right"/>
    </xf>
    <xf numFmtId="3" fontId="58" fillId="0" borderId="0" xfId="1" applyNumberFormat="1" applyFont="1" applyAlignment="1">
      <alignment horizontal="right"/>
    </xf>
    <xf numFmtId="172" fontId="61" fillId="0" borderId="0" xfId="2" applyNumberFormat="1" applyFont="1" applyAlignment="1">
      <alignment horizontal="right"/>
    </xf>
    <xf numFmtId="3" fontId="53" fillId="0" borderId="0" xfId="1" applyNumberFormat="1" applyFont="1" applyAlignment="1">
      <alignment horizontal="right"/>
    </xf>
    <xf numFmtId="172" fontId="69" fillId="0" borderId="0" xfId="2" applyNumberFormat="1" applyFont="1" applyAlignment="1">
      <alignment horizontal="right"/>
    </xf>
    <xf numFmtId="172" fontId="65" fillId="0" borderId="0" xfId="2" applyNumberFormat="1" applyFont="1" applyAlignment="1">
      <alignment horizontal="right"/>
    </xf>
    <xf numFmtId="172" fontId="65" fillId="8" borderId="0" xfId="2" applyNumberFormat="1" applyFont="1" applyFill="1" applyAlignment="1">
      <alignment horizontal="right"/>
    </xf>
    <xf numFmtId="3" fontId="65" fillId="8" borderId="0" xfId="1" applyNumberFormat="1" applyFont="1" applyFill="1" applyAlignment="1">
      <alignment horizontal="right"/>
    </xf>
    <xf numFmtId="38" fontId="69" fillId="0" borderId="0" xfId="1" applyNumberFormat="1" applyFont="1" applyAlignment="1">
      <alignment horizontal="left"/>
    </xf>
    <xf numFmtId="172" fontId="69" fillId="0" borderId="0" xfId="2" applyNumberFormat="1" applyFont="1" applyAlignment="1">
      <alignment horizontal="left"/>
    </xf>
    <xf numFmtId="3" fontId="69" fillId="0" borderId="0" xfId="1" applyNumberFormat="1" applyFont="1" applyAlignment="1">
      <alignment horizontal="left"/>
    </xf>
    <xf numFmtId="9" fontId="1" fillId="0" borderId="2" xfId="2" applyFont="1" applyBorder="1" applyAlignment="1">
      <alignment horizontal="right"/>
    </xf>
    <xf numFmtId="172" fontId="1" fillId="0" borderId="2" xfId="2" applyNumberFormat="1" applyFont="1" applyBorder="1" applyAlignment="1">
      <alignment horizontal="right"/>
    </xf>
    <xf numFmtId="3" fontId="1" fillId="0" borderId="2" xfId="1" applyNumberFormat="1" applyFont="1" applyBorder="1" applyAlignment="1">
      <alignment horizontal="right"/>
    </xf>
    <xf numFmtId="0" fontId="1" fillId="0" borderId="7" xfId="0" applyFont="1" applyBorder="1"/>
    <xf numFmtId="0" fontId="1" fillId="0" borderId="12" xfId="0" applyFont="1" applyBorder="1"/>
    <xf numFmtId="0" fontId="1" fillId="0" borderId="10" xfId="0" applyFont="1" applyBorder="1"/>
    <xf numFmtId="0" fontId="5" fillId="0" borderId="0" xfId="0" applyFont="1"/>
    <xf numFmtId="1" fontId="9" fillId="0" borderId="0" xfId="0" applyNumberFormat="1" applyFont="1" applyAlignment="1">
      <alignment horizontal="right"/>
    </xf>
    <xf numFmtId="0" fontId="9" fillId="0" borderId="0" xfId="0" applyFont="1"/>
    <xf numFmtId="0" fontId="9" fillId="0" borderId="0" xfId="0" applyFont="1" applyAlignment="1">
      <alignment horizontal="right"/>
    </xf>
    <xf numFmtId="0" fontId="79" fillId="0" borderId="0" xfId="0" applyFont="1"/>
    <xf numFmtId="46" fontId="1" fillId="0" borderId="0" xfId="0" quotePrefix="1" applyNumberFormat="1" applyFont="1"/>
    <xf numFmtId="0" fontId="9" fillId="0" borderId="0" xfId="0" applyFont="1" applyAlignment="1">
      <alignment horizontal="left"/>
    </xf>
    <xf numFmtId="0" fontId="1" fillId="0" borderId="0" xfId="0" quotePrefix="1" applyFont="1"/>
    <xf numFmtId="0" fontId="9" fillId="0" borderId="0" xfId="0" applyFont="1" applyAlignment="1">
      <alignment horizontal="center"/>
    </xf>
    <xf numFmtId="1" fontId="4" fillId="0" borderId="0" xfId="0" applyNumberFormat="1" applyFont="1" applyAlignment="1">
      <alignment horizontal="right"/>
    </xf>
    <xf numFmtId="0" fontId="0" fillId="0" borderId="0" xfId="0" applyAlignment="1">
      <alignment horizontal="right"/>
    </xf>
    <xf numFmtId="165" fontId="1" fillId="0" borderId="6" xfId="0" applyNumberFormat="1" applyFont="1" applyBorder="1"/>
    <xf numFmtId="0" fontId="1" fillId="4" borderId="5" xfId="0" applyFont="1" applyFill="1" applyBorder="1"/>
    <xf numFmtId="0" fontId="1" fillId="4" borderId="5" xfId="14" applyFont="1" applyFill="1" applyBorder="1"/>
    <xf numFmtId="0" fontId="1" fillId="4" borderId="6" xfId="0" applyFont="1" applyFill="1" applyBorder="1" applyAlignment="1">
      <alignment wrapText="1"/>
    </xf>
    <xf numFmtId="0" fontId="1" fillId="4" borderId="11" xfId="0" applyFont="1" applyFill="1" applyBorder="1" applyAlignment="1">
      <alignment horizontal="right"/>
    </xf>
    <xf numFmtId="0" fontId="1" fillId="4" borderId="6" xfId="0" applyFont="1" applyFill="1" applyBorder="1" applyAlignment="1">
      <alignment horizontal="right"/>
    </xf>
    <xf numFmtId="0" fontId="1" fillId="4" borderId="6" xfId="0" applyFont="1" applyFill="1" applyBorder="1" applyAlignment="1">
      <alignment horizontal="right" wrapText="1"/>
    </xf>
    <xf numFmtId="0" fontId="1" fillId="11" borderId="6" xfId="0" applyFont="1" applyFill="1" applyBorder="1" applyAlignment="1">
      <alignment horizontal="right" wrapText="1"/>
    </xf>
    <xf numFmtId="0" fontId="1" fillId="2" borderId="6" xfId="0" applyFont="1" applyFill="1" applyBorder="1" applyAlignment="1">
      <alignment wrapText="1"/>
    </xf>
    <xf numFmtId="0" fontId="1" fillId="13" borderId="6" xfId="0" applyFont="1" applyFill="1" applyBorder="1" applyAlignment="1">
      <alignment wrapText="1"/>
    </xf>
    <xf numFmtId="0" fontId="1" fillId="13" borderId="6" xfId="0" applyFont="1" applyFill="1" applyBorder="1" applyAlignment="1">
      <alignment horizontal="right" wrapText="1"/>
    </xf>
    <xf numFmtId="3" fontId="1" fillId="4" borderId="6" xfId="14" applyNumberFormat="1" applyFont="1" applyFill="1" applyBorder="1"/>
    <xf numFmtId="3" fontId="1" fillId="4" borderId="11" xfId="14" applyNumberFormat="1" applyFont="1" applyFill="1" applyBorder="1" applyAlignment="1">
      <alignment horizontal="right"/>
    </xf>
    <xf numFmtId="3" fontId="1" fillId="4" borderId="6" xfId="14" applyNumberFormat="1" applyFont="1" applyFill="1" applyBorder="1" applyAlignment="1">
      <alignment horizontal="right"/>
    </xf>
    <xf numFmtId="3" fontId="1" fillId="11" borderId="6" xfId="14" applyNumberFormat="1" applyFont="1" applyFill="1" applyBorder="1" applyAlignment="1">
      <alignment horizontal="right"/>
    </xf>
    <xf numFmtId="3" fontId="1" fillId="13" borderId="6" xfId="14" applyNumberFormat="1" applyFont="1" applyFill="1" applyBorder="1"/>
    <xf numFmtId="0" fontId="1" fillId="2" borderId="6" xfId="14" applyFont="1" applyFill="1" applyBorder="1"/>
    <xf numFmtId="3" fontId="1" fillId="13" borderId="6" xfId="14" applyNumberFormat="1" applyFont="1" applyFill="1" applyBorder="1" applyAlignment="1">
      <alignment horizontal="right"/>
    </xf>
    <xf numFmtId="0" fontId="80" fillId="25" borderId="41" xfId="12" applyFont="1" applyFill="1" applyBorder="1" applyAlignment="1">
      <alignment horizontal="right"/>
    </xf>
    <xf numFmtId="0" fontId="81" fillId="26" borderId="41" xfId="12" applyFont="1" applyFill="1" applyBorder="1"/>
    <xf numFmtId="0" fontId="81" fillId="25" borderId="41" xfId="12" applyFont="1" applyFill="1" applyBorder="1"/>
    <xf numFmtId="0" fontId="1" fillId="12" borderId="0" xfId="12" applyFill="1"/>
    <xf numFmtId="2" fontId="1" fillId="0" borderId="0" xfId="12" applyNumberFormat="1"/>
    <xf numFmtId="169" fontId="1" fillId="0" borderId="0" xfId="12" applyNumberFormat="1"/>
    <xf numFmtId="169" fontId="7" fillId="8" borderId="0" xfId="12" applyNumberFormat="1" applyFont="1" applyFill="1"/>
    <xf numFmtId="169" fontId="7" fillId="0" borderId="0" xfId="12" applyNumberFormat="1" applyFont="1"/>
    <xf numFmtId="169" fontId="80" fillId="25" borderId="42" xfId="12" applyNumberFormat="1" applyFont="1" applyFill="1" applyBorder="1"/>
    <xf numFmtId="0" fontId="1" fillId="0" borderId="0" xfId="12" applyAlignment="1">
      <alignment horizontal="right"/>
    </xf>
    <xf numFmtId="0" fontId="7" fillId="8" borderId="0" xfId="12" applyFont="1" applyFill="1"/>
    <xf numFmtId="2" fontId="7" fillId="8" borderId="0" xfId="12" applyNumberFormat="1" applyFont="1" applyFill="1"/>
    <xf numFmtId="0" fontId="7" fillId="0" borderId="0" xfId="12" applyFont="1"/>
    <xf numFmtId="2" fontId="1" fillId="8" borderId="6" xfId="12" applyNumberFormat="1" applyFill="1" applyBorder="1"/>
    <xf numFmtId="2" fontId="1" fillId="27" borderId="6" xfId="12" applyNumberFormat="1" applyFill="1" applyBorder="1"/>
    <xf numFmtId="0" fontId="7" fillId="12" borderId="0" xfId="12" applyFont="1" applyFill="1"/>
    <xf numFmtId="1" fontId="80" fillId="25" borderId="41" xfId="12" applyNumberFormat="1" applyFont="1" applyFill="1" applyBorder="1" applyAlignment="1">
      <alignment horizontal="right"/>
    </xf>
    <xf numFmtId="1" fontId="1" fillId="0" borderId="0" xfId="12" applyNumberFormat="1"/>
    <xf numFmtId="170" fontId="1" fillId="0" borderId="0" xfId="12" applyNumberFormat="1"/>
    <xf numFmtId="1" fontId="80" fillId="25" borderId="42" xfId="12" applyNumberFormat="1" applyFont="1" applyFill="1" applyBorder="1"/>
    <xf numFmtId="1" fontId="7" fillId="0" borderId="0" xfId="12" applyNumberFormat="1" applyFont="1"/>
    <xf numFmtId="169" fontId="80" fillId="25" borderId="41" xfId="12" applyNumberFormat="1" applyFont="1" applyFill="1" applyBorder="1" applyAlignment="1">
      <alignment horizontal="right"/>
    </xf>
    <xf numFmtId="3" fontId="1" fillId="8" borderId="0" xfId="3" applyNumberFormat="1" applyFill="1"/>
    <xf numFmtId="1" fontId="1" fillId="8" borderId="0" xfId="3" applyNumberFormat="1" applyFill="1"/>
    <xf numFmtId="1" fontId="7" fillId="28" borderId="0" xfId="3" applyNumberFormat="1" applyFont="1" applyFill="1"/>
    <xf numFmtId="0" fontId="82" fillId="0" borderId="0" xfId="15"/>
    <xf numFmtId="0" fontId="83" fillId="0" borderId="0" xfId="15" applyFont="1" applyAlignment="1">
      <alignment horizontal="left"/>
    </xf>
    <xf numFmtId="38" fontId="0" fillId="0" borderId="0" xfId="16" applyNumberFormat="1" applyFont="1" applyAlignment="1">
      <alignment horizontal="right"/>
    </xf>
    <xf numFmtId="0" fontId="82" fillId="0" borderId="0" xfId="15" applyAlignment="1">
      <alignment horizontal="right"/>
    </xf>
    <xf numFmtId="1" fontId="82" fillId="0" borderId="0" xfId="15" applyNumberFormat="1"/>
    <xf numFmtId="0" fontId="83" fillId="0" borderId="0" xfId="15" applyFont="1"/>
    <xf numFmtId="0" fontId="82" fillId="0" borderId="0" xfId="15" applyAlignment="1">
      <alignment horizontal="left"/>
    </xf>
    <xf numFmtId="0" fontId="82" fillId="0" borderId="6" xfId="15" applyBorder="1" applyAlignment="1">
      <alignment horizontal="left"/>
    </xf>
    <xf numFmtId="38" fontId="0" fillId="0" borderId="6" xfId="16" applyNumberFormat="1" applyFont="1" applyBorder="1" applyAlignment="1">
      <alignment horizontal="right"/>
    </xf>
    <xf numFmtId="0" fontId="82" fillId="0" borderId="6" xfId="15" applyBorder="1" applyAlignment="1">
      <alignment horizontal="right"/>
    </xf>
    <xf numFmtId="1" fontId="82" fillId="0" borderId="6" xfId="15" applyNumberFormat="1" applyBorder="1" applyAlignment="1">
      <alignment horizontal="right"/>
    </xf>
    <xf numFmtId="38" fontId="82" fillId="0" borderId="0" xfId="15" applyNumberFormat="1"/>
    <xf numFmtId="38" fontId="0" fillId="0" borderId="6" xfId="17" applyNumberFormat="1" applyFont="1" applyBorder="1" applyAlignment="1">
      <alignment horizontal="right"/>
    </xf>
    <xf numFmtId="9" fontId="0" fillId="0" borderId="6" xfId="18" applyFont="1" applyBorder="1" applyAlignment="1">
      <alignment horizontal="right"/>
    </xf>
    <xf numFmtId="0" fontId="82" fillId="0" borderId="0" xfId="19"/>
    <xf numFmtId="0" fontId="82" fillId="0" borderId="6" xfId="19" applyBorder="1" applyAlignment="1">
      <alignment horizontal="right"/>
    </xf>
    <xf numFmtId="1" fontId="82" fillId="0" borderId="6" xfId="19" applyNumberFormat="1" applyBorder="1"/>
    <xf numFmtId="0" fontId="82" fillId="0" borderId="6" xfId="19" applyBorder="1"/>
    <xf numFmtId="0" fontId="82" fillId="0" borderId="6" xfId="15" applyBorder="1"/>
    <xf numFmtId="0" fontId="82" fillId="8" borderId="6" xfId="15" applyFill="1" applyBorder="1" applyAlignment="1">
      <alignment horizontal="right"/>
    </xf>
    <xf numFmtId="38" fontId="0" fillId="11" borderId="6" xfId="17" applyNumberFormat="1" applyFont="1" applyFill="1" applyBorder="1" applyAlignment="1">
      <alignment horizontal="right"/>
    </xf>
    <xf numFmtId="9" fontId="0" fillId="11" borderId="6" xfId="18" applyFont="1" applyFill="1" applyBorder="1" applyAlignment="1">
      <alignment horizontal="right"/>
    </xf>
    <xf numFmtId="38" fontId="0" fillId="8" borderId="6" xfId="17" applyNumberFormat="1" applyFont="1" applyFill="1" applyBorder="1" applyAlignment="1">
      <alignment horizontal="right"/>
    </xf>
    <xf numFmtId="9" fontId="82" fillId="8" borderId="6" xfId="19" applyNumberFormat="1" applyFill="1" applyBorder="1" applyAlignment="1">
      <alignment horizontal="right"/>
    </xf>
    <xf numFmtId="1" fontId="82" fillId="8" borderId="6" xfId="19" applyNumberFormat="1" applyFill="1" applyBorder="1"/>
    <xf numFmtId="0" fontId="82" fillId="8" borderId="6" xfId="19" applyFill="1" applyBorder="1"/>
    <xf numFmtId="38" fontId="0" fillId="3" borderId="6" xfId="17" applyNumberFormat="1" applyFont="1" applyFill="1" applyBorder="1" applyAlignment="1">
      <alignment horizontal="right"/>
    </xf>
    <xf numFmtId="0" fontId="82" fillId="3" borderId="6" xfId="19" applyFill="1" applyBorder="1"/>
    <xf numFmtId="9" fontId="0" fillId="8" borderId="6" xfId="18" applyFont="1" applyFill="1" applyBorder="1" applyAlignment="1">
      <alignment horizontal="right"/>
    </xf>
    <xf numFmtId="38" fontId="83" fillId="3" borderId="6" xfId="19" applyNumberFormat="1" applyFont="1" applyFill="1" applyBorder="1"/>
    <xf numFmtId="0" fontId="82" fillId="0" borderId="6" xfId="19" applyBorder="1" applyAlignment="1">
      <alignment horizontal="left"/>
    </xf>
    <xf numFmtId="0" fontId="17" fillId="0" borderId="0" xfId="0" applyFont="1" applyAlignment="1">
      <alignment horizontal="center"/>
    </xf>
    <xf numFmtId="0" fontId="17" fillId="0" borderId="2" xfId="0" applyFont="1" applyBorder="1" applyAlignment="1">
      <alignment horizontal="center"/>
    </xf>
    <xf numFmtId="38" fontId="0" fillId="0" borderId="10" xfId="16" applyNumberFormat="1" applyFont="1" applyBorder="1" applyAlignment="1">
      <alignment horizontal="right"/>
    </xf>
    <xf numFmtId="0" fontId="82" fillId="0" borderId="10" xfId="15" applyBorder="1" applyAlignment="1">
      <alignment horizontal="right"/>
    </xf>
    <xf numFmtId="0" fontId="17" fillId="0" borderId="2" xfId="0" applyFont="1" applyBorder="1" applyAlignment="1">
      <alignment horizontal="center"/>
    </xf>
    <xf numFmtId="0" fontId="84" fillId="29" borderId="0" xfId="0" applyFont="1" applyFill="1" applyAlignment="1">
      <alignment horizontal="center"/>
    </xf>
    <xf numFmtId="0" fontId="16" fillId="0" borderId="0" xfId="0" applyFont="1" applyAlignment="1">
      <alignment horizontal="center"/>
    </xf>
    <xf numFmtId="0" fontId="17" fillId="0" borderId="2" xfId="0" applyFont="1" applyBorder="1" applyAlignment="1">
      <alignment horizontal="center"/>
    </xf>
    <xf numFmtId="0" fontId="84" fillId="30" borderId="0" xfId="0" applyFont="1" applyFill="1" applyAlignment="1">
      <alignment horizontal="center"/>
    </xf>
    <xf numFmtId="0" fontId="84" fillId="29" borderId="0" xfId="0" applyFont="1" applyFill="1" applyAlignment="1">
      <alignment horizontal="center"/>
    </xf>
    <xf numFmtId="0" fontId="84" fillId="16" borderId="0" xfId="0" applyFont="1" applyFill="1" applyAlignment="1">
      <alignment horizontal="center"/>
    </xf>
    <xf numFmtId="0" fontId="2" fillId="2" borderId="1" xfId="0" applyFont="1" applyFill="1" applyBorder="1" applyAlignment="1">
      <alignment horizontal="center" textRotation="90" wrapText="1"/>
    </xf>
    <xf numFmtId="0" fontId="2" fillId="2" borderId="3" xfId="0" applyFont="1" applyFill="1" applyBorder="1" applyAlignment="1">
      <alignment horizontal="center" textRotation="90" wrapText="1"/>
    </xf>
    <xf numFmtId="0" fontId="2" fillId="2" borderId="8" xfId="0" applyFont="1" applyFill="1" applyBorder="1" applyAlignment="1">
      <alignment horizontal="center" textRotation="90" wrapText="1"/>
    </xf>
    <xf numFmtId="1" fontId="1" fillId="0" borderId="6" xfId="3" applyNumberFormat="1" applyBorder="1" applyAlignment="1">
      <alignment horizontal="center"/>
    </xf>
    <xf numFmtId="0" fontId="1" fillId="0" borderId="2" xfId="3" applyBorder="1" applyAlignment="1">
      <alignment horizontal="center"/>
    </xf>
    <xf numFmtId="0" fontId="1" fillId="0" borderId="4" xfId="3" applyBorder="1" applyAlignment="1">
      <alignment horizontal="right" wrapText="1"/>
    </xf>
    <xf numFmtId="0" fontId="1" fillId="0" borderId="0" xfId="3" applyAlignment="1">
      <alignment horizontal="right" wrapText="1"/>
    </xf>
    <xf numFmtId="0" fontId="1" fillId="0" borderId="2" xfId="3" applyBorder="1" applyAlignment="1">
      <alignment horizontal="right" wrapText="1"/>
    </xf>
    <xf numFmtId="0" fontId="1" fillId="0" borderId="4" xfId="3" applyBorder="1" applyAlignment="1">
      <alignment horizontal="center" wrapText="1"/>
    </xf>
    <xf numFmtId="0" fontId="1" fillId="0" borderId="0" xfId="3" applyAlignment="1">
      <alignment horizontal="center" wrapText="1"/>
    </xf>
    <xf numFmtId="0" fontId="1" fillId="0" borderId="2" xfId="3" applyBorder="1" applyAlignment="1">
      <alignment horizontal="center" wrapText="1"/>
    </xf>
    <xf numFmtId="0" fontId="1" fillId="0" borderId="5" xfId="3" applyBorder="1" applyAlignment="1">
      <alignment horizontal="center" wrapText="1"/>
    </xf>
    <xf numFmtId="0" fontId="1" fillId="3" borderId="4" xfId="3" applyFill="1" applyBorder="1" applyAlignment="1">
      <alignment horizontal="right" wrapText="1"/>
    </xf>
    <xf numFmtId="0" fontId="1" fillId="3" borderId="2" xfId="3" applyFill="1" applyBorder="1" applyAlignment="1">
      <alignment horizontal="right" wrapText="1"/>
    </xf>
    <xf numFmtId="0" fontId="1" fillId="0" borderId="5" xfId="3" applyBorder="1" applyAlignment="1">
      <alignment horizontal="center"/>
    </xf>
    <xf numFmtId="0" fontId="1" fillId="0" borderId="6" xfId="3" applyBorder="1" applyAlignment="1">
      <alignment horizontal="center"/>
    </xf>
    <xf numFmtId="164" fontId="1" fillId="3" borderId="6" xfId="3" applyNumberFormat="1" applyFill="1" applyBorder="1" applyAlignment="1">
      <alignment horizontal="center" wrapText="1"/>
    </xf>
    <xf numFmtId="0" fontId="1" fillId="0" borderId="6" xfId="0" applyFont="1" applyBorder="1" applyAlignment="1">
      <alignment horizontal="center" wrapText="1"/>
    </xf>
    <xf numFmtId="0" fontId="1" fillId="0" borderId="7" xfId="0" applyFont="1" applyBorder="1" applyAlignment="1">
      <alignment horizontal="center" wrapText="1"/>
    </xf>
    <xf numFmtId="0" fontId="1" fillId="0" borderId="10" xfId="0" applyFont="1" applyBorder="1" applyAlignment="1">
      <alignment horizontal="center" wrapText="1"/>
    </xf>
    <xf numFmtId="0" fontId="82" fillId="0" borderId="6" xfId="15" applyBorder="1" applyAlignment="1">
      <alignment horizontal="center"/>
    </xf>
    <xf numFmtId="0" fontId="82" fillId="0" borderId="9" xfId="15" applyBorder="1" applyAlignment="1">
      <alignment horizontal="center"/>
    </xf>
    <xf numFmtId="0" fontId="82" fillId="0" borderId="5" xfId="15" applyBorder="1" applyAlignment="1">
      <alignment horizontal="center"/>
    </xf>
    <xf numFmtId="0" fontId="82" fillId="0" borderId="11" xfId="15" applyBorder="1" applyAlignment="1">
      <alignment horizontal="center"/>
    </xf>
    <xf numFmtId="9" fontId="24" fillId="9" borderId="0" xfId="11" applyFont="1" applyFill="1" applyAlignment="1">
      <alignment horizontal="center"/>
    </xf>
    <xf numFmtId="0" fontId="16" fillId="9" borderId="0" xfId="3" applyFont="1" applyFill="1" applyAlignment="1">
      <alignment horizontal="center"/>
    </xf>
    <xf numFmtId="0" fontId="17" fillId="9" borderId="5" xfId="3" applyFont="1" applyFill="1" applyBorder="1" applyAlignment="1">
      <alignment horizontal="center"/>
    </xf>
    <xf numFmtId="0" fontId="17" fillId="9" borderId="4" xfId="3" applyFont="1" applyFill="1" applyBorder="1" applyAlignment="1">
      <alignment horizontal="center" wrapText="1"/>
    </xf>
    <xf numFmtId="0" fontId="17" fillId="9" borderId="0" xfId="3" applyFont="1" applyFill="1" applyAlignment="1">
      <alignment horizontal="center" wrapText="1"/>
    </xf>
    <xf numFmtId="0" fontId="17" fillId="9" borderId="2" xfId="3" applyFont="1" applyFill="1" applyBorder="1" applyAlignment="1">
      <alignment horizontal="center" wrapText="1"/>
    </xf>
    <xf numFmtId="0" fontId="20" fillId="9" borderId="4" xfId="9" applyFont="1" applyFill="1" applyBorder="1" applyAlignment="1">
      <alignment horizontal="center" wrapText="1"/>
    </xf>
    <xf numFmtId="0" fontId="20" fillId="9" borderId="0" xfId="9" applyFont="1" applyFill="1" applyAlignment="1">
      <alignment horizontal="center" wrapText="1"/>
    </xf>
    <xf numFmtId="0" fontId="20" fillId="9" borderId="2" xfId="9" applyFont="1" applyFill="1" applyBorder="1" applyAlignment="1">
      <alignment horizontal="center" wrapText="1"/>
    </xf>
    <xf numFmtId="0" fontId="17" fillId="3" borderId="4" xfId="3" applyFont="1" applyFill="1" applyBorder="1" applyAlignment="1">
      <alignment horizontal="center" wrapText="1"/>
    </xf>
    <xf numFmtId="0" fontId="17" fillId="3" borderId="2" xfId="3" applyFont="1" applyFill="1" applyBorder="1" applyAlignment="1">
      <alignment horizontal="center" wrapText="1"/>
    </xf>
    <xf numFmtId="0" fontId="17" fillId="9" borderId="2" xfId="3" applyFont="1" applyFill="1" applyBorder="1" applyAlignment="1">
      <alignment horizontal="center"/>
    </xf>
    <xf numFmtId="0" fontId="18" fillId="0" borderId="20" xfId="9" applyFont="1" applyBorder="1" applyAlignment="1">
      <alignment horizontal="center"/>
    </xf>
    <xf numFmtId="0" fontId="18" fillId="0" borderId="21" xfId="9" applyFont="1" applyBorder="1" applyAlignment="1">
      <alignment horizontal="center"/>
    </xf>
    <xf numFmtId="0" fontId="18" fillId="0" borderId="22" xfId="9" applyFont="1" applyBorder="1" applyAlignment="1">
      <alignment horizontal="center"/>
    </xf>
    <xf numFmtId="0" fontId="15" fillId="0" borderId="20" xfId="9" applyBorder="1" applyAlignment="1">
      <alignment horizontal="center" wrapText="1"/>
    </xf>
    <xf numFmtId="0" fontId="15" fillId="0" borderId="21" xfId="9" applyBorder="1" applyAlignment="1">
      <alignment horizontal="center" wrapText="1"/>
    </xf>
    <xf numFmtId="0" fontId="15" fillId="0" borderId="22" xfId="9" applyBorder="1" applyAlignment="1">
      <alignment horizontal="center" wrapText="1"/>
    </xf>
    <xf numFmtId="0" fontId="18" fillId="2" borderId="0" xfId="9" applyFont="1" applyFill="1" applyAlignment="1">
      <alignment horizontal="center"/>
    </xf>
    <xf numFmtId="0" fontId="18" fillId="8" borderId="0" xfId="9" applyFont="1" applyFill="1" applyAlignment="1">
      <alignment horizontal="center"/>
    </xf>
    <xf numFmtId="0" fontId="16" fillId="13" borderId="0" xfId="3" applyFont="1" applyFill="1" applyAlignment="1">
      <alignment horizontal="center"/>
    </xf>
    <xf numFmtId="0" fontId="17" fillId="9" borderId="5" xfId="3" applyFont="1" applyFill="1" applyBorder="1" applyAlignment="1">
      <alignment horizontal="center" wrapText="1"/>
    </xf>
    <xf numFmtId="0" fontId="17" fillId="8" borderId="5" xfId="3" applyFont="1" applyFill="1" applyBorder="1" applyAlignment="1">
      <alignment horizontal="center"/>
    </xf>
    <xf numFmtId="0" fontId="17" fillId="8" borderId="4" xfId="3" applyFont="1" applyFill="1" applyBorder="1" applyAlignment="1">
      <alignment horizontal="center" wrapText="1"/>
    </xf>
    <xf numFmtId="0" fontId="17" fillId="8" borderId="0" xfId="3" applyFont="1" applyFill="1" applyAlignment="1">
      <alignment horizontal="center" wrapText="1"/>
    </xf>
    <xf numFmtId="0" fontId="20" fillId="8" borderId="4" xfId="9" applyFont="1" applyFill="1" applyBorder="1" applyAlignment="1">
      <alignment horizontal="center" wrapText="1"/>
    </xf>
    <xf numFmtId="0" fontId="20" fillId="8" borderId="0" xfId="9" applyFont="1" applyFill="1" applyAlignment="1">
      <alignment horizontal="center" wrapText="1"/>
    </xf>
    <xf numFmtId="0" fontId="16" fillId="0" borderId="0" xfId="0" applyFont="1" applyAlignment="1">
      <alignment horizontal="center"/>
    </xf>
    <xf numFmtId="0" fontId="16" fillId="0" borderId="6" xfId="0" applyFont="1" applyBorder="1" applyAlignment="1">
      <alignment horizontal="center"/>
    </xf>
    <xf numFmtId="0" fontId="25" fillId="0" borderId="0" xfId="0" applyFont="1" applyAlignment="1">
      <alignment horizontal="left" vertical="top" wrapText="1"/>
    </xf>
    <xf numFmtId="0" fontId="16" fillId="0" borderId="9" xfId="0" applyFont="1" applyBorder="1" applyAlignment="1">
      <alignment horizontal="center"/>
    </xf>
    <xf numFmtId="0" fontId="16" fillId="0" borderId="5" xfId="0" applyFont="1" applyBorder="1" applyAlignment="1">
      <alignment horizontal="center"/>
    </xf>
    <xf numFmtId="0" fontId="16" fillId="0" borderId="11" xfId="0" applyFont="1" applyBorder="1" applyAlignment="1">
      <alignment horizontal="center"/>
    </xf>
    <xf numFmtId="0" fontId="16" fillId="2" borderId="6" xfId="0" applyFont="1" applyFill="1" applyBorder="1" applyAlignment="1">
      <alignment horizontal="center"/>
    </xf>
    <xf numFmtId="0" fontId="17" fillId="0" borderId="4" xfId="0" applyFont="1" applyBorder="1" applyAlignment="1">
      <alignment horizontal="center"/>
    </xf>
    <xf numFmtId="0" fontId="16" fillId="2" borderId="9" xfId="0" applyFont="1" applyFill="1" applyBorder="1" applyAlignment="1">
      <alignment horizontal="center"/>
    </xf>
    <xf numFmtId="0" fontId="16" fillId="2" borderId="11" xfId="0" applyFont="1" applyFill="1" applyBorder="1" applyAlignment="1">
      <alignment horizontal="center"/>
    </xf>
    <xf numFmtId="0" fontId="16" fillId="0" borderId="11" xfId="0" applyFont="1" applyBorder="1" applyAlignment="1">
      <alignment horizontal="center" wrapText="1"/>
    </xf>
    <xf numFmtId="0" fontId="16" fillId="0" borderId="6" xfId="0" applyFont="1" applyBorder="1" applyAlignment="1">
      <alignment horizontal="center" wrapText="1"/>
    </xf>
    <xf numFmtId="0" fontId="16" fillId="0" borderId="20" xfId="0" applyFont="1" applyBorder="1" applyAlignment="1">
      <alignment horizontal="center"/>
    </xf>
    <xf numFmtId="0" fontId="16" fillId="0" borderId="21" xfId="0" applyFont="1" applyBorder="1" applyAlignment="1">
      <alignment horizontal="center"/>
    </xf>
    <xf numFmtId="0" fontId="16" fillId="0" borderId="22" xfId="0" applyFont="1" applyBorder="1" applyAlignment="1">
      <alignment horizontal="center"/>
    </xf>
    <xf numFmtId="170" fontId="16" fillId="2" borderId="6" xfId="0" applyNumberFormat="1" applyFont="1" applyFill="1" applyBorder="1" applyAlignment="1">
      <alignment horizontal="center"/>
    </xf>
    <xf numFmtId="0" fontId="1" fillId="0" borderId="6" xfId="12" applyBorder="1" applyAlignment="1">
      <alignment horizontal="center"/>
    </xf>
    <xf numFmtId="0" fontId="1" fillId="0" borderId="6" xfId="0" applyFont="1" applyBorder="1" applyAlignment="1">
      <alignment horizontal="center"/>
    </xf>
    <xf numFmtId="0" fontId="1" fillId="0" borderId="2" xfId="0" applyFont="1" applyBorder="1" applyAlignment="1">
      <alignment horizontal="center"/>
    </xf>
    <xf numFmtId="0" fontId="1" fillId="0" borderId="5" xfId="0" applyFont="1" applyBorder="1" applyAlignment="1">
      <alignment horizontal="center"/>
    </xf>
    <xf numFmtId="1" fontId="1" fillId="0" borderId="2" xfId="0" applyNumberFormat="1" applyFont="1" applyBorder="1" applyAlignment="1">
      <alignment horizontal="center"/>
    </xf>
    <xf numFmtId="0" fontId="1" fillId="4" borderId="27" xfId="0" applyFont="1" applyFill="1" applyBorder="1" applyAlignment="1">
      <alignment horizontal="left" wrapText="1"/>
    </xf>
    <xf numFmtId="0" fontId="1" fillId="4" borderId="0" xfId="0" applyFont="1" applyFill="1" applyAlignment="1">
      <alignment horizontal="left" wrapText="1"/>
    </xf>
    <xf numFmtId="0" fontId="17" fillId="0" borderId="0" xfId="0" applyFont="1" applyBorder="1" applyAlignment="1">
      <alignment horizontal="center"/>
    </xf>
    <xf numFmtId="4" fontId="16" fillId="0" borderId="0" xfId="0" applyNumberFormat="1" applyFont="1" applyAlignment="1">
      <alignment horizontal="center"/>
    </xf>
  </cellXfs>
  <cellStyles count="20">
    <cellStyle name="Comma" xfId="1" builtinId="3"/>
    <cellStyle name="Comma 2 2" xfId="16" xr:uid="{6077D2BA-3E6A-4512-941E-D70C8AE7C5EA}"/>
    <cellStyle name="Comma 2 2 5" xfId="17" xr:uid="{AD6B2F96-2F19-41D7-9B99-627516DD7E10}"/>
    <cellStyle name="Normal" xfId="0" builtinId="0"/>
    <cellStyle name="Normal 12" xfId="15" xr:uid="{9C072F33-AC5D-41A1-89E0-BB8233A59D53}"/>
    <cellStyle name="Normal 12 3" xfId="19" xr:uid="{3B7E8787-2433-492E-917B-464976758BE0}"/>
    <cellStyle name="Normal 19" xfId="9" xr:uid="{9939DEF7-D51F-49D4-9A19-BF64FBD460AF}"/>
    <cellStyle name="Normal 2" xfId="10" xr:uid="{2640B9C9-EE39-41BF-9017-E8CE370F28F1}"/>
    <cellStyle name="Normal 2 2" xfId="7" xr:uid="{C9C94E57-7178-4679-9CA7-6E91FF13702D}"/>
    <cellStyle name="Normal 2 2 2" xfId="14" xr:uid="{C833B4C6-AE11-4511-B1FB-40A61B367288}"/>
    <cellStyle name="Normal 2 2 2 2" xfId="12" xr:uid="{47FC7F3E-D4AC-4B58-A551-935935AB6949}"/>
    <cellStyle name="Normal 2 3" xfId="3" xr:uid="{77CFE308-3F67-47E4-BE86-CE1F567DF1A5}"/>
    <cellStyle name="Normal 8" xfId="8" xr:uid="{AA72B15C-0043-46B7-A337-FB94FB5BED9F}"/>
    <cellStyle name="Normal_Nass_Management_tables09_19May10_updated" xfId="4" xr:uid="{9537E631-684F-4908-8F75-0787BE44126C}"/>
    <cellStyle name="Normal_table8 2" xfId="5" xr:uid="{C3D50D9E-2B6E-4B99-97F0-C48F7028A370}"/>
    <cellStyle name="Percent" xfId="2" builtinId="5"/>
    <cellStyle name="Percent 12" xfId="11" xr:uid="{C5DAC53B-B32C-451A-8307-16F67C773BCC}"/>
    <cellStyle name="Percent 2 2 2" xfId="18" xr:uid="{C4AC25F8-B773-4977-855D-AA7EBD5F9E8D}"/>
    <cellStyle name="Percent 2 6" xfId="13" xr:uid="{EBC751A5-0BBA-46E7-AA6F-56BAFFE51BD9}"/>
    <cellStyle name="Percent 4" xfId="6" xr:uid="{D5363B80-7BED-4D98-BF09-2279048EC7AC}"/>
  </cellStyles>
  <dxfs count="7">
    <dxf>
      <font>
        <color rgb="FF9C0006"/>
      </font>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Coastal Nass Chinook Escapement Estimates</a:t>
            </a:r>
          </a:p>
        </c:rich>
      </c:tx>
      <c:overlay val="1"/>
    </c:title>
    <c:autoTitleDeleted val="0"/>
    <c:plotArea>
      <c:layout>
        <c:manualLayout>
          <c:layoutTarget val="inner"/>
          <c:xMode val="edge"/>
          <c:yMode val="edge"/>
          <c:x val="0.10015507436570428"/>
          <c:y val="0.18626650978972456"/>
          <c:w val="0.86080358705161852"/>
          <c:h val="0.66036962621051676"/>
        </c:manualLayout>
      </c:layout>
      <c:barChart>
        <c:barDir val="col"/>
        <c:grouping val="clustered"/>
        <c:varyColors val="0"/>
        <c:ser>
          <c:idx val="0"/>
          <c:order val="0"/>
          <c:tx>
            <c:strRef>
              <c:f>'Data-Coastal-Chin-Esc (new)'!$CH$3</c:f>
              <c:strCache>
                <c:ptCount val="1"/>
                <c:pt idx="0">
                  <c:v>Habitat-Capacity method (capped)</c:v>
                </c:pt>
              </c:strCache>
            </c:strRef>
          </c:tx>
          <c:invertIfNegative val="0"/>
          <c:cat>
            <c:numRef>
              <c:f>'Data-Coastal-Chin-Esc (new)'!$BP$20:$BP$46</c:f>
              <c:numCache>
                <c:formatCode>General</c:formatCode>
                <c:ptCount val="27"/>
                <c:pt idx="0">
                  <c:v>1992</c:v>
                </c:pt>
                <c:pt idx="1">
                  <c:v>1993</c:v>
                </c:pt>
                <c:pt idx="2">
                  <c:v>1994</c:v>
                </c:pt>
                <c:pt idx="3">
                  <c:v>1995</c:v>
                </c:pt>
                <c:pt idx="4">
                  <c:v>1996</c:v>
                </c:pt>
                <c:pt idx="5">
                  <c:v>1997</c:v>
                </c:pt>
                <c:pt idx="6">
                  <c:v>1998</c:v>
                </c:pt>
                <c:pt idx="7">
                  <c:v>1999</c:v>
                </c:pt>
                <c:pt idx="8">
                  <c:v>2000</c:v>
                </c:pt>
                <c:pt idx="9">
                  <c:v>2001</c:v>
                </c:pt>
                <c:pt idx="10">
                  <c:v>2002</c:v>
                </c:pt>
                <c:pt idx="11">
                  <c:v>2003</c:v>
                </c:pt>
                <c:pt idx="12">
                  <c:v>2004</c:v>
                </c:pt>
                <c:pt idx="13">
                  <c:v>2005</c:v>
                </c:pt>
                <c:pt idx="14">
                  <c:v>2006</c:v>
                </c:pt>
                <c:pt idx="15">
                  <c:v>2007</c:v>
                </c:pt>
                <c:pt idx="16">
                  <c:v>2008</c:v>
                </c:pt>
                <c:pt idx="17">
                  <c:v>2009</c:v>
                </c:pt>
                <c:pt idx="18">
                  <c:v>2010</c:v>
                </c:pt>
                <c:pt idx="19">
                  <c:v>2011</c:v>
                </c:pt>
                <c:pt idx="20">
                  <c:v>2012</c:v>
                </c:pt>
                <c:pt idx="21">
                  <c:v>2013</c:v>
                </c:pt>
                <c:pt idx="22">
                  <c:v>2014</c:v>
                </c:pt>
                <c:pt idx="23">
                  <c:v>2015</c:v>
                </c:pt>
                <c:pt idx="24">
                  <c:v>2016</c:v>
                </c:pt>
                <c:pt idx="25">
                  <c:v>2017</c:v>
                </c:pt>
                <c:pt idx="26">
                  <c:v>2018</c:v>
                </c:pt>
              </c:numCache>
            </c:numRef>
          </c:cat>
          <c:val>
            <c:numRef>
              <c:f>'Data-Coastal-Chin-Esc (new)'!$CH$20:$CH$46</c:f>
              <c:numCache>
                <c:formatCode>#,##0</c:formatCode>
                <c:ptCount val="27"/>
                <c:pt idx="0">
                  <c:v>1567.3680558642163</c:v>
                </c:pt>
                <c:pt idx="1">
                  <c:v>1545.6601304412025</c:v>
                </c:pt>
                <c:pt idx="2">
                  <c:v>4800</c:v>
                </c:pt>
                <c:pt idx="3">
                  <c:v>1656.6627146437695</c:v>
                </c:pt>
                <c:pt idx="4">
                  <c:v>1857.6878761173361</c:v>
                </c:pt>
                <c:pt idx="5">
                  <c:v>2186.1486310250393</c:v>
                </c:pt>
                <c:pt idx="6">
                  <c:v>2482.5012004196028</c:v>
                </c:pt>
                <c:pt idx="7">
                  <c:v>1491.7343331570235</c:v>
                </c:pt>
                <c:pt idx="8">
                  <c:v>2293.8406818144499</c:v>
                </c:pt>
                <c:pt idx="9">
                  <c:v>4800</c:v>
                </c:pt>
                <c:pt idx="10">
                  <c:v>4800</c:v>
                </c:pt>
                <c:pt idx="11">
                  <c:v>4370.385185185185</c:v>
                </c:pt>
                <c:pt idx="12">
                  <c:v>3687.5710144927539</c:v>
                </c:pt>
                <c:pt idx="13">
                  <c:v>4800</c:v>
                </c:pt>
                <c:pt idx="14">
                  <c:v>4800</c:v>
                </c:pt>
                <c:pt idx="15">
                  <c:v>4800</c:v>
                </c:pt>
                <c:pt idx="16">
                  <c:v>3106.6646628240705</c:v>
                </c:pt>
                <c:pt idx="17">
                  <c:v>4800</c:v>
                </c:pt>
                <c:pt idx="18">
                  <c:v>3359.9919846296166</c:v>
                </c:pt>
                <c:pt idx="20">
                  <c:v>4800</c:v>
                </c:pt>
                <c:pt idx="21">
                  <c:v>3023.9927861666556</c:v>
                </c:pt>
                <c:pt idx="22">
                  <c:v>4800</c:v>
                </c:pt>
                <c:pt idx="23">
                  <c:v>4143.9901143765273</c:v>
                </c:pt>
                <c:pt idx="26">
                  <c:v>3107.9925857823955</c:v>
                </c:pt>
              </c:numCache>
            </c:numRef>
          </c:val>
          <c:extLst>
            <c:ext xmlns:c16="http://schemas.microsoft.com/office/drawing/2014/chart" uri="{C3380CC4-5D6E-409C-BE32-E72D297353CC}">
              <c16:uniqueId val="{00000000-C9A9-4743-88CB-E9F2FC819555}"/>
            </c:ext>
          </c:extLst>
        </c:ser>
        <c:ser>
          <c:idx val="1"/>
          <c:order val="1"/>
          <c:tx>
            <c:strRef>
              <c:f>'Data-Coastal-Chin-Esc (new)'!$CK$3</c:f>
              <c:strCache>
                <c:ptCount val="1"/>
                <c:pt idx="0">
                  <c:v>Index fill method</c:v>
                </c:pt>
              </c:strCache>
            </c:strRef>
          </c:tx>
          <c:invertIfNegative val="0"/>
          <c:cat>
            <c:numRef>
              <c:f>'Data-Coastal-Chin-Esc (new)'!$BP$20:$BP$46</c:f>
              <c:numCache>
                <c:formatCode>General</c:formatCode>
                <c:ptCount val="27"/>
                <c:pt idx="0">
                  <c:v>1992</c:v>
                </c:pt>
                <c:pt idx="1">
                  <c:v>1993</c:v>
                </c:pt>
                <c:pt idx="2">
                  <c:v>1994</c:v>
                </c:pt>
                <c:pt idx="3">
                  <c:v>1995</c:v>
                </c:pt>
                <c:pt idx="4">
                  <c:v>1996</c:v>
                </c:pt>
                <c:pt idx="5">
                  <c:v>1997</c:v>
                </c:pt>
                <c:pt idx="6">
                  <c:v>1998</c:v>
                </c:pt>
                <c:pt idx="7">
                  <c:v>1999</c:v>
                </c:pt>
                <c:pt idx="8">
                  <c:v>2000</c:v>
                </c:pt>
                <c:pt idx="9">
                  <c:v>2001</c:v>
                </c:pt>
                <c:pt idx="10">
                  <c:v>2002</c:v>
                </c:pt>
                <c:pt idx="11">
                  <c:v>2003</c:v>
                </c:pt>
                <c:pt idx="12">
                  <c:v>2004</c:v>
                </c:pt>
                <c:pt idx="13">
                  <c:v>2005</c:v>
                </c:pt>
                <c:pt idx="14">
                  <c:v>2006</c:v>
                </c:pt>
                <c:pt idx="15">
                  <c:v>2007</c:v>
                </c:pt>
                <c:pt idx="16">
                  <c:v>2008</c:v>
                </c:pt>
                <c:pt idx="17">
                  <c:v>2009</c:v>
                </c:pt>
                <c:pt idx="18">
                  <c:v>2010</c:v>
                </c:pt>
                <c:pt idx="19">
                  <c:v>2011</c:v>
                </c:pt>
                <c:pt idx="20">
                  <c:v>2012</c:v>
                </c:pt>
                <c:pt idx="21">
                  <c:v>2013</c:v>
                </c:pt>
                <c:pt idx="22">
                  <c:v>2014</c:v>
                </c:pt>
                <c:pt idx="23">
                  <c:v>2015</c:v>
                </c:pt>
                <c:pt idx="24">
                  <c:v>2016</c:v>
                </c:pt>
                <c:pt idx="25">
                  <c:v>2017</c:v>
                </c:pt>
                <c:pt idx="26">
                  <c:v>2018</c:v>
                </c:pt>
              </c:numCache>
            </c:numRef>
          </c:cat>
          <c:val>
            <c:numRef>
              <c:f>'Data-Coastal-Chin-Esc (new)'!$CK$20:$CK$46</c:f>
              <c:numCache>
                <c:formatCode>#,##0</c:formatCode>
                <c:ptCount val="27"/>
                <c:pt idx="0">
                  <c:v>1411.6632990978599</c:v>
                </c:pt>
                <c:pt idx="1">
                  <c:v>1826.5940488712602</c:v>
                </c:pt>
                <c:pt idx="2">
                  <c:v>5544.3153698031483</c:v>
                </c:pt>
                <c:pt idx="3">
                  <c:v>1457.1598087303146</c:v>
                </c:pt>
                <c:pt idx="4">
                  <c:v>1658.5558798556426</c:v>
                </c:pt>
                <c:pt idx="5">
                  <c:v>1606.1359205453737</c:v>
                </c:pt>
                <c:pt idx="6">
                  <c:v>2571.0462452599677</c:v>
                </c:pt>
                <c:pt idx="7">
                  <c:v>1726.8221050253512</c:v>
                </c:pt>
                <c:pt idx="8">
                  <c:v>1919.7638124780051</c:v>
                </c:pt>
                <c:pt idx="9">
                  <c:v>3534.8405164205146</c:v>
                </c:pt>
                <c:pt idx="10">
                  <c:v>2780.9503101465452</c:v>
                </c:pt>
                <c:pt idx="11">
                  <c:v>1962.6209901944283</c:v>
                </c:pt>
                <c:pt idx="12">
                  <c:v>1630.112929339798</c:v>
                </c:pt>
                <c:pt idx="13">
                  <c:v>2476.0375743578356</c:v>
                </c:pt>
                <c:pt idx="14">
                  <c:v>3334.8892509721932</c:v>
                </c:pt>
                <c:pt idx="15">
                  <c:v>4462.6291729713867</c:v>
                </c:pt>
                <c:pt idx="16">
                  <c:v>1437.7804754168383</c:v>
                </c:pt>
                <c:pt idx="17">
                  <c:v>5063.5890318812444</c:v>
                </c:pt>
                <c:pt idx="18">
                  <c:v>1368.5375761841201</c:v>
                </c:pt>
                <c:pt idx="20">
                  <c:v>2018.592924871577</c:v>
                </c:pt>
                <c:pt idx="21">
                  <c:v>1231.683818565708</c:v>
                </c:pt>
                <c:pt idx="22">
                  <c:v>3478.3663394679716</c:v>
                </c:pt>
                <c:pt idx="23">
                  <c:v>1687.8630106270814</c:v>
                </c:pt>
                <c:pt idx="26">
                  <c:v>1265.8972579703111</c:v>
                </c:pt>
              </c:numCache>
            </c:numRef>
          </c:val>
          <c:extLst>
            <c:ext xmlns:c16="http://schemas.microsoft.com/office/drawing/2014/chart" uri="{C3380CC4-5D6E-409C-BE32-E72D297353CC}">
              <c16:uniqueId val="{00000001-C9A9-4743-88CB-E9F2FC819555}"/>
            </c:ext>
          </c:extLst>
        </c:ser>
        <c:ser>
          <c:idx val="2"/>
          <c:order val="2"/>
          <c:tx>
            <c:strRef>
              <c:f>'Data-Coastal-Chin-Esc (new)'!$CL$3</c:f>
              <c:strCache>
                <c:ptCount val="1"/>
                <c:pt idx="0">
                  <c:v>Upper Nass method</c:v>
                </c:pt>
              </c:strCache>
            </c:strRef>
          </c:tx>
          <c:invertIfNegative val="0"/>
          <c:cat>
            <c:numRef>
              <c:f>'Data-Coastal-Chin-Esc (new)'!$BP$20:$BP$46</c:f>
              <c:numCache>
                <c:formatCode>General</c:formatCode>
                <c:ptCount val="27"/>
                <c:pt idx="0">
                  <c:v>1992</c:v>
                </c:pt>
                <c:pt idx="1">
                  <c:v>1993</c:v>
                </c:pt>
                <c:pt idx="2">
                  <c:v>1994</c:v>
                </c:pt>
                <c:pt idx="3">
                  <c:v>1995</c:v>
                </c:pt>
                <c:pt idx="4">
                  <c:v>1996</c:v>
                </c:pt>
                <c:pt idx="5">
                  <c:v>1997</c:v>
                </c:pt>
                <c:pt idx="6">
                  <c:v>1998</c:v>
                </c:pt>
                <c:pt idx="7">
                  <c:v>1999</c:v>
                </c:pt>
                <c:pt idx="8">
                  <c:v>2000</c:v>
                </c:pt>
                <c:pt idx="9">
                  <c:v>2001</c:v>
                </c:pt>
                <c:pt idx="10">
                  <c:v>2002</c:v>
                </c:pt>
                <c:pt idx="11">
                  <c:v>2003</c:v>
                </c:pt>
                <c:pt idx="12">
                  <c:v>2004</c:v>
                </c:pt>
                <c:pt idx="13">
                  <c:v>2005</c:v>
                </c:pt>
                <c:pt idx="14">
                  <c:v>2006</c:v>
                </c:pt>
                <c:pt idx="15">
                  <c:v>2007</c:v>
                </c:pt>
                <c:pt idx="16">
                  <c:v>2008</c:v>
                </c:pt>
                <c:pt idx="17">
                  <c:v>2009</c:v>
                </c:pt>
                <c:pt idx="18">
                  <c:v>2010</c:v>
                </c:pt>
                <c:pt idx="19">
                  <c:v>2011</c:v>
                </c:pt>
                <c:pt idx="20">
                  <c:v>2012</c:v>
                </c:pt>
                <c:pt idx="21">
                  <c:v>2013</c:v>
                </c:pt>
                <c:pt idx="22">
                  <c:v>2014</c:v>
                </c:pt>
                <c:pt idx="23">
                  <c:v>2015</c:v>
                </c:pt>
                <c:pt idx="24">
                  <c:v>2016</c:v>
                </c:pt>
                <c:pt idx="25">
                  <c:v>2017</c:v>
                </c:pt>
                <c:pt idx="26">
                  <c:v>2018</c:v>
                </c:pt>
              </c:numCache>
            </c:numRef>
          </c:cat>
          <c:val>
            <c:numRef>
              <c:f>'Data-Coastal-Chin-Esc (new)'!$CL$20:$CL$46</c:f>
              <c:numCache>
                <c:formatCode>#,##0</c:formatCode>
                <c:ptCount val="27"/>
                <c:pt idx="0">
                  <c:v>514.03913038066605</c:v>
                </c:pt>
                <c:pt idx="1">
                  <c:v>2266.4032113451422</c:v>
                </c:pt>
                <c:pt idx="2">
                  <c:v>1505.0023177017511</c:v>
                </c:pt>
                <c:pt idx="3">
                  <c:v>291.03005064719468</c:v>
                </c:pt>
                <c:pt idx="4">
                  <c:v>1094.8358276206534</c:v>
                </c:pt>
                <c:pt idx="5">
                  <c:v>905.41256323478603</c:v>
                </c:pt>
                <c:pt idx="6">
                  <c:v>1334.8926043663616</c:v>
                </c:pt>
                <c:pt idx="7">
                  <c:v>568.6884098722586</c:v>
                </c:pt>
                <c:pt idx="8">
                  <c:v>887.92007151359746</c:v>
                </c:pt>
                <c:pt idx="9">
                  <c:v>3534.8405164205146</c:v>
                </c:pt>
                <c:pt idx="10">
                  <c:v>1468.6692465993819</c:v>
                </c:pt>
                <c:pt idx="11">
                  <c:v>2711.8571589023868</c:v>
                </c:pt>
                <c:pt idx="12">
                  <c:v>1437.8891676501578</c:v>
                </c:pt>
                <c:pt idx="13">
                  <c:v>1676.895006786744</c:v>
                </c:pt>
                <c:pt idx="14">
                  <c:v>4019.2394342094994</c:v>
                </c:pt>
                <c:pt idx="15">
                  <c:v>2479.0042478160467</c:v>
                </c:pt>
                <c:pt idx="16">
                  <c:v>2527.8147033456153</c:v>
                </c:pt>
                <c:pt idx="17">
                  <c:v>3182.8164264657844</c:v>
                </c:pt>
                <c:pt idx="18">
                  <c:v>2138.0036441262259</c:v>
                </c:pt>
                <c:pt idx="19">
                  <c:v>1267.726673734421</c:v>
                </c:pt>
                <c:pt idx="20">
                  <c:v>1126.6759872828416</c:v>
                </c:pt>
                <c:pt idx="21">
                  <c:v>1122.0639757367421</c:v>
                </c:pt>
                <c:pt idx="22">
                  <c:v>1670.5570572141503</c:v>
                </c:pt>
                <c:pt idx="23">
                  <c:v>2345.9044771028007</c:v>
                </c:pt>
                <c:pt idx="24">
                  <c:v>1323.6232928374238</c:v>
                </c:pt>
                <c:pt idx="25">
                  <c:v>695.86126291140852</c:v>
                </c:pt>
                <c:pt idx="26">
                  <c:v>2148.2486350292065</c:v>
                </c:pt>
              </c:numCache>
            </c:numRef>
          </c:val>
          <c:extLst>
            <c:ext xmlns:c16="http://schemas.microsoft.com/office/drawing/2014/chart" uri="{C3380CC4-5D6E-409C-BE32-E72D297353CC}">
              <c16:uniqueId val="{00000002-C9A9-4743-88CB-E9F2FC819555}"/>
            </c:ext>
          </c:extLst>
        </c:ser>
        <c:dLbls>
          <c:showLegendKey val="0"/>
          <c:showVal val="0"/>
          <c:showCatName val="0"/>
          <c:showSerName val="0"/>
          <c:showPercent val="0"/>
          <c:showBubbleSize val="0"/>
        </c:dLbls>
        <c:gapWidth val="32"/>
        <c:axId val="366537728"/>
        <c:axId val="366539520"/>
      </c:barChart>
      <c:catAx>
        <c:axId val="366537728"/>
        <c:scaling>
          <c:orientation val="minMax"/>
        </c:scaling>
        <c:delete val="0"/>
        <c:axPos val="b"/>
        <c:numFmt formatCode="General" sourceLinked="1"/>
        <c:majorTickMark val="out"/>
        <c:minorTickMark val="none"/>
        <c:tickLblPos val="nextTo"/>
        <c:txPr>
          <a:bodyPr rot="5400000" vert="horz"/>
          <a:lstStyle/>
          <a:p>
            <a:pPr>
              <a:defRPr/>
            </a:pPr>
            <a:endParaRPr lang="en-US"/>
          </a:p>
        </c:txPr>
        <c:crossAx val="366539520"/>
        <c:crosses val="autoZero"/>
        <c:auto val="1"/>
        <c:lblAlgn val="ctr"/>
        <c:lblOffset val="100"/>
        <c:noMultiLvlLbl val="0"/>
      </c:catAx>
      <c:valAx>
        <c:axId val="366539520"/>
        <c:scaling>
          <c:orientation val="minMax"/>
          <c:max val="5000"/>
        </c:scaling>
        <c:delete val="0"/>
        <c:axPos val="l"/>
        <c:majorGridlines/>
        <c:numFmt formatCode="#,##0" sourceLinked="1"/>
        <c:majorTickMark val="out"/>
        <c:minorTickMark val="none"/>
        <c:tickLblPos val="nextTo"/>
        <c:crossAx val="366537728"/>
        <c:crosses val="autoZero"/>
        <c:crossBetween val="between"/>
      </c:valAx>
    </c:plotArea>
    <c:legend>
      <c:legendPos val="r"/>
      <c:layout>
        <c:manualLayout>
          <c:xMode val="edge"/>
          <c:yMode val="edge"/>
          <c:x val="0.10833442090456927"/>
          <c:y val="8.5822548043563526E-2"/>
          <c:w val="0.82854410463885386"/>
          <c:h val="6.0602286783117632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a:pPr>
            <a:r>
              <a:rPr lang="en-US" sz="1600"/>
              <a:t>Lower/Coastal Nass Chinook Escapement Estimates</a:t>
            </a:r>
          </a:p>
        </c:rich>
      </c:tx>
      <c:overlay val="1"/>
    </c:title>
    <c:autoTitleDeleted val="0"/>
    <c:plotArea>
      <c:layout>
        <c:manualLayout>
          <c:layoutTarget val="inner"/>
          <c:xMode val="edge"/>
          <c:yMode val="edge"/>
          <c:x val="0.18369647919905452"/>
          <c:y val="0.18933164388934143"/>
          <c:w val="0.77726210601944334"/>
          <c:h val="0.65730449211089992"/>
        </c:manualLayout>
      </c:layout>
      <c:barChart>
        <c:barDir val="col"/>
        <c:grouping val="clustered"/>
        <c:varyColors val="0"/>
        <c:ser>
          <c:idx val="0"/>
          <c:order val="0"/>
          <c:tx>
            <c:strRef>
              <c:f>'Data-Coastal-Chin-Esc (new)'!$CI$3</c:f>
              <c:strCache>
                <c:ptCount val="1"/>
                <c:pt idx="0">
                  <c:v>Habitat-Capacity Method</c:v>
                </c:pt>
              </c:strCache>
            </c:strRef>
          </c:tx>
          <c:invertIfNegative val="0"/>
          <c:cat>
            <c:numRef>
              <c:f>'Data-Coastal-Chin-Esc (new)'!$BP$35:$BP$50</c:f>
              <c:numCache>
                <c:formatCode>General</c:formatCode>
                <c:ptCount val="16"/>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numCache>
            </c:numRef>
          </c:cat>
          <c:val>
            <c:numRef>
              <c:f>'Data-Coastal-Chin-Esc (new)'!$CI$35:$CI$50</c:f>
              <c:numCache>
                <c:formatCode>#,##0</c:formatCode>
                <c:ptCount val="16"/>
                <c:pt idx="0">
                  <c:v>10072.317887046658</c:v>
                </c:pt>
                <c:pt idx="1">
                  <c:v>3106.6646628240705</c:v>
                </c:pt>
                <c:pt idx="2">
                  <c:v>5727.5418923177067</c:v>
                </c:pt>
                <c:pt idx="3">
                  <c:v>3359.9919846296166</c:v>
                </c:pt>
                <c:pt idx="5">
                  <c:v>4955.9881773286852</c:v>
                </c:pt>
                <c:pt idx="6">
                  <c:v>3023.9927861666556</c:v>
                </c:pt>
                <c:pt idx="7">
                  <c:v>8539.9796276002762</c:v>
                </c:pt>
                <c:pt idx="8">
                  <c:v>4143.9901143765273</c:v>
                </c:pt>
                <c:pt idx="11">
                  <c:v>3107.9925857823955</c:v>
                </c:pt>
                <c:pt idx="12">
                  <c:v>5739.9863070755946</c:v>
                </c:pt>
                <c:pt idx="13">
                  <c:v>1861.9955581489128</c:v>
                </c:pt>
                <c:pt idx="14">
                  <c:v>1894.6621468883673</c:v>
                </c:pt>
                <c:pt idx="15">
                  <c:v>15342.185622938408</c:v>
                </c:pt>
              </c:numCache>
            </c:numRef>
          </c:val>
          <c:extLst>
            <c:ext xmlns:c16="http://schemas.microsoft.com/office/drawing/2014/chart" uri="{C3380CC4-5D6E-409C-BE32-E72D297353CC}">
              <c16:uniqueId val="{00000000-9EB8-4840-9DB2-16D7BBA720F8}"/>
            </c:ext>
          </c:extLst>
        </c:ser>
        <c:ser>
          <c:idx val="1"/>
          <c:order val="1"/>
          <c:tx>
            <c:strRef>
              <c:f>'Data-Coastal-Chin-Esc (new)'!$CK$3</c:f>
              <c:strCache>
                <c:ptCount val="1"/>
                <c:pt idx="0">
                  <c:v>Index fill method</c:v>
                </c:pt>
              </c:strCache>
            </c:strRef>
          </c:tx>
          <c:invertIfNegative val="0"/>
          <c:cat>
            <c:numRef>
              <c:f>'Data-Coastal-Chin-Esc (new)'!$BP$35:$BP$50</c:f>
              <c:numCache>
                <c:formatCode>General</c:formatCode>
                <c:ptCount val="16"/>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numCache>
            </c:numRef>
          </c:cat>
          <c:val>
            <c:numRef>
              <c:f>'Data-Coastal-Chin-Esc (new)'!$CK$35:$CK$50</c:f>
              <c:numCache>
                <c:formatCode>#,##0</c:formatCode>
                <c:ptCount val="16"/>
                <c:pt idx="0">
                  <c:v>4462.6291729713867</c:v>
                </c:pt>
                <c:pt idx="1">
                  <c:v>1437.7804754168383</c:v>
                </c:pt>
                <c:pt idx="2">
                  <c:v>5063.5890318812444</c:v>
                </c:pt>
                <c:pt idx="3">
                  <c:v>1368.5375761841201</c:v>
                </c:pt>
                <c:pt idx="5">
                  <c:v>2018.592924871577</c:v>
                </c:pt>
                <c:pt idx="6">
                  <c:v>1231.683818565708</c:v>
                </c:pt>
                <c:pt idx="7">
                  <c:v>3478.3663394679716</c:v>
                </c:pt>
                <c:pt idx="8">
                  <c:v>1687.8630106270814</c:v>
                </c:pt>
                <c:pt idx="11">
                  <c:v>1265.8972579703111</c:v>
                </c:pt>
                <c:pt idx="12">
                  <c:v>2337.9183593145385</c:v>
                </c:pt>
                <c:pt idx="13">
                  <c:v>2031.4950059167211</c:v>
                </c:pt>
                <c:pt idx="14">
                  <c:v>1720.7065908324466</c:v>
                </c:pt>
                <c:pt idx="15">
                  <c:v>20446.795723267973</c:v>
                </c:pt>
              </c:numCache>
            </c:numRef>
          </c:val>
          <c:extLst>
            <c:ext xmlns:c16="http://schemas.microsoft.com/office/drawing/2014/chart" uri="{C3380CC4-5D6E-409C-BE32-E72D297353CC}">
              <c16:uniqueId val="{00000001-9EB8-4840-9DB2-16D7BBA720F8}"/>
            </c:ext>
          </c:extLst>
        </c:ser>
        <c:ser>
          <c:idx val="2"/>
          <c:order val="2"/>
          <c:tx>
            <c:strRef>
              <c:f>'Data-Coastal-Chin-Esc (new)'!$CL$3</c:f>
              <c:strCache>
                <c:ptCount val="1"/>
                <c:pt idx="0">
                  <c:v>Upper Nass method</c:v>
                </c:pt>
              </c:strCache>
            </c:strRef>
          </c:tx>
          <c:invertIfNegative val="0"/>
          <c:cat>
            <c:numRef>
              <c:f>'Data-Coastal-Chin-Esc (new)'!$BP$35:$BP$50</c:f>
              <c:numCache>
                <c:formatCode>General</c:formatCode>
                <c:ptCount val="16"/>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numCache>
            </c:numRef>
          </c:cat>
          <c:val>
            <c:numRef>
              <c:f>'Data-Coastal-Chin-Esc (new)'!$CL$35:$CL$50</c:f>
              <c:numCache>
                <c:formatCode>#,##0</c:formatCode>
                <c:ptCount val="16"/>
                <c:pt idx="0">
                  <c:v>2479.0042478160467</c:v>
                </c:pt>
                <c:pt idx="1">
                  <c:v>2527.8147033456153</c:v>
                </c:pt>
                <c:pt idx="2">
                  <c:v>3182.8164264657844</c:v>
                </c:pt>
                <c:pt idx="3">
                  <c:v>2138.0036441262259</c:v>
                </c:pt>
                <c:pt idx="4">
                  <c:v>1267.726673734421</c:v>
                </c:pt>
                <c:pt idx="5">
                  <c:v>1126.6759872828416</c:v>
                </c:pt>
                <c:pt idx="6">
                  <c:v>1122.0639757367421</c:v>
                </c:pt>
                <c:pt idx="7">
                  <c:v>1670.5570572141503</c:v>
                </c:pt>
                <c:pt idx="8">
                  <c:v>2345.9044771028007</c:v>
                </c:pt>
                <c:pt idx="9">
                  <c:v>1323.6232928374238</c:v>
                </c:pt>
                <c:pt idx="10">
                  <c:v>695.86126291140852</c:v>
                </c:pt>
                <c:pt idx="11">
                  <c:v>2148.2486350292065</c:v>
                </c:pt>
                <c:pt idx="12">
                  <c:v>1406.844521764483</c:v>
                </c:pt>
                <c:pt idx="13">
                  <c:v>1540.7718742051968</c:v>
                </c:pt>
                <c:pt idx="14">
                  <c:v>1413.1740802954187</c:v>
                </c:pt>
                <c:pt idx="15">
                  <c:v>4105.2403860572877</c:v>
                </c:pt>
              </c:numCache>
            </c:numRef>
          </c:val>
          <c:extLst>
            <c:ext xmlns:c16="http://schemas.microsoft.com/office/drawing/2014/chart" uri="{C3380CC4-5D6E-409C-BE32-E72D297353CC}">
              <c16:uniqueId val="{00000002-9EB8-4840-9DB2-16D7BBA720F8}"/>
            </c:ext>
          </c:extLst>
        </c:ser>
        <c:dLbls>
          <c:showLegendKey val="0"/>
          <c:showVal val="0"/>
          <c:showCatName val="0"/>
          <c:showSerName val="0"/>
          <c:showPercent val="0"/>
          <c:showBubbleSize val="0"/>
        </c:dLbls>
        <c:gapWidth val="32"/>
        <c:axId val="366643456"/>
        <c:axId val="366649344"/>
      </c:barChart>
      <c:catAx>
        <c:axId val="366643456"/>
        <c:scaling>
          <c:orientation val="minMax"/>
        </c:scaling>
        <c:delete val="0"/>
        <c:axPos val="b"/>
        <c:numFmt formatCode="General" sourceLinked="1"/>
        <c:majorTickMark val="out"/>
        <c:minorTickMark val="none"/>
        <c:tickLblPos val="nextTo"/>
        <c:txPr>
          <a:bodyPr rot="5400000" vert="horz"/>
          <a:lstStyle/>
          <a:p>
            <a:pPr>
              <a:defRPr/>
            </a:pPr>
            <a:endParaRPr lang="en-US"/>
          </a:p>
        </c:txPr>
        <c:crossAx val="366649344"/>
        <c:crosses val="autoZero"/>
        <c:auto val="1"/>
        <c:lblAlgn val="ctr"/>
        <c:lblOffset val="100"/>
        <c:noMultiLvlLbl val="0"/>
      </c:catAx>
      <c:valAx>
        <c:axId val="366649344"/>
        <c:scaling>
          <c:orientation val="minMax"/>
        </c:scaling>
        <c:delete val="0"/>
        <c:axPos val="l"/>
        <c:majorGridlines/>
        <c:title>
          <c:tx>
            <c:rich>
              <a:bodyPr/>
              <a:lstStyle/>
              <a:p>
                <a:pPr>
                  <a:defRPr/>
                </a:pPr>
                <a:r>
                  <a:rPr lang="en-CA"/>
                  <a:t>Number of Chinook</a:t>
                </a:r>
              </a:p>
            </c:rich>
          </c:tx>
          <c:layout>
            <c:manualLayout>
              <c:xMode val="edge"/>
              <c:yMode val="edge"/>
              <c:x val="3.9214491043961228E-2"/>
              <c:y val="0.30230388067429953"/>
            </c:manualLayout>
          </c:layout>
          <c:overlay val="0"/>
        </c:title>
        <c:numFmt formatCode="#,##0" sourceLinked="1"/>
        <c:majorTickMark val="out"/>
        <c:minorTickMark val="none"/>
        <c:tickLblPos val="nextTo"/>
        <c:crossAx val="366643456"/>
        <c:crosses val="autoZero"/>
        <c:crossBetween val="between"/>
      </c:valAx>
    </c:plotArea>
    <c:legend>
      <c:legendPos val="r"/>
      <c:layout>
        <c:manualLayout>
          <c:xMode val="edge"/>
          <c:yMode val="edge"/>
          <c:x val="0.15253331593219355"/>
          <c:y val="9.8083084442030968E-2"/>
          <c:w val="0.708838763939038"/>
          <c:h val="4.5276616285033329E-2"/>
        </c:manualLayout>
      </c:layout>
      <c:overlay val="0"/>
    </c:legend>
    <c:plotVisOnly val="1"/>
    <c:dispBlanksAs val="gap"/>
    <c:showDLblsOverMax val="0"/>
  </c:chart>
  <c:txPr>
    <a:bodyPr/>
    <a:lstStyle/>
    <a:p>
      <a:pPr>
        <a:defRPr sz="1200">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Coastal Nass Chinook Escapement Estimates</a:t>
            </a:r>
          </a:p>
        </c:rich>
      </c:tx>
      <c:layout>
        <c:manualLayout>
          <c:xMode val="edge"/>
          <c:yMode val="edge"/>
          <c:x val="0.22049259726512085"/>
          <c:y val="9.1954022988505746E-3"/>
        </c:manualLayout>
      </c:layout>
      <c:overlay val="1"/>
    </c:title>
    <c:autoTitleDeleted val="0"/>
    <c:plotArea>
      <c:layout>
        <c:manualLayout>
          <c:layoutTarget val="inner"/>
          <c:xMode val="edge"/>
          <c:yMode val="edge"/>
          <c:x val="0.10015507436570428"/>
          <c:y val="9.7377620900835668E-2"/>
          <c:w val="0.86080358705161852"/>
          <c:h val="0.74925851509940566"/>
        </c:manualLayout>
      </c:layout>
      <c:barChart>
        <c:barDir val="col"/>
        <c:grouping val="clustered"/>
        <c:varyColors val="0"/>
        <c:ser>
          <c:idx val="0"/>
          <c:order val="0"/>
          <c:tx>
            <c:strRef>
              <c:f>'Data-Coastal-Chin-Esc (new)'!$CH$3</c:f>
              <c:strCache>
                <c:ptCount val="1"/>
                <c:pt idx="0">
                  <c:v>Habitat-Capacity method (capped)</c:v>
                </c:pt>
              </c:strCache>
            </c:strRef>
          </c:tx>
          <c:invertIfNegative val="0"/>
          <c:cat>
            <c:numRef>
              <c:f>'Data-Coastal-Chin-Esc (new)'!$BP$20:$BP$50</c:f>
              <c:numCache>
                <c:formatCode>General</c:formatCode>
                <c:ptCount val="31"/>
                <c:pt idx="0">
                  <c:v>1992</c:v>
                </c:pt>
                <c:pt idx="1">
                  <c:v>1993</c:v>
                </c:pt>
                <c:pt idx="2">
                  <c:v>1994</c:v>
                </c:pt>
                <c:pt idx="3">
                  <c:v>1995</c:v>
                </c:pt>
                <c:pt idx="4">
                  <c:v>1996</c:v>
                </c:pt>
                <c:pt idx="5">
                  <c:v>1997</c:v>
                </c:pt>
                <c:pt idx="6">
                  <c:v>1998</c:v>
                </c:pt>
                <c:pt idx="7">
                  <c:v>1999</c:v>
                </c:pt>
                <c:pt idx="8">
                  <c:v>2000</c:v>
                </c:pt>
                <c:pt idx="9">
                  <c:v>2001</c:v>
                </c:pt>
                <c:pt idx="10">
                  <c:v>2002</c:v>
                </c:pt>
                <c:pt idx="11">
                  <c:v>2003</c:v>
                </c:pt>
                <c:pt idx="12">
                  <c:v>2004</c:v>
                </c:pt>
                <c:pt idx="13">
                  <c:v>2005</c:v>
                </c:pt>
                <c:pt idx="14">
                  <c:v>2006</c:v>
                </c:pt>
                <c:pt idx="15">
                  <c:v>2007</c:v>
                </c:pt>
                <c:pt idx="16">
                  <c:v>2008</c:v>
                </c:pt>
                <c:pt idx="17">
                  <c:v>2009</c:v>
                </c:pt>
                <c:pt idx="18">
                  <c:v>2010</c:v>
                </c:pt>
                <c:pt idx="19">
                  <c:v>2011</c:v>
                </c:pt>
                <c:pt idx="20">
                  <c:v>2012</c:v>
                </c:pt>
                <c:pt idx="21">
                  <c:v>2013</c:v>
                </c:pt>
                <c:pt idx="22">
                  <c:v>2014</c:v>
                </c:pt>
                <c:pt idx="23">
                  <c:v>2015</c:v>
                </c:pt>
                <c:pt idx="24">
                  <c:v>2016</c:v>
                </c:pt>
                <c:pt idx="25">
                  <c:v>2017</c:v>
                </c:pt>
                <c:pt idx="26">
                  <c:v>2018</c:v>
                </c:pt>
                <c:pt idx="27">
                  <c:v>2019</c:v>
                </c:pt>
                <c:pt idx="28">
                  <c:v>2020</c:v>
                </c:pt>
                <c:pt idx="29">
                  <c:v>2021</c:v>
                </c:pt>
                <c:pt idx="30">
                  <c:v>2022</c:v>
                </c:pt>
              </c:numCache>
            </c:numRef>
          </c:cat>
          <c:val>
            <c:numRef>
              <c:f>'Data-Coastal-Chin-Esc (new)'!$CH$20:$CH$50</c:f>
              <c:numCache>
                <c:formatCode>#,##0</c:formatCode>
                <c:ptCount val="31"/>
                <c:pt idx="0">
                  <c:v>1567.3680558642163</c:v>
                </c:pt>
                <c:pt idx="1">
                  <c:v>1545.6601304412025</c:v>
                </c:pt>
                <c:pt idx="2">
                  <c:v>4800</c:v>
                </c:pt>
                <c:pt idx="3">
                  <c:v>1656.6627146437695</c:v>
                </c:pt>
                <c:pt idx="4">
                  <c:v>1857.6878761173361</c:v>
                </c:pt>
                <c:pt idx="5">
                  <c:v>2186.1486310250393</c:v>
                </c:pt>
                <c:pt idx="6">
                  <c:v>2482.5012004196028</c:v>
                </c:pt>
                <c:pt idx="7">
                  <c:v>1491.7343331570235</c:v>
                </c:pt>
                <c:pt idx="8">
                  <c:v>2293.8406818144499</c:v>
                </c:pt>
                <c:pt idx="9">
                  <c:v>4800</c:v>
                </c:pt>
                <c:pt idx="10">
                  <c:v>4800</c:v>
                </c:pt>
                <c:pt idx="11">
                  <c:v>4370.385185185185</c:v>
                </c:pt>
                <c:pt idx="12">
                  <c:v>3687.5710144927539</c:v>
                </c:pt>
                <c:pt idx="13">
                  <c:v>4800</c:v>
                </c:pt>
                <c:pt idx="14">
                  <c:v>4800</c:v>
                </c:pt>
                <c:pt idx="15">
                  <c:v>4800</c:v>
                </c:pt>
                <c:pt idx="16">
                  <c:v>3106.6646628240705</c:v>
                </c:pt>
                <c:pt idx="17">
                  <c:v>4800</c:v>
                </c:pt>
                <c:pt idx="18">
                  <c:v>3359.9919846296166</c:v>
                </c:pt>
                <c:pt idx="20">
                  <c:v>4800</c:v>
                </c:pt>
                <c:pt idx="21">
                  <c:v>3023.9927861666556</c:v>
                </c:pt>
                <c:pt idx="22">
                  <c:v>4800</c:v>
                </c:pt>
                <c:pt idx="23">
                  <c:v>4143.9901143765273</c:v>
                </c:pt>
                <c:pt idx="26">
                  <c:v>3107.9925857823955</c:v>
                </c:pt>
                <c:pt idx="27">
                  <c:v>4800</c:v>
                </c:pt>
                <c:pt idx="28">
                  <c:v>1861.9955581489128</c:v>
                </c:pt>
                <c:pt idx="29">
                  <c:v>1894.6621468883673</c:v>
                </c:pt>
                <c:pt idx="30">
                  <c:v>4800</c:v>
                </c:pt>
              </c:numCache>
            </c:numRef>
          </c:val>
          <c:extLst>
            <c:ext xmlns:c16="http://schemas.microsoft.com/office/drawing/2014/chart" uri="{C3380CC4-5D6E-409C-BE32-E72D297353CC}">
              <c16:uniqueId val="{00000000-83CE-4757-949F-37210F26BE39}"/>
            </c:ext>
          </c:extLst>
        </c:ser>
        <c:ser>
          <c:idx val="1"/>
          <c:order val="1"/>
          <c:tx>
            <c:strRef>
              <c:f>'Data-Coastal-Chin-Esc (new)'!$CK$3</c:f>
              <c:strCache>
                <c:ptCount val="1"/>
                <c:pt idx="0">
                  <c:v>Index fill method</c:v>
                </c:pt>
              </c:strCache>
            </c:strRef>
          </c:tx>
          <c:invertIfNegative val="0"/>
          <c:cat>
            <c:numRef>
              <c:f>'Data-Coastal-Chin-Esc (new)'!$BP$20:$BP$50</c:f>
              <c:numCache>
                <c:formatCode>General</c:formatCode>
                <c:ptCount val="31"/>
                <c:pt idx="0">
                  <c:v>1992</c:v>
                </c:pt>
                <c:pt idx="1">
                  <c:v>1993</c:v>
                </c:pt>
                <c:pt idx="2">
                  <c:v>1994</c:v>
                </c:pt>
                <c:pt idx="3">
                  <c:v>1995</c:v>
                </c:pt>
                <c:pt idx="4">
                  <c:v>1996</c:v>
                </c:pt>
                <c:pt idx="5">
                  <c:v>1997</c:v>
                </c:pt>
                <c:pt idx="6">
                  <c:v>1998</c:v>
                </c:pt>
                <c:pt idx="7">
                  <c:v>1999</c:v>
                </c:pt>
                <c:pt idx="8">
                  <c:v>2000</c:v>
                </c:pt>
                <c:pt idx="9">
                  <c:v>2001</c:v>
                </c:pt>
                <c:pt idx="10">
                  <c:v>2002</c:v>
                </c:pt>
                <c:pt idx="11">
                  <c:v>2003</c:v>
                </c:pt>
                <c:pt idx="12">
                  <c:v>2004</c:v>
                </c:pt>
                <c:pt idx="13">
                  <c:v>2005</c:v>
                </c:pt>
                <c:pt idx="14">
                  <c:v>2006</c:v>
                </c:pt>
                <c:pt idx="15">
                  <c:v>2007</c:v>
                </c:pt>
                <c:pt idx="16">
                  <c:v>2008</c:v>
                </c:pt>
                <c:pt idx="17">
                  <c:v>2009</c:v>
                </c:pt>
                <c:pt idx="18">
                  <c:v>2010</c:v>
                </c:pt>
                <c:pt idx="19">
                  <c:v>2011</c:v>
                </c:pt>
                <c:pt idx="20">
                  <c:v>2012</c:v>
                </c:pt>
                <c:pt idx="21">
                  <c:v>2013</c:v>
                </c:pt>
                <c:pt idx="22">
                  <c:v>2014</c:v>
                </c:pt>
                <c:pt idx="23">
                  <c:v>2015</c:v>
                </c:pt>
                <c:pt idx="24">
                  <c:v>2016</c:v>
                </c:pt>
                <c:pt idx="25">
                  <c:v>2017</c:v>
                </c:pt>
                <c:pt idx="26">
                  <c:v>2018</c:v>
                </c:pt>
                <c:pt idx="27">
                  <c:v>2019</c:v>
                </c:pt>
                <c:pt idx="28">
                  <c:v>2020</c:v>
                </c:pt>
                <c:pt idx="29">
                  <c:v>2021</c:v>
                </c:pt>
                <c:pt idx="30">
                  <c:v>2022</c:v>
                </c:pt>
              </c:numCache>
            </c:numRef>
          </c:cat>
          <c:val>
            <c:numRef>
              <c:f>'Data-Coastal-Chin-Esc (new)'!$CK$20:$CK$50</c:f>
              <c:numCache>
                <c:formatCode>#,##0</c:formatCode>
                <c:ptCount val="31"/>
                <c:pt idx="0">
                  <c:v>1411.6632990978599</c:v>
                </c:pt>
                <c:pt idx="1">
                  <c:v>1826.5940488712602</c:v>
                </c:pt>
                <c:pt idx="2">
                  <c:v>5544.3153698031483</c:v>
                </c:pt>
                <c:pt idx="3">
                  <c:v>1457.1598087303146</c:v>
                </c:pt>
                <c:pt idx="4">
                  <c:v>1658.5558798556426</c:v>
                </c:pt>
                <c:pt idx="5">
                  <c:v>1606.1359205453737</c:v>
                </c:pt>
                <c:pt idx="6">
                  <c:v>2571.0462452599677</c:v>
                </c:pt>
                <c:pt idx="7">
                  <c:v>1726.8221050253512</c:v>
                </c:pt>
                <c:pt idx="8">
                  <c:v>1919.7638124780051</c:v>
                </c:pt>
                <c:pt idx="9">
                  <c:v>3534.8405164205146</c:v>
                </c:pt>
                <c:pt idx="10">
                  <c:v>2780.9503101465452</c:v>
                </c:pt>
                <c:pt idx="11">
                  <c:v>1962.6209901944283</c:v>
                </c:pt>
                <c:pt idx="12">
                  <c:v>1630.112929339798</c:v>
                </c:pt>
                <c:pt idx="13">
                  <c:v>2476.0375743578356</c:v>
                </c:pt>
                <c:pt idx="14">
                  <c:v>3334.8892509721932</c:v>
                </c:pt>
                <c:pt idx="15">
                  <c:v>4462.6291729713867</c:v>
                </c:pt>
                <c:pt idx="16">
                  <c:v>1437.7804754168383</c:v>
                </c:pt>
                <c:pt idx="17">
                  <c:v>5063.5890318812444</c:v>
                </c:pt>
                <c:pt idx="18">
                  <c:v>1368.5375761841201</c:v>
                </c:pt>
                <c:pt idx="20">
                  <c:v>2018.592924871577</c:v>
                </c:pt>
                <c:pt idx="21">
                  <c:v>1231.683818565708</c:v>
                </c:pt>
                <c:pt idx="22">
                  <c:v>3478.3663394679716</c:v>
                </c:pt>
                <c:pt idx="23">
                  <c:v>1687.8630106270814</c:v>
                </c:pt>
                <c:pt idx="26">
                  <c:v>1265.8972579703111</c:v>
                </c:pt>
                <c:pt idx="27">
                  <c:v>2337.9183593145385</c:v>
                </c:pt>
                <c:pt idx="28">
                  <c:v>2031.4950059167211</c:v>
                </c:pt>
                <c:pt idx="29">
                  <c:v>1720.7065908324466</c:v>
                </c:pt>
                <c:pt idx="30">
                  <c:v>20446.795723267973</c:v>
                </c:pt>
              </c:numCache>
            </c:numRef>
          </c:val>
          <c:extLst>
            <c:ext xmlns:c16="http://schemas.microsoft.com/office/drawing/2014/chart" uri="{C3380CC4-5D6E-409C-BE32-E72D297353CC}">
              <c16:uniqueId val="{00000001-83CE-4757-949F-37210F26BE39}"/>
            </c:ext>
          </c:extLst>
        </c:ser>
        <c:ser>
          <c:idx val="2"/>
          <c:order val="2"/>
          <c:tx>
            <c:strRef>
              <c:f>'Data-Coastal-Chin-Esc (new)'!$CL$3</c:f>
              <c:strCache>
                <c:ptCount val="1"/>
                <c:pt idx="0">
                  <c:v>Upper Nass method</c:v>
                </c:pt>
              </c:strCache>
            </c:strRef>
          </c:tx>
          <c:invertIfNegative val="0"/>
          <c:cat>
            <c:numRef>
              <c:f>'Data-Coastal-Chin-Esc (new)'!$BP$20:$BP$50</c:f>
              <c:numCache>
                <c:formatCode>General</c:formatCode>
                <c:ptCount val="31"/>
                <c:pt idx="0">
                  <c:v>1992</c:v>
                </c:pt>
                <c:pt idx="1">
                  <c:v>1993</c:v>
                </c:pt>
                <c:pt idx="2">
                  <c:v>1994</c:v>
                </c:pt>
                <c:pt idx="3">
                  <c:v>1995</c:v>
                </c:pt>
                <c:pt idx="4">
                  <c:v>1996</c:v>
                </c:pt>
                <c:pt idx="5">
                  <c:v>1997</c:v>
                </c:pt>
                <c:pt idx="6">
                  <c:v>1998</c:v>
                </c:pt>
                <c:pt idx="7">
                  <c:v>1999</c:v>
                </c:pt>
                <c:pt idx="8">
                  <c:v>2000</c:v>
                </c:pt>
                <c:pt idx="9">
                  <c:v>2001</c:v>
                </c:pt>
                <c:pt idx="10">
                  <c:v>2002</c:v>
                </c:pt>
                <c:pt idx="11">
                  <c:v>2003</c:v>
                </c:pt>
                <c:pt idx="12">
                  <c:v>2004</c:v>
                </c:pt>
                <c:pt idx="13">
                  <c:v>2005</c:v>
                </c:pt>
                <c:pt idx="14">
                  <c:v>2006</c:v>
                </c:pt>
                <c:pt idx="15">
                  <c:v>2007</c:v>
                </c:pt>
                <c:pt idx="16">
                  <c:v>2008</c:v>
                </c:pt>
                <c:pt idx="17">
                  <c:v>2009</c:v>
                </c:pt>
                <c:pt idx="18">
                  <c:v>2010</c:v>
                </c:pt>
                <c:pt idx="19">
                  <c:v>2011</c:v>
                </c:pt>
                <c:pt idx="20">
                  <c:v>2012</c:v>
                </c:pt>
                <c:pt idx="21">
                  <c:v>2013</c:v>
                </c:pt>
                <c:pt idx="22">
                  <c:v>2014</c:v>
                </c:pt>
                <c:pt idx="23">
                  <c:v>2015</c:v>
                </c:pt>
                <c:pt idx="24">
                  <c:v>2016</c:v>
                </c:pt>
                <c:pt idx="25">
                  <c:v>2017</c:v>
                </c:pt>
                <c:pt idx="26">
                  <c:v>2018</c:v>
                </c:pt>
                <c:pt idx="27">
                  <c:v>2019</c:v>
                </c:pt>
                <c:pt idx="28">
                  <c:v>2020</c:v>
                </c:pt>
                <c:pt idx="29">
                  <c:v>2021</c:v>
                </c:pt>
                <c:pt idx="30">
                  <c:v>2022</c:v>
                </c:pt>
              </c:numCache>
            </c:numRef>
          </c:cat>
          <c:val>
            <c:numRef>
              <c:f>'Data-Coastal-Chin-Esc (new)'!$CL$20:$CL$50</c:f>
              <c:numCache>
                <c:formatCode>#,##0</c:formatCode>
                <c:ptCount val="31"/>
                <c:pt idx="0">
                  <c:v>514.03913038066605</c:v>
                </c:pt>
                <c:pt idx="1">
                  <c:v>2266.4032113451422</c:v>
                </c:pt>
                <c:pt idx="2">
                  <c:v>1505.0023177017511</c:v>
                </c:pt>
                <c:pt idx="3">
                  <c:v>291.03005064719468</c:v>
                </c:pt>
                <c:pt idx="4">
                  <c:v>1094.8358276206534</c:v>
                </c:pt>
                <c:pt idx="5">
                  <c:v>905.41256323478603</c:v>
                </c:pt>
                <c:pt idx="6">
                  <c:v>1334.8926043663616</c:v>
                </c:pt>
                <c:pt idx="7">
                  <c:v>568.6884098722586</c:v>
                </c:pt>
                <c:pt idx="8">
                  <c:v>887.92007151359746</c:v>
                </c:pt>
                <c:pt idx="9">
                  <c:v>3534.8405164205146</c:v>
                </c:pt>
                <c:pt idx="10">
                  <c:v>1468.6692465993819</c:v>
                </c:pt>
                <c:pt idx="11">
                  <c:v>2711.8571589023868</c:v>
                </c:pt>
                <c:pt idx="12">
                  <c:v>1437.8891676501578</c:v>
                </c:pt>
                <c:pt idx="13">
                  <c:v>1676.895006786744</c:v>
                </c:pt>
                <c:pt idx="14">
                  <c:v>4019.2394342094994</c:v>
                </c:pt>
                <c:pt idx="15">
                  <c:v>2479.0042478160467</c:v>
                </c:pt>
                <c:pt idx="16">
                  <c:v>2527.8147033456153</c:v>
                </c:pt>
                <c:pt idx="17">
                  <c:v>3182.8164264657844</c:v>
                </c:pt>
                <c:pt idx="18">
                  <c:v>2138.0036441262259</c:v>
                </c:pt>
                <c:pt idx="19">
                  <c:v>1267.726673734421</c:v>
                </c:pt>
                <c:pt idx="20">
                  <c:v>1126.6759872828416</c:v>
                </c:pt>
                <c:pt idx="21">
                  <c:v>1122.0639757367421</c:v>
                </c:pt>
                <c:pt idx="22">
                  <c:v>1670.5570572141503</c:v>
                </c:pt>
                <c:pt idx="23">
                  <c:v>2345.9044771028007</c:v>
                </c:pt>
                <c:pt idx="24">
                  <c:v>1323.6232928374238</c:v>
                </c:pt>
                <c:pt idx="25">
                  <c:v>695.86126291140852</c:v>
                </c:pt>
                <c:pt idx="26">
                  <c:v>2148.2486350292065</c:v>
                </c:pt>
                <c:pt idx="27">
                  <c:v>1406.844521764483</c:v>
                </c:pt>
                <c:pt idx="28">
                  <c:v>1540.7718742051968</c:v>
                </c:pt>
                <c:pt idx="29">
                  <c:v>1413.1740802954187</c:v>
                </c:pt>
                <c:pt idx="30">
                  <c:v>4105.2403860572877</c:v>
                </c:pt>
              </c:numCache>
            </c:numRef>
          </c:val>
          <c:extLst>
            <c:ext xmlns:c16="http://schemas.microsoft.com/office/drawing/2014/chart" uri="{C3380CC4-5D6E-409C-BE32-E72D297353CC}">
              <c16:uniqueId val="{00000002-83CE-4757-949F-37210F26BE39}"/>
            </c:ext>
          </c:extLst>
        </c:ser>
        <c:dLbls>
          <c:showLegendKey val="0"/>
          <c:showVal val="0"/>
          <c:showCatName val="0"/>
          <c:showSerName val="0"/>
          <c:showPercent val="0"/>
          <c:showBubbleSize val="0"/>
        </c:dLbls>
        <c:gapWidth val="32"/>
        <c:axId val="370611712"/>
        <c:axId val="370613248"/>
      </c:barChart>
      <c:catAx>
        <c:axId val="370611712"/>
        <c:scaling>
          <c:orientation val="minMax"/>
        </c:scaling>
        <c:delete val="0"/>
        <c:axPos val="b"/>
        <c:numFmt formatCode="General" sourceLinked="1"/>
        <c:majorTickMark val="out"/>
        <c:minorTickMark val="none"/>
        <c:tickLblPos val="nextTo"/>
        <c:txPr>
          <a:bodyPr rot="5400000" vert="horz"/>
          <a:lstStyle/>
          <a:p>
            <a:pPr>
              <a:defRPr/>
            </a:pPr>
            <a:endParaRPr lang="en-US"/>
          </a:p>
        </c:txPr>
        <c:crossAx val="370613248"/>
        <c:crosses val="autoZero"/>
        <c:auto val="1"/>
        <c:lblAlgn val="ctr"/>
        <c:lblOffset val="100"/>
        <c:noMultiLvlLbl val="0"/>
      </c:catAx>
      <c:valAx>
        <c:axId val="370613248"/>
        <c:scaling>
          <c:orientation val="minMax"/>
        </c:scaling>
        <c:delete val="0"/>
        <c:axPos val="l"/>
        <c:majorGridlines/>
        <c:numFmt formatCode="#,##0" sourceLinked="1"/>
        <c:majorTickMark val="out"/>
        <c:minorTickMark val="none"/>
        <c:tickLblPos val="nextTo"/>
        <c:crossAx val="370611712"/>
        <c:crosses val="autoZero"/>
        <c:crossBetween val="between"/>
      </c:valAx>
    </c:plotArea>
    <c:legend>
      <c:legendPos val="r"/>
      <c:layout>
        <c:manualLayout>
          <c:xMode val="edge"/>
          <c:yMode val="edge"/>
          <c:x val="0.6516125056191181"/>
          <c:y val="0.1532554982351344"/>
          <c:w val="0.2723746719160105"/>
          <c:h val="0.1770775007290755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Coastal Nass Chinook Escapement Estimates</a:t>
            </a:r>
          </a:p>
        </c:rich>
      </c:tx>
      <c:overlay val="1"/>
    </c:title>
    <c:autoTitleDeleted val="0"/>
    <c:plotArea>
      <c:layout>
        <c:manualLayout>
          <c:layoutTarget val="inner"/>
          <c:xMode val="edge"/>
          <c:yMode val="edge"/>
          <c:x val="0.10015507436570428"/>
          <c:y val="0.18626650978972456"/>
          <c:w val="0.86080358705161852"/>
          <c:h val="0.66036962621051676"/>
        </c:manualLayout>
      </c:layout>
      <c:barChart>
        <c:barDir val="col"/>
        <c:grouping val="clustered"/>
        <c:varyColors val="0"/>
        <c:ser>
          <c:idx val="0"/>
          <c:order val="0"/>
          <c:tx>
            <c:strRef>
              <c:f>'Data-Coastal-Chin-Esc (new)'!$CH$3</c:f>
              <c:strCache>
                <c:ptCount val="1"/>
                <c:pt idx="0">
                  <c:v>Habitat-Capacity method (capped)</c:v>
                </c:pt>
              </c:strCache>
            </c:strRef>
          </c:tx>
          <c:invertIfNegative val="0"/>
          <c:cat>
            <c:numRef>
              <c:f>'Data-Coastal-Chin-Esc (new)'!$BP$20:$BP$46</c:f>
              <c:numCache>
                <c:formatCode>General</c:formatCode>
                <c:ptCount val="27"/>
                <c:pt idx="0">
                  <c:v>1992</c:v>
                </c:pt>
                <c:pt idx="1">
                  <c:v>1993</c:v>
                </c:pt>
                <c:pt idx="2">
                  <c:v>1994</c:v>
                </c:pt>
                <c:pt idx="3">
                  <c:v>1995</c:v>
                </c:pt>
                <c:pt idx="4">
                  <c:v>1996</c:v>
                </c:pt>
                <c:pt idx="5">
                  <c:v>1997</c:v>
                </c:pt>
                <c:pt idx="6">
                  <c:v>1998</c:v>
                </c:pt>
                <c:pt idx="7">
                  <c:v>1999</c:v>
                </c:pt>
                <c:pt idx="8">
                  <c:v>2000</c:v>
                </c:pt>
                <c:pt idx="9">
                  <c:v>2001</c:v>
                </c:pt>
                <c:pt idx="10">
                  <c:v>2002</c:v>
                </c:pt>
                <c:pt idx="11">
                  <c:v>2003</c:v>
                </c:pt>
                <c:pt idx="12">
                  <c:v>2004</c:v>
                </c:pt>
                <c:pt idx="13">
                  <c:v>2005</c:v>
                </c:pt>
                <c:pt idx="14">
                  <c:v>2006</c:v>
                </c:pt>
                <c:pt idx="15">
                  <c:v>2007</c:v>
                </c:pt>
                <c:pt idx="16">
                  <c:v>2008</c:v>
                </c:pt>
                <c:pt idx="17">
                  <c:v>2009</c:v>
                </c:pt>
                <c:pt idx="18">
                  <c:v>2010</c:v>
                </c:pt>
                <c:pt idx="19">
                  <c:v>2011</c:v>
                </c:pt>
                <c:pt idx="20">
                  <c:v>2012</c:v>
                </c:pt>
                <c:pt idx="21">
                  <c:v>2013</c:v>
                </c:pt>
                <c:pt idx="22">
                  <c:v>2014</c:v>
                </c:pt>
                <c:pt idx="23">
                  <c:v>2015</c:v>
                </c:pt>
                <c:pt idx="24">
                  <c:v>2016</c:v>
                </c:pt>
                <c:pt idx="25">
                  <c:v>2017</c:v>
                </c:pt>
                <c:pt idx="26">
                  <c:v>2018</c:v>
                </c:pt>
              </c:numCache>
            </c:numRef>
          </c:cat>
          <c:val>
            <c:numRef>
              <c:f>'Data-Coastal-Chin-Esc (new)'!$DE$20:$DE$46</c:f>
              <c:numCache>
                <c:formatCode>0.0%</c:formatCode>
                <c:ptCount val="27"/>
                <c:pt idx="0">
                  <c:v>8.5297233290737545E-2</c:v>
                </c:pt>
                <c:pt idx="1">
                  <c:v>5.8637331543444735E-2</c:v>
                </c:pt>
                <c:pt idx="2">
                  <c:v>0.16878031646623096</c:v>
                </c:pt>
                <c:pt idx="3">
                  <c:v>0.15281072716446908</c:v>
                </c:pt>
                <c:pt idx="4">
                  <c:v>7.8784513246100529E-2</c:v>
                </c:pt>
                <c:pt idx="5">
                  <c:v>9.2796904570900118E-2</c:v>
                </c:pt>
                <c:pt idx="6">
                  <c:v>9.0633653698223404E-2</c:v>
                </c:pt>
                <c:pt idx="7">
                  <c:v>0.10244911410546897</c:v>
                </c:pt>
                <c:pt idx="8">
                  <c:v>0.1125599202442077</c:v>
                </c:pt>
                <c:pt idx="9">
                  <c:v>0.14059342139949035</c:v>
                </c:pt>
                <c:pt idx="10">
                  <c:v>0.25052192066805845</c:v>
                </c:pt>
                <c:pt idx="11">
                  <c:v>0.12447556932611686</c:v>
                </c:pt>
              </c:numCache>
            </c:numRef>
          </c:val>
          <c:extLst>
            <c:ext xmlns:c16="http://schemas.microsoft.com/office/drawing/2014/chart" uri="{C3380CC4-5D6E-409C-BE32-E72D297353CC}">
              <c16:uniqueId val="{00000000-C28F-47A6-A793-EF18A6C28803}"/>
            </c:ext>
          </c:extLst>
        </c:ser>
        <c:ser>
          <c:idx val="1"/>
          <c:order val="1"/>
          <c:tx>
            <c:strRef>
              <c:f>'Data-Coastal-Chin-Esc (new)'!$CK$3</c:f>
              <c:strCache>
                <c:ptCount val="1"/>
                <c:pt idx="0">
                  <c:v>Index fill method</c:v>
                </c:pt>
              </c:strCache>
            </c:strRef>
          </c:tx>
          <c:invertIfNegative val="0"/>
          <c:cat>
            <c:numRef>
              <c:f>'Data-Coastal-Chin-Esc (new)'!$BP$20:$BP$46</c:f>
              <c:numCache>
                <c:formatCode>General</c:formatCode>
                <c:ptCount val="27"/>
                <c:pt idx="0">
                  <c:v>1992</c:v>
                </c:pt>
                <c:pt idx="1">
                  <c:v>1993</c:v>
                </c:pt>
                <c:pt idx="2">
                  <c:v>1994</c:v>
                </c:pt>
                <c:pt idx="3">
                  <c:v>1995</c:v>
                </c:pt>
                <c:pt idx="4">
                  <c:v>1996</c:v>
                </c:pt>
                <c:pt idx="5">
                  <c:v>1997</c:v>
                </c:pt>
                <c:pt idx="6">
                  <c:v>1998</c:v>
                </c:pt>
                <c:pt idx="7">
                  <c:v>1999</c:v>
                </c:pt>
                <c:pt idx="8">
                  <c:v>2000</c:v>
                </c:pt>
                <c:pt idx="9">
                  <c:v>2001</c:v>
                </c:pt>
                <c:pt idx="10">
                  <c:v>2002</c:v>
                </c:pt>
                <c:pt idx="11">
                  <c:v>2003</c:v>
                </c:pt>
                <c:pt idx="12">
                  <c:v>2004</c:v>
                </c:pt>
                <c:pt idx="13">
                  <c:v>2005</c:v>
                </c:pt>
                <c:pt idx="14">
                  <c:v>2006</c:v>
                </c:pt>
                <c:pt idx="15">
                  <c:v>2007</c:v>
                </c:pt>
                <c:pt idx="16">
                  <c:v>2008</c:v>
                </c:pt>
                <c:pt idx="17">
                  <c:v>2009</c:v>
                </c:pt>
                <c:pt idx="18">
                  <c:v>2010</c:v>
                </c:pt>
                <c:pt idx="19">
                  <c:v>2011</c:v>
                </c:pt>
                <c:pt idx="20">
                  <c:v>2012</c:v>
                </c:pt>
                <c:pt idx="21">
                  <c:v>2013</c:v>
                </c:pt>
                <c:pt idx="22">
                  <c:v>2014</c:v>
                </c:pt>
                <c:pt idx="23">
                  <c:v>2015</c:v>
                </c:pt>
                <c:pt idx="24">
                  <c:v>2016</c:v>
                </c:pt>
                <c:pt idx="25">
                  <c:v>2017</c:v>
                </c:pt>
                <c:pt idx="26">
                  <c:v>2018</c:v>
                </c:pt>
              </c:numCache>
            </c:numRef>
          </c:cat>
          <c:val>
            <c:numRef>
              <c:f>'Data-Coastal-Chin-Esc (new)'!$DF$20:$DF$46</c:f>
              <c:numCache>
                <c:formatCode>0.0%</c:formatCode>
                <c:ptCount val="27"/>
                <c:pt idx="0">
                  <c:v>7.7480207835001966E-2</c:v>
                </c:pt>
                <c:pt idx="1">
                  <c:v>6.856431375067823E-2</c:v>
                </c:pt>
                <c:pt idx="2">
                  <c:v>0.18998018603181135</c:v>
                </c:pt>
                <c:pt idx="3">
                  <c:v>0.13692833821415137</c:v>
                </c:pt>
                <c:pt idx="4">
                  <c:v>7.0938416491456574E-2</c:v>
                </c:pt>
                <c:pt idx="5">
                  <c:v>6.989761152280688E-2</c:v>
                </c:pt>
                <c:pt idx="6">
                  <c:v>9.3563882178169244E-2</c:v>
                </c:pt>
                <c:pt idx="7">
                  <c:v>0.11671011538039795</c:v>
                </c:pt>
                <c:pt idx="8">
                  <c:v>9.5965332581459881E-2</c:v>
                </c:pt>
                <c:pt idx="9">
                  <c:v>0.1075209169072032</c:v>
                </c:pt>
                <c:pt idx="10">
                  <c:v>0.1622401477064179</c:v>
                </c:pt>
                <c:pt idx="11">
                  <c:v>6.0014180232920829E-2</c:v>
                </c:pt>
                <c:pt idx="12">
                  <c:v>0.10608078232706548</c:v>
                </c:pt>
                <c:pt idx="13">
                  <c:v>0.15886458219168584</c:v>
                </c:pt>
                <c:pt idx="14">
                  <c:v>0.12868324493804756</c:v>
                </c:pt>
                <c:pt idx="15">
                  <c:v>0.1777725366218485</c:v>
                </c:pt>
                <c:pt idx="16">
                  <c:v>6.3945176873049195E-2</c:v>
                </c:pt>
                <c:pt idx="17">
                  <c:v>0.16042297526991153</c:v>
                </c:pt>
                <c:pt idx="18">
                  <c:v>7.1390522209565779E-2</c:v>
                </c:pt>
                <c:pt idx="20">
                  <c:v>0.17707898465955529</c:v>
                </c:pt>
                <c:pt idx="21">
                  <c:v>0.11648137462303342</c:v>
                </c:pt>
                <c:pt idx="22">
                  <c:v>0.20004906216072577</c:v>
                </c:pt>
                <c:pt idx="23">
                  <c:v>7.9540904745749041E-2</c:v>
                </c:pt>
                <c:pt idx="26">
                  <c:v>6.6096019050919996E-2</c:v>
                </c:pt>
              </c:numCache>
            </c:numRef>
          </c:val>
          <c:extLst>
            <c:ext xmlns:c16="http://schemas.microsoft.com/office/drawing/2014/chart" uri="{C3380CC4-5D6E-409C-BE32-E72D297353CC}">
              <c16:uniqueId val="{00000001-C28F-47A6-A793-EF18A6C28803}"/>
            </c:ext>
          </c:extLst>
        </c:ser>
        <c:ser>
          <c:idx val="2"/>
          <c:order val="2"/>
          <c:tx>
            <c:strRef>
              <c:f>'Data-Coastal-Chin-Esc (new)'!$CL$3</c:f>
              <c:strCache>
                <c:ptCount val="1"/>
                <c:pt idx="0">
                  <c:v>Upper Nass method</c:v>
                </c:pt>
              </c:strCache>
            </c:strRef>
          </c:tx>
          <c:invertIfNegative val="0"/>
          <c:cat>
            <c:numRef>
              <c:f>'Data-Coastal-Chin-Esc (new)'!$BP$20:$BP$46</c:f>
              <c:numCache>
                <c:formatCode>General</c:formatCode>
                <c:ptCount val="27"/>
                <c:pt idx="0">
                  <c:v>1992</c:v>
                </c:pt>
                <c:pt idx="1">
                  <c:v>1993</c:v>
                </c:pt>
                <c:pt idx="2">
                  <c:v>1994</c:v>
                </c:pt>
                <c:pt idx="3">
                  <c:v>1995</c:v>
                </c:pt>
                <c:pt idx="4">
                  <c:v>1996</c:v>
                </c:pt>
                <c:pt idx="5">
                  <c:v>1997</c:v>
                </c:pt>
                <c:pt idx="6">
                  <c:v>1998</c:v>
                </c:pt>
                <c:pt idx="7">
                  <c:v>1999</c:v>
                </c:pt>
                <c:pt idx="8">
                  <c:v>2000</c:v>
                </c:pt>
                <c:pt idx="9">
                  <c:v>2001</c:v>
                </c:pt>
                <c:pt idx="10">
                  <c:v>2002</c:v>
                </c:pt>
                <c:pt idx="11">
                  <c:v>2003</c:v>
                </c:pt>
                <c:pt idx="12">
                  <c:v>2004</c:v>
                </c:pt>
                <c:pt idx="13">
                  <c:v>2005</c:v>
                </c:pt>
                <c:pt idx="14">
                  <c:v>2006</c:v>
                </c:pt>
                <c:pt idx="15">
                  <c:v>2007</c:v>
                </c:pt>
                <c:pt idx="16">
                  <c:v>2008</c:v>
                </c:pt>
                <c:pt idx="17">
                  <c:v>2009</c:v>
                </c:pt>
                <c:pt idx="18">
                  <c:v>2010</c:v>
                </c:pt>
                <c:pt idx="19">
                  <c:v>2011</c:v>
                </c:pt>
                <c:pt idx="20">
                  <c:v>2012</c:v>
                </c:pt>
                <c:pt idx="21">
                  <c:v>2013</c:v>
                </c:pt>
                <c:pt idx="22">
                  <c:v>2014</c:v>
                </c:pt>
                <c:pt idx="23">
                  <c:v>2015</c:v>
                </c:pt>
                <c:pt idx="24">
                  <c:v>2016</c:v>
                </c:pt>
                <c:pt idx="25">
                  <c:v>2017</c:v>
                </c:pt>
                <c:pt idx="26">
                  <c:v>2018</c:v>
                </c:pt>
              </c:numCache>
            </c:numRef>
          </c:cat>
          <c:val>
            <c:numRef>
              <c:f>'Data-Coastal-Chin-Esc (new)'!$DG$20:$DG$46</c:f>
              <c:numCache>
                <c:formatCode>0.0%</c:formatCode>
                <c:ptCount val="27"/>
                <c:pt idx="9">
                  <c:v>0.1075209169072032</c:v>
                </c:pt>
                <c:pt idx="10">
                  <c:v>9.278538983401334E-2</c:v>
                </c:pt>
                <c:pt idx="11">
                  <c:v>8.1067461995325815E-2</c:v>
                </c:pt>
                <c:pt idx="12">
                  <c:v>9.4757006431263072E-2</c:v>
                </c:pt>
                <c:pt idx="13">
                  <c:v>0.11340566678470672</c:v>
                </c:pt>
                <c:pt idx="14">
                  <c:v>0.1511001389369456</c:v>
                </c:pt>
                <c:pt idx="15">
                  <c:v>0.10722613010455161</c:v>
                </c:pt>
                <c:pt idx="16">
                  <c:v>0.10722613010455175</c:v>
                </c:pt>
                <c:pt idx="17">
                  <c:v>0.10722613010455163</c:v>
                </c:pt>
                <c:pt idx="18">
                  <c:v>0.10722613010455148</c:v>
                </c:pt>
                <c:pt idx="19">
                  <c:v>0.10722613010455162</c:v>
                </c:pt>
                <c:pt idx="20">
                  <c:v>0.10722613010455161</c:v>
                </c:pt>
                <c:pt idx="21">
                  <c:v>0.10722613010455169</c:v>
                </c:pt>
                <c:pt idx="22">
                  <c:v>0.10722613010455159</c:v>
                </c:pt>
                <c:pt idx="23">
                  <c:v>0.10722613010455172</c:v>
                </c:pt>
                <c:pt idx="24">
                  <c:v>0.10722613010455175</c:v>
                </c:pt>
                <c:pt idx="25">
                  <c:v>0.10722613010455177</c:v>
                </c:pt>
                <c:pt idx="26">
                  <c:v>0.10722613010455154</c:v>
                </c:pt>
              </c:numCache>
            </c:numRef>
          </c:val>
          <c:extLst>
            <c:ext xmlns:c16="http://schemas.microsoft.com/office/drawing/2014/chart" uri="{C3380CC4-5D6E-409C-BE32-E72D297353CC}">
              <c16:uniqueId val="{00000002-C28F-47A6-A793-EF18A6C28803}"/>
            </c:ext>
          </c:extLst>
        </c:ser>
        <c:dLbls>
          <c:showLegendKey val="0"/>
          <c:showVal val="0"/>
          <c:showCatName val="0"/>
          <c:showSerName val="0"/>
          <c:showPercent val="0"/>
          <c:showBubbleSize val="0"/>
        </c:dLbls>
        <c:gapWidth val="32"/>
        <c:axId val="370651904"/>
        <c:axId val="370653440"/>
      </c:barChart>
      <c:catAx>
        <c:axId val="370651904"/>
        <c:scaling>
          <c:orientation val="minMax"/>
        </c:scaling>
        <c:delete val="0"/>
        <c:axPos val="b"/>
        <c:numFmt formatCode="General" sourceLinked="1"/>
        <c:majorTickMark val="out"/>
        <c:minorTickMark val="none"/>
        <c:tickLblPos val="nextTo"/>
        <c:txPr>
          <a:bodyPr rot="5400000" vert="horz"/>
          <a:lstStyle/>
          <a:p>
            <a:pPr>
              <a:defRPr/>
            </a:pPr>
            <a:endParaRPr lang="en-US"/>
          </a:p>
        </c:txPr>
        <c:crossAx val="370653440"/>
        <c:crosses val="autoZero"/>
        <c:auto val="1"/>
        <c:lblAlgn val="ctr"/>
        <c:lblOffset val="100"/>
        <c:noMultiLvlLbl val="0"/>
      </c:catAx>
      <c:valAx>
        <c:axId val="370653440"/>
        <c:scaling>
          <c:orientation val="minMax"/>
        </c:scaling>
        <c:delete val="0"/>
        <c:axPos val="l"/>
        <c:majorGridlines/>
        <c:numFmt formatCode="0.0%" sourceLinked="1"/>
        <c:majorTickMark val="out"/>
        <c:minorTickMark val="none"/>
        <c:tickLblPos val="nextTo"/>
        <c:crossAx val="370651904"/>
        <c:crosses val="autoZero"/>
        <c:crossBetween val="between"/>
      </c:valAx>
    </c:plotArea>
    <c:legend>
      <c:legendPos val="r"/>
      <c:layout>
        <c:manualLayout>
          <c:xMode val="edge"/>
          <c:yMode val="edge"/>
          <c:x val="0.10833446580598746"/>
          <c:y val="9.5017950342414101E-2"/>
          <c:w val="0.82854410463885386"/>
          <c:h val="6.0602286783117632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manualLayout>
          <c:layoutTarget val="inner"/>
          <c:xMode val="edge"/>
          <c:yMode val="edge"/>
          <c:x val="0.10015507436570428"/>
          <c:y val="0.19480351414406533"/>
          <c:w val="0.79508158355205605"/>
          <c:h val="0.68921660834062404"/>
        </c:manualLayout>
      </c:layout>
      <c:scatterChart>
        <c:scatterStyle val="lineMarker"/>
        <c:varyColors val="0"/>
        <c:ser>
          <c:idx val="0"/>
          <c:order val="0"/>
          <c:tx>
            <c:v>Upper to Habitat</c:v>
          </c:tx>
          <c:spPr>
            <a:ln w="28575">
              <a:noFill/>
            </a:ln>
          </c:spPr>
          <c:trendline>
            <c:trendlineType val="linear"/>
            <c:dispRSqr val="1"/>
            <c:dispEq val="1"/>
            <c:trendlineLbl>
              <c:layout>
                <c:manualLayout>
                  <c:x val="-0.40343000874890639"/>
                  <c:y val="-4.6655365995917179E-2"/>
                </c:manualLayout>
              </c:layout>
              <c:numFmt formatCode="General" sourceLinked="0"/>
            </c:trendlineLbl>
          </c:trendline>
          <c:xVal>
            <c:numRef>
              <c:f>'Data-Coastal-Chin-Esc (new)'!$DD$172:$DD$194</c:f>
              <c:numCache>
                <c:formatCode>General</c:formatCode>
                <c:ptCount val="23"/>
                <c:pt idx="0">
                  <c:v>907.5</c:v>
                </c:pt>
                <c:pt idx="1">
                  <c:v>1038.758236354696</c:v>
                </c:pt>
                <c:pt idx="2">
                  <c:v>3702.5821019688628</c:v>
                </c:pt>
                <c:pt idx="3">
                  <c:v>973.11452679950878</c:v>
                </c:pt>
                <c:pt idx="4">
                  <c:v>1107.6100305035061</c:v>
                </c:pt>
                <c:pt idx="5">
                  <c:v>1635.2949568530512</c:v>
                </c:pt>
                <c:pt idx="6">
                  <c:v>1462.1176856253073</c:v>
                </c:pt>
                <c:pt idx="7">
                  <c:v>982.01934109162426</c:v>
                </c:pt>
                <c:pt idx="8">
                  <c:v>1301.7400990099009</c:v>
                </c:pt>
                <c:pt idx="9">
                  <c:v>4010.8149333962319</c:v>
                </c:pt>
                <c:pt idx="10">
                  <c:v>1452.4835527501555</c:v>
                </c:pt>
                <c:pt idx="11">
                  <c:v>2425.4448677935575</c:v>
                </c:pt>
                <c:pt idx="12">
                  <c:v>1690.6324256450062</c:v>
                </c:pt>
                <c:pt idx="13">
                  <c:v>1864.7958717109177</c:v>
                </c:pt>
                <c:pt idx="14">
                  <c:v>4466.9424761959635</c:v>
                </c:pt>
                <c:pt idx="15">
                  <c:v>2827.8722432912364</c:v>
                </c:pt>
                <c:pt idx="16">
                  <c:v>2507.6954945969355</c:v>
                </c:pt>
                <c:pt idx="17">
                  <c:v>3350.3220601782664</c:v>
                </c:pt>
                <c:pt idx="18">
                  <c:v>2348.1380991434667</c:v>
                </c:pt>
                <c:pt idx="19">
                  <c:v>1109.8320503246844</c:v>
                </c:pt>
                <c:pt idx="20">
                  <c:v>1023.3691502663061</c:v>
                </c:pt>
              </c:numCache>
            </c:numRef>
          </c:xVal>
          <c:yVal>
            <c:numRef>
              <c:f>'Data-Coastal-Chin-Esc (new)'!$DE$172:$DE$194</c:f>
              <c:numCache>
                <c:formatCode>General</c:formatCode>
                <c:ptCount val="23"/>
                <c:pt idx="0">
                  <c:v>1007.5961538461538</c:v>
                </c:pt>
                <c:pt idx="1">
                  <c:v>993.64102564102564</c:v>
                </c:pt>
                <c:pt idx="2">
                  <c:v>4480.3846153846152</c:v>
                </c:pt>
                <c:pt idx="3">
                  <c:v>1065</c:v>
                </c:pt>
                <c:pt idx="4">
                  <c:v>1194.2307692307693</c:v>
                </c:pt>
                <c:pt idx="5">
                  <c:v>1405.3846153846155</c:v>
                </c:pt>
                <c:pt idx="6">
                  <c:v>1595.8974358974358</c:v>
                </c:pt>
                <c:pt idx="7">
                  <c:v>958.97435897435889</c:v>
                </c:pt>
                <c:pt idx="8">
                  <c:v>1474.6153846153848</c:v>
                </c:pt>
                <c:pt idx="9">
                  <c:v>4800</c:v>
                </c:pt>
                <c:pt idx="10">
                  <c:v>4800</c:v>
                </c:pt>
                <c:pt idx="11">
                  <c:v>4370.385185185185</c:v>
                </c:pt>
                <c:pt idx="12">
                  <c:v>4800</c:v>
                </c:pt>
                <c:pt idx="13">
                  <c:v>4800</c:v>
                </c:pt>
                <c:pt idx="14">
                  <c:v>4800</c:v>
                </c:pt>
                <c:pt idx="15">
                  <c:v>4800</c:v>
                </c:pt>
                <c:pt idx="16">
                  <c:v>1679.9959923148083</c:v>
                </c:pt>
                <c:pt idx="17">
                  <c:v>3639.9913166820843</c:v>
                </c:pt>
                <c:pt idx="18">
                  <c:v>3359.9919846296166</c:v>
                </c:pt>
                <c:pt idx="19">
                  <c:v>4800</c:v>
                </c:pt>
                <c:pt idx="20">
                  <c:v>3023.9927861666556</c:v>
                </c:pt>
              </c:numCache>
            </c:numRef>
          </c:yVal>
          <c:smooth val="0"/>
          <c:extLst>
            <c:ext xmlns:c16="http://schemas.microsoft.com/office/drawing/2014/chart" uri="{C3380CC4-5D6E-409C-BE32-E72D297353CC}">
              <c16:uniqueId val="{00000001-591C-4889-ACDF-1A3AB2B75F6E}"/>
            </c:ext>
          </c:extLst>
        </c:ser>
        <c:dLbls>
          <c:showLegendKey val="0"/>
          <c:showVal val="0"/>
          <c:showCatName val="0"/>
          <c:showSerName val="0"/>
          <c:showPercent val="0"/>
          <c:showBubbleSize val="0"/>
        </c:dLbls>
        <c:axId val="371613696"/>
        <c:axId val="371615232"/>
      </c:scatterChart>
      <c:valAx>
        <c:axId val="371613696"/>
        <c:scaling>
          <c:orientation val="minMax"/>
        </c:scaling>
        <c:delete val="0"/>
        <c:axPos val="b"/>
        <c:numFmt formatCode="General" sourceLinked="1"/>
        <c:majorTickMark val="out"/>
        <c:minorTickMark val="none"/>
        <c:tickLblPos val="nextTo"/>
        <c:crossAx val="371615232"/>
        <c:crosses val="autoZero"/>
        <c:crossBetween val="midCat"/>
      </c:valAx>
      <c:valAx>
        <c:axId val="371615232"/>
        <c:scaling>
          <c:orientation val="minMax"/>
        </c:scaling>
        <c:delete val="0"/>
        <c:axPos val="l"/>
        <c:majorGridlines/>
        <c:numFmt formatCode="General" sourceLinked="1"/>
        <c:majorTickMark val="out"/>
        <c:minorTickMark val="none"/>
        <c:tickLblPos val="nextTo"/>
        <c:crossAx val="371613696"/>
        <c:crosses val="autoZero"/>
        <c:crossBetween val="midCat"/>
      </c:valAx>
    </c:plotArea>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Coastal Nass Chinook Escapement%</a:t>
            </a:r>
          </a:p>
        </c:rich>
      </c:tx>
      <c:overlay val="1"/>
    </c:title>
    <c:autoTitleDeleted val="0"/>
    <c:plotArea>
      <c:layout>
        <c:manualLayout>
          <c:layoutTarget val="inner"/>
          <c:xMode val="edge"/>
          <c:yMode val="edge"/>
          <c:x val="0.10015507436570428"/>
          <c:y val="0.18626650978972456"/>
          <c:w val="0.86080358705161852"/>
          <c:h val="0.66036962621051676"/>
        </c:manualLayout>
      </c:layout>
      <c:barChart>
        <c:barDir val="col"/>
        <c:grouping val="clustered"/>
        <c:varyColors val="0"/>
        <c:ser>
          <c:idx val="0"/>
          <c:order val="0"/>
          <c:tx>
            <c:strRef>
              <c:f>'Data-Coastal-Chin-Esc (new)'!$DN$3</c:f>
              <c:strCache>
                <c:ptCount val="1"/>
                <c:pt idx="0">
                  <c:v>Habitat-Capacity Kwinamass method</c:v>
                </c:pt>
              </c:strCache>
            </c:strRef>
          </c:tx>
          <c:invertIfNegative val="0"/>
          <c:cat>
            <c:numRef>
              <c:f>'Data-Coastal-Chin-Esc (new)'!$BP$20:$BP$46</c:f>
              <c:numCache>
                <c:formatCode>General</c:formatCode>
                <c:ptCount val="27"/>
                <c:pt idx="0">
                  <c:v>1992</c:v>
                </c:pt>
                <c:pt idx="1">
                  <c:v>1993</c:v>
                </c:pt>
                <c:pt idx="2">
                  <c:v>1994</c:v>
                </c:pt>
                <c:pt idx="3">
                  <c:v>1995</c:v>
                </c:pt>
                <c:pt idx="4">
                  <c:v>1996</c:v>
                </c:pt>
                <c:pt idx="5">
                  <c:v>1997</c:v>
                </c:pt>
                <c:pt idx="6">
                  <c:v>1998</c:v>
                </c:pt>
                <c:pt idx="7">
                  <c:v>1999</c:v>
                </c:pt>
                <c:pt idx="8">
                  <c:v>2000</c:v>
                </c:pt>
                <c:pt idx="9">
                  <c:v>2001</c:v>
                </c:pt>
                <c:pt idx="10">
                  <c:v>2002</c:v>
                </c:pt>
                <c:pt idx="11">
                  <c:v>2003</c:v>
                </c:pt>
                <c:pt idx="12">
                  <c:v>2004</c:v>
                </c:pt>
                <c:pt idx="13">
                  <c:v>2005</c:v>
                </c:pt>
                <c:pt idx="14">
                  <c:v>2006</c:v>
                </c:pt>
                <c:pt idx="15">
                  <c:v>2007</c:v>
                </c:pt>
                <c:pt idx="16">
                  <c:v>2008</c:v>
                </c:pt>
                <c:pt idx="17">
                  <c:v>2009</c:v>
                </c:pt>
                <c:pt idx="18">
                  <c:v>2010</c:v>
                </c:pt>
                <c:pt idx="19">
                  <c:v>2011</c:v>
                </c:pt>
                <c:pt idx="20">
                  <c:v>2012</c:v>
                </c:pt>
                <c:pt idx="21">
                  <c:v>2013</c:v>
                </c:pt>
                <c:pt idx="22">
                  <c:v>2014</c:v>
                </c:pt>
                <c:pt idx="23">
                  <c:v>2015</c:v>
                </c:pt>
                <c:pt idx="24">
                  <c:v>2016</c:v>
                </c:pt>
                <c:pt idx="25">
                  <c:v>2017</c:v>
                </c:pt>
                <c:pt idx="26">
                  <c:v>2018</c:v>
                </c:pt>
              </c:numCache>
            </c:numRef>
          </c:cat>
          <c:val>
            <c:numRef>
              <c:f>'Data-Coastal-Chin-Esc (new)'!$DN$20:$DN$46</c:f>
              <c:numCache>
                <c:formatCode>0.0%</c:formatCode>
                <c:ptCount val="27"/>
                <c:pt idx="0">
                  <c:v>0.19724864318999588</c:v>
                </c:pt>
                <c:pt idx="1">
                  <c:v>0.10139762431402946</c:v>
                </c:pt>
                <c:pt idx="2">
                  <c:v>5.5911901582162617E-2</c:v>
                </c:pt>
                <c:pt idx="3">
                  <c:v>0.13226723962834122</c:v>
                </c:pt>
                <c:pt idx="4">
                  <c:v>0.16202630223924672</c:v>
                </c:pt>
                <c:pt idx="5">
                  <c:v>0.16424005712739256</c:v>
                </c:pt>
                <c:pt idx="6">
                  <c:v>0.18355805340213505</c:v>
                </c:pt>
                <c:pt idx="7">
                  <c:v>0.17644429384838278</c:v>
                </c:pt>
                <c:pt idx="8">
                  <c:v>0.18846721422841287</c:v>
                </c:pt>
                <c:pt idx="9">
                  <c:v>0.25037639496120978</c:v>
                </c:pt>
                <c:pt idx="10">
                  <c:v>0.33249684692298687</c:v>
                </c:pt>
                <c:pt idx="11">
                  <c:v>0.1308396417046174</c:v>
                </c:pt>
                <c:pt idx="12">
                  <c:v>0.26215577079457575</c:v>
                </c:pt>
                <c:pt idx="13">
                  <c:v>0.31268022103618576</c:v>
                </c:pt>
                <c:pt idx="14">
                  <c:v>0.31479672033646289</c:v>
                </c:pt>
                <c:pt idx="15">
                  <c:v>0.38552625206382379</c:v>
                </c:pt>
                <c:pt idx="16">
                  <c:v>7.3921374261594466E-2</c:v>
                </c:pt>
                <c:pt idx="17">
                  <c:v>0.12076788514246742</c:v>
                </c:pt>
                <c:pt idx="18">
                  <c:v>0.15878084689511529</c:v>
                </c:pt>
                <c:pt idx="20">
                  <c:v>0.34568329503296841</c:v>
                </c:pt>
                <c:pt idx="21">
                  <c:v>0.24453313415286038</c:v>
                </c:pt>
                <c:pt idx="22">
                  <c:v>0.38041388457245656</c:v>
                </c:pt>
                <c:pt idx="23">
                  <c:v>0.17502774282337918</c:v>
                </c:pt>
                <c:pt idx="26">
                  <c:v>0.14803846650144553</c:v>
                </c:pt>
              </c:numCache>
            </c:numRef>
          </c:val>
          <c:extLst>
            <c:ext xmlns:c16="http://schemas.microsoft.com/office/drawing/2014/chart" uri="{C3380CC4-5D6E-409C-BE32-E72D297353CC}">
              <c16:uniqueId val="{00000000-6F56-42E8-8643-68D263FF5DAA}"/>
            </c:ext>
          </c:extLst>
        </c:ser>
        <c:ser>
          <c:idx val="1"/>
          <c:order val="1"/>
          <c:tx>
            <c:strRef>
              <c:f>'Data-Coastal-Chin-Esc (new)'!$CK$3</c:f>
              <c:strCache>
                <c:ptCount val="1"/>
                <c:pt idx="0">
                  <c:v>Index fill method</c:v>
                </c:pt>
              </c:strCache>
            </c:strRef>
          </c:tx>
          <c:invertIfNegative val="0"/>
          <c:cat>
            <c:numRef>
              <c:f>'Data-Coastal-Chin-Esc (new)'!$BP$20:$BP$46</c:f>
              <c:numCache>
                <c:formatCode>General</c:formatCode>
                <c:ptCount val="27"/>
                <c:pt idx="0">
                  <c:v>1992</c:v>
                </c:pt>
                <c:pt idx="1">
                  <c:v>1993</c:v>
                </c:pt>
                <c:pt idx="2">
                  <c:v>1994</c:v>
                </c:pt>
                <c:pt idx="3">
                  <c:v>1995</c:v>
                </c:pt>
                <c:pt idx="4">
                  <c:v>1996</c:v>
                </c:pt>
                <c:pt idx="5">
                  <c:v>1997</c:v>
                </c:pt>
                <c:pt idx="6">
                  <c:v>1998</c:v>
                </c:pt>
                <c:pt idx="7">
                  <c:v>1999</c:v>
                </c:pt>
                <c:pt idx="8">
                  <c:v>2000</c:v>
                </c:pt>
                <c:pt idx="9">
                  <c:v>2001</c:v>
                </c:pt>
                <c:pt idx="10">
                  <c:v>2002</c:v>
                </c:pt>
                <c:pt idx="11">
                  <c:v>2003</c:v>
                </c:pt>
                <c:pt idx="12">
                  <c:v>2004</c:v>
                </c:pt>
                <c:pt idx="13">
                  <c:v>2005</c:v>
                </c:pt>
                <c:pt idx="14">
                  <c:v>2006</c:v>
                </c:pt>
                <c:pt idx="15">
                  <c:v>2007</c:v>
                </c:pt>
                <c:pt idx="16">
                  <c:v>2008</c:v>
                </c:pt>
                <c:pt idx="17">
                  <c:v>2009</c:v>
                </c:pt>
                <c:pt idx="18">
                  <c:v>2010</c:v>
                </c:pt>
                <c:pt idx="19">
                  <c:v>2011</c:v>
                </c:pt>
                <c:pt idx="20">
                  <c:v>2012</c:v>
                </c:pt>
                <c:pt idx="21">
                  <c:v>2013</c:v>
                </c:pt>
                <c:pt idx="22">
                  <c:v>2014</c:v>
                </c:pt>
                <c:pt idx="23">
                  <c:v>2015</c:v>
                </c:pt>
                <c:pt idx="24">
                  <c:v>2016</c:v>
                </c:pt>
                <c:pt idx="25">
                  <c:v>2017</c:v>
                </c:pt>
                <c:pt idx="26">
                  <c:v>2018</c:v>
                </c:pt>
              </c:numCache>
            </c:numRef>
          </c:cat>
          <c:val>
            <c:numRef>
              <c:f>'Data-Coastal-Chin-Esc (new)'!$DF$20:$DF$46</c:f>
              <c:numCache>
                <c:formatCode>0.0%</c:formatCode>
                <c:ptCount val="27"/>
                <c:pt idx="0">
                  <c:v>7.7480207835001966E-2</c:v>
                </c:pt>
                <c:pt idx="1">
                  <c:v>6.856431375067823E-2</c:v>
                </c:pt>
                <c:pt idx="2">
                  <c:v>0.18998018603181135</c:v>
                </c:pt>
                <c:pt idx="3">
                  <c:v>0.13692833821415137</c:v>
                </c:pt>
                <c:pt idx="4">
                  <c:v>7.0938416491456574E-2</c:v>
                </c:pt>
                <c:pt idx="5">
                  <c:v>6.989761152280688E-2</c:v>
                </c:pt>
                <c:pt idx="6">
                  <c:v>9.3563882178169244E-2</c:v>
                </c:pt>
                <c:pt idx="7">
                  <c:v>0.11671011538039795</c:v>
                </c:pt>
                <c:pt idx="8">
                  <c:v>9.5965332581459881E-2</c:v>
                </c:pt>
                <c:pt idx="9">
                  <c:v>0.1075209169072032</c:v>
                </c:pt>
                <c:pt idx="10">
                  <c:v>0.1622401477064179</c:v>
                </c:pt>
                <c:pt idx="11">
                  <c:v>6.0014180232920829E-2</c:v>
                </c:pt>
                <c:pt idx="12">
                  <c:v>0.10608078232706548</c:v>
                </c:pt>
                <c:pt idx="13">
                  <c:v>0.15886458219168584</c:v>
                </c:pt>
                <c:pt idx="14">
                  <c:v>0.12868324493804756</c:v>
                </c:pt>
                <c:pt idx="15">
                  <c:v>0.1777725366218485</c:v>
                </c:pt>
                <c:pt idx="16">
                  <c:v>6.3945176873049195E-2</c:v>
                </c:pt>
                <c:pt idx="17">
                  <c:v>0.16042297526991153</c:v>
                </c:pt>
                <c:pt idx="18">
                  <c:v>7.1390522209565779E-2</c:v>
                </c:pt>
                <c:pt idx="20">
                  <c:v>0.17707898465955529</c:v>
                </c:pt>
                <c:pt idx="21">
                  <c:v>0.11648137462303342</c:v>
                </c:pt>
                <c:pt idx="22">
                  <c:v>0.20004906216072577</c:v>
                </c:pt>
                <c:pt idx="23">
                  <c:v>7.9540904745749041E-2</c:v>
                </c:pt>
                <c:pt idx="26">
                  <c:v>6.6096019050919996E-2</c:v>
                </c:pt>
              </c:numCache>
            </c:numRef>
          </c:val>
          <c:extLst>
            <c:ext xmlns:c16="http://schemas.microsoft.com/office/drawing/2014/chart" uri="{C3380CC4-5D6E-409C-BE32-E72D297353CC}">
              <c16:uniqueId val="{00000001-6F56-42E8-8643-68D263FF5DAA}"/>
            </c:ext>
          </c:extLst>
        </c:ser>
        <c:ser>
          <c:idx val="2"/>
          <c:order val="2"/>
          <c:tx>
            <c:strRef>
              <c:f>'Data-Coastal-Chin-Esc (new)'!$CL$3</c:f>
              <c:strCache>
                <c:ptCount val="1"/>
                <c:pt idx="0">
                  <c:v>Upper Nass method</c:v>
                </c:pt>
              </c:strCache>
            </c:strRef>
          </c:tx>
          <c:invertIfNegative val="0"/>
          <c:cat>
            <c:numRef>
              <c:f>'Data-Coastal-Chin-Esc (new)'!$BP$20:$BP$46</c:f>
              <c:numCache>
                <c:formatCode>General</c:formatCode>
                <c:ptCount val="27"/>
                <c:pt idx="0">
                  <c:v>1992</c:v>
                </c:pt>
                <c:pt idx="1">
                  <c:v>1993</c:v>
                </c:pt>
                <c:pt idx="2">
                  <c:v>1994</c:v>
                </c:pt>
                <c:pt idx="3">
                  <c:v>1995</c:v>
                </c:pt>
                <c:pt idx="4">
                  <c:v>1996</c:v>
                </c:pt>
                <c:pt idx="5">
                  <c:v>1997</c:v>
                </c:pt>
                <c:pt idx="6">
                  <c:v>1998</c:v>
                </c:pt>
                <c:pt idx="7">
                  <c:v>1999</c:v>
                </c:pt>
                <c:pt idx="8">
                  <c:v>2000</c:v>
                </c:pt>
                <c:pt idx="9">
                  <c:v>2001</c:v>
                </c:pt>
                <c:pt idx="10">
                  <c:v>2002</c:v>
                </c:pt>
                <c:pt idx="11">
                  <c:v>2003</c:v>
                </c:pt>
                <c:pt idx="12">
                  <c:v>2004</c:v>
                </c:pt>
                <c:pt idx="13">
                  <c:v>2005</c:v>
                </c:pt>
                <c:pt idx="14">
                  <c:v>2006</c:v>
                </c:pt>
                <c:pt idx="15">
                  <c:v>2007</c:v>
                </c:pt>
                <c:pt idx="16">
                  <c:v>2008</c:v>
                </c:pt>
                <c:pt idx="17">
                  <c:v>2009</c:v>
                </c:pt>
                <c:pt idx="18">
                  <c:v>2010</c:v>
                </c:pt>
                <c:pt idx="19">
                  <c:v>2011</c:v>
                </c:pt>
                <c:pt idx="20">
                  <c:v>2012</c:v>
                </c:pt>
                <c:pt idx="21">
                  <c:v>2013</c:v>
                </c:pt>
                <c:pt idx="22">
                  <c:v>2014</c:v>
                </c:pt>
                <c:pt idx="23">
                  <c:v>2015</c:v>
                </c:pt>
                <c:pt idx="24">
                  <c:v>2016</c:v>
                </c:pt>
                <c:pt idx="25">
                  <c:v>2017</c:v>
                </c:pt>
                <c:pt idx="26">
                  <c:v>2018</c:v>
                </c:pt>
              </c:numCache>
            </c:numRef>
          </c:cat>
          <c:val>
            <c:numRef>
              <c:f>'Data-Coastal-Chin-Esc (new)'!$DG$20:$DG$46</c:f>
              <c:numCache>
                <c:formatCode>0.0%</c:formatCode>
                <c:ptCount val="27"/>
                <c:pt idx="9">
                  <c:v>0.1075209169072032</c:v>
                </c:pt>
                <c:pt idx="10">
                  <c:v>9.278538983401334E-2</c:v>
                </c:pt>
                <c:pt idx="11">
                  <c:v>8.1067461995325815E-2</c:v>
                </c:pt>
                <c:pt idx="12">
                  <c:v>9.4757006431263072E-2</c:v>
                </c:pt>
                <c:pt idx="13">
                  <c:v>0.11340566678470672</c:v>
                </c:pt>
                <c:pt idx="14">
                  <c:v>0.1511001389369456</c:v>
                </c:pt>
                <c:pt idx="15">
                  <c:v>0.10722613010455161</c:v>
                </c:pt>
                <c:pt idx="16">
                  <c:v>0.10722613010455175</c:v>
                </c:pt>
                <c:pt idx="17">
                  <c:v>0.10722613010455163</c:v>
                </c:pt>
                <c:pt idx="18">
                  <c:v>0.10722613010455148</c:v>
                </c:pt>
                <c:pt idx="19">
                  <c:v>0.10722613010455162</c:v>
                </c:pt>
                <c:pt idx="20">
                  <c:v>0.10722613010455161</c:v>
                </c:pt>
                <c:pt idx="21">
                  <c:v>0.10722613010455169</c:v>
                </c:pt>
                <c:pt idx="22">
                  <c:v>0.10722613010455159</c:v>
                </c:pt>
                <c:pt idx="23">
                  <c:v>0.10722613010455172</c:v>
                </c:pt>
                <c:pt idx="24">
                  <c:v>0.10722613010455175</c:v>
                </c:pt>
                <c:pt idx="25">
                  <c:v>0.10722613010455177</c:v>
                </c:pt>
                <c:pt idx="26">
                  <c:v>0.10722613010455154</c:v>
                </c:pt>
              </c:numCache>
            </c:numRef>
          </c:val>
          <c:extLst>
            <c:ext xmlns:c16="http://schemas.microsoft.com/office/drawing/2014/chart" uri="{C3380CC4-5D6E-409C-BE32-E72D297353CC}">
              <c16:uniqueId val="{00000002-6F56-42E8-8643-68D263FF5DAA}"/>
            </c:ext>
          </c:extLst>
        </c:ser>
        <c:dLbls>
          <c:showLegendKey val="0"/>
          <c:showVal val="0"/>
          <c:showCatName val="0"/>
          <c:showSerName val="0"/>
          <c:showPercent val="0"/>
          <c:showBubbleSize val="0"/>
        </c:dLbls>
        <c:gapWidth val="32"/>
        <c:axId val="371648384"/>
        <c:axId val="371649920"/>
      </c:barChart>
      <c:catAx>
        <c:axId val="371648384"/>
        <c:scaling>
          <c:orientation val="minMax"/>
        </c:scaling>
        <c:delete val="0"/>
        <c:axPos val="b"/>
        <c:numFmt formatCode="General" sourceLinked="1"/>
        <c:majorTickMark val="out"/>
        <c:minorTickMark val="none"/>
        <c:tickLblPos val="nextTo"/>
        <c:txPr>
          <a:bodyPr rot="5400000" vert="horz"/>
          <a:lstStyle/>
          <a:p>
            <a:pPr>
              <a:defRPr/>
            </a:pPr>
            <a:endParaRPr lang="en-US"/>
          </a:p>
        </c:txPr>
        <c:crossAx val="371649920"/>
        <c:crosses val="autoZero"/>
        <c:auto val="1"/>
        <c:lblAlgn val="ctr"/>
        <c:lblOffset val="100"/>
        <c:noMultiLvlLbl val="0"/>
      </c:catAx>
      <c:valAx>
        <c:axId val="371649920"/>
        <c:scaling>
          <c:orientation val="minMax"/>
        </c:scaling>
        <c:delete val="0"/>
        <c:axPos val="l"/>
        <c:majorGridlines/>
        <c:numFmt formatCode="0.0%" sourceLinked="1"/>
        <c:majorTickMark val="out"/>
        <c:minorTickMark val="none"/>
        <c:tickLblPos val="nextTo"/>
        <c:crossAx val="371648384"/>
        <c:crosses val="autoZero"/>
        <c:crossBetween val="between"/>
      </c:valAx>
    </c:plotArea>
    <c:legend>
      <c:legendPos val="r"/>
      <c:layout>
        <c:manualLayout>
          <c:xMode val="edge"/>
          <c:yMode val="edge"/>
          <c:x val="0.10833446580598746"/>
          <c:y val="9.5017950342414101E-2"/>
          <c:w val="0.82854410463885386"/>
          <c:h val="6.0602286783117632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Coastal Nass Chinook Escapement% to Total Escapement</a:t>
            </a:r>
          </a:p>
        </c:rich>
      </c:tx>
      <c:layout>
        <c:manualLayout>
          <c:xMode val="edge"/>
          <c:yMode val="edge"/>
          <c:x val="0.27750783235403143"/>
          <c:y val="4.6398833098801634E-2"/>
        </c:manualLayout>
      </c:layout>
      <c:overlay val="1"/>
    </c:title>
    <c:autoTitleDeleted val="0"/>
    <c:plotArea>
      <c:layout>
        <c:manualLayout>
          <c:layoutTarget val="inner"/>
          <c:xMode val="edge"/>
          <c:yMode val="edge"/>
          <c:x val="0.14707006451779733"/>
          <c:y val="0.23530865538359433"/>
          <c:w val="0.81388860875149227"/>
          <c:h val="0.6113274806166471"/>
        </c:manualLayout>
      </c:layout>
      <c:barChart>
        <c:barDir val="col"/>
        <c:grouping val="clustered"/>
        <c:varyColors val="0"/>
        <c:ser>
          <c:idx val="0"/>
          <c:order val="0"/>
          <c:tx>
            <c:strRef>
              <c:f>'Data-Coastal-Chin-Esc (new)'!$DN$3</c:f>
              <c:strCache>
                <c:ptCount val="1"/>
                <c:pt idx="0">
                  <c:v>Habitat-Capacity Kwinamass method</c:v>
                </c:pt>
              </c:strCache>
            </c:strRef>
          </c:tx>
          <c:invertIfNegative val="0"/>
          <c:cat>
            <c:numRef>
              <c:f>'Data-Coastal-Chin-Esc (new)'!$BP$35:$BP$50</c:f>
              <c:numCache>
                <c:formatCode>General</c:formatCode>
                <c:ptCount val="16"/>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numCache>
            </c:numRef>
          </c:cat>
          <c:val>
            <c:numRef>
              <c:f>'Data-Coastal-Chin-Esc (new)'!$DN$35:$DN$50</c:f>
              <c:numCache>
                <c:formatCode>0.0%</c:formatCode>
                <c:ptCount val="16"/>
                <c:pt idx="0">
                  <c:v>0.38552625206382379</c:v>
                </c:pt>
                <c:pt idx="1">
                  <c:v>7.3921374261594466E-2</c:v>
                </c:pt>
                <c:pt idx="2">
                  <c:v>0.12076788514246742</c:v>
                </c:pt>
                <c:pt idx="3">
                  <c:v>0.15878084689511529</c:v>
                </c:pt>
                <c:pt idx="5">
                  <c:v>0.34568329503296841</c:v>
                </c:pt>
                <c:pt idx="6">
                  <c:v>0.24453313415286038</c:v>
                </c:pt>
                <c:pt idx="7">
                  <c:v>0.38041388457245656</c:v>
                </c:pt>
                <c:pt idx="8">
                  <c:v>0.17502774282337918</c:v>
                </c:pt>
                <c:pt idx="11">
                  <c:v>0.14803846650144553</c:v>
                </c:pt>
                <c:pt idx="12">
                  <c:v>0.32887320598218905</c:v>
                </c:pt>
                <c:pt idx="13">
                  <c:v>5.1742127336058E-2</c:v>
                </c:pt>
                <c:pt idx="14">
                  <c:v>0.12857130181475465</c:v>
                </c:pt>
                <c:pt idx="15">
                  <c:v>0</c:v>
                </c:pt>
              </c:numCache>
            </c:numRef>
          </c:val>
          <c:extLst>
            <c:ext xmlns:c16="http://schemas.microsoft.com/office/drawing/2014/chart" uri="{C3380CC4-5D6E-409C-BE32-E72D297353CC}">
              <c16:uniqueId val="{00000000-E15F-4A73-B437-D5A7218D63E7}"/>
            </c:ext>
          </c:extLst>
        </c:ser>
        <c:ser>
          <c:idx val="1"/>
          <c:order val="1"/>
          <c:tx>
            <c:strRef>
              <c:f>'Data-Coastal-Chin-Esc (new)'!$CK$3</c:f>
              <c:strCache>
                <c:ptCount val="1"/>
                <c:pt idx="0">
                  <c:v>Index fill method</c:v>
                </c:pt>
              </c:strCache>
            </c:strRef>
          </c:tx>
          <c:invertIfNegative val="0"/>
          <c:cat>
            <c:numRef>
              <c:f>'Data-Coastal-Chin-Esc (new)'!$BP$35:$BP$50</c:f>
              <c:numCache>
                <c:formatCode>General</c:formatCode>
                <c:ptCount val="16"/>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numCache>
            </c:numRef>
          </c:cat>
          <c:val>
            <c:numRef>
              <c:f>'Data-Coastal-Chin-Esc (new)'!$DF$35:$DF$50</c:f>
              <c:numCache>
                <c:formatCode>0.0%</c:formatCode>
                <c:ptCount val="16"/>
                <c:pt idx="0">
                  <c:v>0.1777725366218485</c:v>
                </c:pt>
                <c:pt idx="1">
                  <c:v>6.3945176873049195E-2</c:v>
                </c:pt>
                <c:pt idx="2">
                  <c:v>0.16042297526991153</c:v>
                </c:pt>
                <c:pt idx="3">
                  <c:v>7.1390522209565779E-2</c:v>
                </c:pt>
                <c:pt idx="5">
                  <c:v>0.17707898465955529</c:v>
                </c:pt>
                <c:pt idx="6">
                  <c:v>0.11648137462303342</c:v>
                </c:pt>
                <c:pt idx="7">
                  <c:v>0.20004906216072577</c:v>
                </c:pt>
                <c:pt idx="8">
                  <c:v>7.9540904745749041E-2</c:v>
                </c:pt>
                <c:pt idx="11">
                  <c:v>6.6096019050919996E-2</c:v>
                </c:pt>
                <c:pt idx="12">
                  <c:v>0.16638300355240196</c:v>
                </c:pt>
                <c:pt idx="13">
                  <c:v>0.13670809921243846</c:v>
                </c:pt>
                <c:pt idx="14">
                  <c:v>0.12758341779912905</c:v>
                </c:pt>
                <c:pt idx="15">
                  <c:v>0.58659154284899273</c:v>
                </c:pt>
              </c:numCache>
            </c:numRef>
          </c:val>
          <c:extLst>
            <c:ext xmlns:c16="http://schemas.microsoft.com/office/drawing/2014/chart" uri="{C3380CC4-5D6E-409C-BE32-E72D297353CC}">
              <c16:uniqueId val="{00000001-E15F-4A73-B437-D5A7218D63E7}"/>
            </c:ext>
          </c:extLst>
        </c:ser>
        <c:ser>
          <c:idx val="2"/>
          <c:order val="2"/>
          <c:tx>
            <c:strRef>
              <c:f>'Data-Coastal-Chin-Esc (new)'!$CL$3</c:f>
              <c:strCache>
                <c:ptCount val="1"/>
                <c:pt idx="0">
                  <c:v>Upper Nass method</c:v>
                </c:pt>
              </c:strCache>
            </c:strRef>
          </c:tx>
          <c:invertIfNegative val="0"/>
          <c:cat>
            <c:numRef>
              <c:f>'Data-Coastal-Chin-Esc (new)'!$BP$35:$BP$50</c:f>
              <c:numCache>
                <c:formatCode>General</c:formatCode>
                <c:ptCount val="16"/>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numCache>
            </c:numRef>
          </c:cat>
          <c:val>
            <c:numRef>
              <c:f>'Data-Coastal-Chin-Esc (new)'!$DG$35:$DG$50</c:f>
              <c:numCache>
                <c:formatCode>0.0%</c:formatCode>
                <c:ptCount val="16"/>
                <c:pt idx="0">
                  <c:v>0.10722613010455161</c:v>
                </c:pt>
                <c:pt idx="1">
                  <c:v>0.10722613010455175</c:v>
                </c:pt>
                <c:pt idx="2">
                  <c:v>0.10722613010455163</c:v>
                </c:pt>
                <c:pt idx="3">
                  <c:v>0.10722613010455148</c:v>
                </c:pt>
                <c:pt idx="4">
                  <c:v>0.10722613010455162</c:v>
                </c:pt>
                <c:pt idx="5">
                  <c:v>0.10722613010455161</c:v>
                </c:pt>
                <c:pt idx="6">
                  <c:v>0.10722613010455169</c:v>
                </c:pt>
                <c:pt idx="7">
                  <c:v>0.10722613010455159</c:v>
                </c:pt>
                <c:pt idx="8">
                  <c:v>0.10722613010455172</c:v>
                </c:pt>
                <c:pt idx="9">
                  <c:v>0.10722613010455175</c:v>
                </c:pt>
                <c:pt idx="10">
                  <c:v>0.10722613010455177</c:v>
                </c:pt>
                <c:pt idx="11">
                  <c:v>0.10722613010455154</c:v>
                </c:pt>
                <c:pt idx="12">
                  <c:v>0.10722613010455159</c:v>
                </c:pt>
                <c:pt idx="13">
                  <c:v>0.10722613010455155</c:v>
                </c:pt>
                <c:pt idx="14">
                  <c:v>0.1072261301045517</c:v>
                </c:pt>
                <c:pt idx="15">
                  <c:v>0.22172030807625046</c:v>
                </c:pt>
              </c:numCache>
            </c:numRef>
          </c:val>
          <c:extLst>
            <c:ext xmlns:c16="http://schemas.microsoft.com/office/drawing/2014/chart" uri="{C3380CC4-5D6E-409C-BE32-E72D297353CC}">
              <c16:uniqueId val="{00000002-E15F-4A73-B437-D5A7218D63E7}"/>
            </c:ext>
          </c:extLst>
        </c:ser>
        <c:dLbls>
          <c:showLegendKey val="0"/>
          <c:showVal val="0"/>
          <c:showCatName val="0"/>
          <c:showSerName val="0"/>
          <c:showPercent val="0"/>
          <c:showBubbleSize val="0"/>
        </c:dLbls>
        <c:gapWidth val="32"/>
        <c:axId val="372483200"/>
        <c:axId val="372484736"/>
      </c:barChart>
      <c:catAx>
        <c:axId val="372483200"/>
        <c:scaling>
          <c:orientation val="minMax"/>
        </c:scaling>
        <c:delete val="0"/>
        <c:axPos val="b"/>
        <c:numFmt formatCode="General" sourceLinked="1"/>
        <c:majorTickMark val="out"/>
        <c:minorTickMark val="none"/>
        <c:tickLblPos val="nextTo"/>
        <c:txPr>
          <a:bodyPr rot="5400000" vert="horz"/>
          <a:lstStyle/>
          <a:p>
            <a:pPr>
              <a:defRPr/>
            </a:pPr>
            <a:endParaRPr lang="en-US"/>
          </a:p>
        </c:txPr>
        <c:crossAx val="372484736"/>
        <c:crosses val="autoZero"/>
        <c:auto val="1"/>
        <c:lblAlgn val="ctr"/>
        <c:lblOffset val="100"/>
        <c:noMultiLvlLbl val="0"/>
      </c:catAx>
      <c:valAx>
        <c:axId val="372484736"/>
        <c:scaling>
          <c:orientation val="minMax"/>
        </c:scaling>
        <c:delete val="0"/>
        <c:axPos val="l"/>
        <c:majorGridlines/>
        <c:numFmt formatCode="0.0%" sourceLinked="1"/>
        <c:majorTickMark val="out"/>
        <c:minorTickMark val="none"/>
        <c:tickLblPos val="nextTo"/>
        <c:crossAx val="372483200"/>
        <c:crosses val="autoZero"/>
        <c:crossBetween val="between"/>
      </c:valAx>
    </c:plotArea>
    <c:legend>
      <c:legendPos val="r"/>
      <c:layout>
        <c:manualLayout>
          <c:xMode val="edge"/>
          <c:yMode val="edge"/>
          <c:x val="0.12147067823418624"/>
          <c:y val="0.14099496183666696"/>
          <c:w val="0.82854410463885386"/>
          <c:h val="6.0602286783117632E-2"/>
        </c:manualLayout>
      </c:layout>
      <c:overlay val="0"/>
    </c:legend>
    <c:plotVisOnly val="1"/>
    <c:dispBlanksAs val="gap"/>
    <c:showDLblsOverMax val="0"/>
  </c:chart>
  <c:txPr>
    <a:bodyPr/>
    <a:lstStyle/>
    <a:p>
      <a:pPr>
        <a:defRPr sz="1400">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74</xdr:col>
      <xdr:colOff>533400</xdr:colOff>
      <xdr:row>67</xdr:row>
      <xdr:rowOff>66674</xdr:rowOff>
    </xdr:from>
    <xdr:to>
      <xdr:col>89</xdr:col>
      <xdr:colOff>295275</xdr:colOff>
      <xdr:row>92</xdr:row>
      <xdr:rowOff>161924</xdr:rowOff>
    </xdr:to>
    <xdr:graphicFrame macro="">
      <xdr:nvGraphicFramePr>
        <xdr:cNvPr id="2" name="Chart 1">
          <a:extLst>
            <a:ext uri="{FF2B5EF4-FFF2-40B4-BE49-F238E27FC236}">
              <a16:creationId xmlns:a16="http://schemas.microsoft.com/office/drawing/2014/main" id="{D046053C-7CEC-462C-80A2-CF5D9C8BE5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74</xdr:col>
      <xdr:colOff>581025</xdr:colOff>
      <xdr:row>123</xdr:row>
      <xdr:rowOff>47625</xdr:rowOff>
    </xdr:from>
    <xdr:to>
      <xdr:col>86</xdr:col>
      <xdr:colOff>455083</xdr:colOff>
      <xdr:row>148</xdr:row>
      <xdr:rowOff>142875</xdr:rowOff>
    </xdr:to>
    <xdr:graphicFrame macro="">
      <xdr:nvGraphicFramePr>
        <xdr:cNvPr id="3" name="Chart 2">
          <a:extLst>
            <a:ext uri="{FF2B5EF4-FFF2-40B4-BE49-F238E27FC236}">
              <a16:creationId xmlns:a16="http://schemas.microsoft.com/office/drawing/2014/main" id="{9F563C3C-F6D7-40A4-81FC-B2BBC2B075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74</xdr:col>
      <xdr:colOff>542925</xdr:colOff>
      <xdr:row>95</xdr:row>
      <xdr:rowOff>114299</xdr:rowOff>
    </xdr:from>
    <xdr:to>
      <xdr:col>90</xdr:col>
      <xdr:colOff>43543</xdr:colOff>
      <xdr:row>123</xdr:row>
      <xdr:rowOff>21770</xdr:rowOff>
    </xdr:to>
    <xdr:graphicFrame macro="">
      <xdr:nvGraphicFramePr>
        <xdr:cNvPr id="4" name="Chart 3">
          <a:extLst>
            <a:ext uri="{FF2B5EF4-FFF2-40B4-BE49-F238E27FC236}">
              <a16:creationId xmlns:a16="http://schemas.microsoft.com/office/drawing/2014/main" id="{DE54E8D9-5EF9-461B-B220-448F567F99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107</xdr:col>
      <xdr:colOff>0</xdr:colOff>
      <xdr:row>67</xdr:row>
      <xdr:rowOff>0</xdr:rowOff>
    </xdr:from>
    <xdr:to>
      <xdr:col>121</xdr:col>
      <xdr:colOff>190500</xdr:colOff>
      <xdr:row>92</xdr:row>
      <xdr:rowOff>95250</xdr:rowOff>
    </xdr:to>
    <xdr:graphicFrame macro="">
      <xdr:nvGraphicFramePr>
        <xdr:cNvPr id="5" name="Chart 4">
          <a:extLst>
            <a:ext uri="{FF2B5EF4-FFF2-40B4-BE49-F238E27FC236}">
              <a16:creationId xmlns:a16="http://schemas.microsoft.com/office/drawing/2014/main" id="{F16B0B51-9A10-43E4-AD36-73DE3E2DED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109</xdr:col>
      <xdr:colOff>390525</xdr:colOff>
      <xdr:row>173</xdr:row>
      <xdr:rowOff>47625</xdr:rowOff>
    </xdr:from>
    <xdr:to>
      <xdr:col>119</xdr:col>
      <xdr:colOff>85725</xdr:colOff>
      <xdr:row>190</xdr:row>
      <xdr:rowOff>38100</xdr:rowOff>
    </xdr:to>
    <xdr:graphicFrame macro="">
      <xdr:nvGraphicFramePr>
        <xdr:cNvPr id="6" name="Chart 5">
          <a:extLst>
            <a:ext uri="{FF2B5EF4-FFF2-40B4-BE49-F238E27FC236}">
              <a16:creationId xmlns:a16="http://schemas.microsoft.com/office/drawing/2014/main" id="{5D685E33-A9E8-4B06-932C-1AD75D0570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107</xdr:col>
      <xdr:colOff>0</xdr:colOff>
      <xdr:row>94</xdr:row>
      <xdr:rowOff>0</xdr:rowOff>
    </xdr:from>
    <xdr:to>
      <xdr:col>121</xdr:col>
      <xdr:colOff>190500</xdr:colOff>
      <xdr:row>119</xdr:row>
      <xdr:rowOff>95250</xdr:rowOff>
    </xdr:to>
    <xdr:graphicFrame macro="">
      <xdr:nvGraphicFramePr>
        <xdr:cNvPr id="7" name="Chart 6">
          <a:extLst>
            <a:ext uri="{FF2B5EF4-FFF2-40B4-BE49-F238E27FC236}">
              <a16:creationId xmlns:a16="http://schemas.microsoft.com/office/drawing/2014/main" id="{9A722CDD-A3CB-4F04-AAEE-A4FDAAF265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107</xdr:col>
      <xdr:colOff>1099457</xdr:colOff>
      <xdr:row>120</xdr:row>
      <xdr:rowOff>174170</xdr:rowOff>
    </xdr:from>
    <xdr:to>
      <xdr:col>121</xdr:col>
      <xdr:colOff>190499</xdr:colOff>
      <xdr:row>152</xdr:row>
      <xdr:rowOff>141514</xdr:rowOff>
    </xdr:to>
    <xdr:graphicFrame macro="">
      <xdr:nvGraphicFramePr>
        <xdr:cNvPr id="8" name="Chart 7">
          <a:extLst>
            <a:ext uri="{FF2B5EF4-FFF2-40B4-BE49-F238E27FC236}">
              <a16:creationId xmlns:a16="http://schemas.microsoft.com/office/drawing/2014/main" id="{7E137C5B-B751-4015-A46F-DFBB0C7448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25files\Management25\Nass_Management_Tables25_Draft%234.xlsx" TargetMode="External"/><Relationship Id="rId1" Type="http://schemas.openxmlformats.org/officeDocument/2006/relationships/externalLinkPath" Target="https://lgl.sharepoint.com/25files/Management25/Nass_Management_Tables25_Draft#4.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25files\Catch25\NLG_catch25_INSEASON.xlsx" TargetMode="External"/><Relationship Id="rId1" Type="http://schemas.openxmlformats.org/officeDocument/2006/relationships/externalLinkPath" Target="https://lgl.sharepoint.com/25files/Catch25/NLG_catch25_INSEASON.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D:\DATA%202013\Nass%20Fishwheel%20Reports\2025\Nass_Fishwheel_2025_Data_Report_Tables_Draft%234.xlsx" TargetMode="External"/><Relationship Id="rId1" Type="http://schemas.openxmlformats.org/officeDocument/2006/relationships/externalLinkPath" Target="https://lgl.sharepoint.com/DATA%202013/Nass%20Fishwheel%20Reports/2025/Nass_Fishwheel_2025_Data_Report_Tables_Draft#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ist of Tables"/>
      <sheetName val="New Structure"/>
      <sheetName val="Map"/>
      <sheetName val="Tab 1-Pre-season"/>
      <sheetName val="25 NLG FORECAST TABLE"/>
      <sheetName val="Tab 2-NisCatch"/>
      <sheetName val="SO25"/>
      <sheetName val="CH25"/>
      <sheetName val="CO25"/>
      <sheetName val="PK25"/>
      <sheetName val="CM25"/>
      <sheetName val="Tab 3 FN Catch"/>
      <sheetName val="Data-Nisgaa &amp; Other FN Catch"/>
      <sheetName val="Tab 4-sport"/>
      <sheetName val="Data-SF-FW"/>
      <sheetName val="Tab 5 -CDN Harvest"/>
      <sheetName val="Tab 6-Esc"/>
      <sheetName val="Data-FW Catch Rates - new"/>
      <sheetName val="Tab 7 (SE data)"/>
      <sheetName val="Tab 8-TRTC"/>
      <sheetName val="Tab 9-Acct"/>
      <sheetName val="CH Acct"/>
      <sheetName val="SO Acct"/>
      <sheetName val="PK Acct"/>
      <sheetName val="CM Acct"/>
      <sheetName val="CO Acct"/>
      <sheetName val="Tab 10-Alaska"/>
      <sheetName val="AnnualSums"/>
      <sheetName val="Allocation_chart"/>
      <sheetName val="Data-raw_Counts25"/>
      <sheetName val="Data-All Counts25"/>
      <sheetName val="A4-Data-Esc (Draft#1)"/>
      <sheetName val="Data-PK_ODD"/>
      <sheetName val="Data-Chum"/>
      <sheetName val="A1.2-NassPink (EVEN)"/>
      <sheetName val="Data-PK_EVEN"/>
      <sheetName val="A2-NassChum(NEW)"/>
      <sheetName val="Data-CDN Chum"/>
      <sheetName val="Data-Commercial Kept &amp; releases"/>
      <sheetName val="Data-ChumPred(even)"/>
      <sheetName val="Data-ChumPred(Odd)"/>
      <sheetName val="Data-ADFG chum"/>
      <sheetName val="NLG_CM23"/>
      <sheetName val="CM Acct (NRM)"/>
      <sheetName val="GNFOS25"/>
      <sheetName val="SNFOS25"/>
      <sheetName val="TRFOS25"/>
      <sheetName val="A5-Coho (new)"/>
      <sheetName val="Data-Ts'oohl Ts'ap CWT25"/>
      <sheetName val="Data-Coho Hab Outputs (New)"/>
      <sheetName val="A3.2a_CF-Tidal (coho)"/>
      <sheetName val="A3.2b_CF-tidal-Rel (coho)"/>
      <sheetName val="Data-Marine Catch (CO)"/>
      <sheetName val="A6-Chin (NEW2)"/>
      <sheetName val="Data-PSC Chin (10Feb26)"/>
      <sheetName val="Bayesian Sum (10Feb26)"/>
      <sheetName val="Bayesian SD Ests (10Feb26rev)"/>
      <sheetName val="Data-Coastal-Chin-Esc (new)"/>
      <sheetName val="Data25_Table4 index method"/>
      <sheetName val="Data-Sport-Inriver (CH - new)"/>
      <sheetName val="Data-Chin-Nisga'a"/>
      <sheetName val="A3.1a_CF-Tidal (Chin)"/>
      <sheetName val="A3.1b CF-tidal-Harvests (Chin)"/>
      <sheetName val="A3.2a_CF-Tidal (Ch-rel)"/>
      <sheetName val="Data-CH_DNA 24"/>
      <sheetName val="Data-ChinMR"/>
      <sheetName val="Data-IR Chin Sport Est"/>
      <sheetName val="Data-Ksi Hlginx-CH (2021-2023)"/>
      <sheetName val="Data-Sport-Inriver (CO-new)"/>
      <sheetName val="A7-Sock (NEW)"/>
      <sheetName val="A8-Steel (NEW)"/>
      <sheetName val="Data-Sock15-25"/>
      <sheetName val="ST25"/>
      <sheetName val="Data-PSC CH Tables"/>
      <sheetName val="A1-2-3-4 Creel25"/>
      <sheetName val="FW_CE_CALCULATIONS"/>
      <sheetName val="Data-Steel Run"/>
      <sheetName val="Data-FW-SK-CO-25(DEC25)"/>
      <sheetName val="Data-FW-ST-25(DEC25)"/>
      <sheetName val="Data-Steel Esc"/>
      <sheetName val="Tab F1"/>
      <sheetName val="Tab F2"/>
      <sheetName val="Tab F3"/>
      <sheetName val="Tab F4"/>
      <sheetName val="Tab F5"/>
      <sheetName val="A1.1-NassPink (ODD)"/>
      <sheetName val="Data-PK-ODD-Dog-Stagoo-Illiance"/>
      <sheetName val="Pink-all"/>
      <sheetName val="Data-Nisgaa RM"/>
      <sheetName val="Data-CDN PK"/>
      <sheetName val="PKeven_chart"/>
      <sheetName val="PKodd_chart"/>
      <sheetName val="NLG_PK23"/>
      <sheetName val="PK Acct (NRM)"/>
      <sheetName val="Data-Nisgaa Sport"/>
      <sheetName val="Data-TagReturn"/>
      <sheetName val="Data-NFWD SF interviews"/>
      <sheetName val="Data-FW Hours"/>
      <sheetName val="Data-FW-CH-25_DEC25)"/>
      <sheetName val="Data-Coho stream inputs"/>
      <sheetName val="Data-CO-GSI21"/>
      <sheetName val="Data-Ts'oohl Ts'ap ER"/>
      <sheetName val="Data-Ts'oohl Ts'ap CWT (11-23)"/>
      <sheetName val="MR TABLE25"/>
      <sheetName val="MR TABLE24"/>
      <sheetName val="Data-CH_DNA 23"/>
      <sheetName val="PVT-GN-SN-TR24"/>
      <sheetName val="Data-SockGSI"/>
      <sheetName val="Data-Mez comparison"/>
      <sheetName val="Data-2024"/>
      <sheetName val="Data-Sock_Esc-obs"/>
      <sheetName val="Data-SeaTypes"/>
      <sheetName val="Data_Brown Bear"/>
      <sheetName val="SO Acct (NRM)"/>
      <sheetName val="NLG-ST23"/>
      <sheetName val="Data-AK ST (69-93)"/>
      <sheetName val="Data-ST_Genetics"/>
      <sheetName val="NLG_SO23"/>
      <sheetName val="NLG_CH23"/>
      <sheetName val="CH Acct (NRM)"/>
      <sheetName val="NLG_CO24"/>
      <sheetName val="CO Acct (NRM)"/>
      <sheetName val="Data-Coastal-Chin-Esc (old)"/>
      <sheetName val="Data-Sport-Inriver23 (CO-old)"/>
      <sheetName val="Data_Area F Troll 23"/>
      <sheetName val="Data-GSI22 (SK)_26Jan23"/>
      <sheetName val="Updates"/>
      <sheetName val="Data-Sport catch (Trib data)"/>
      <sheetName val="Data-Troll21"/>
      <sheetName val="Data-Troll catch20"/>
      <sheetName val="Data-IS catches19"/>
      <sheetName val="Data-Price07-13"/>
      <sheetName val="Other Chart data"/>
      <sheetName val="UNK-FATE (SK-CO)"/>
      <sheetName val="UNK-FATE (CH)"/>
      <sheetName val="Data_chin92_93 telemetry"/>
      <sheetName val="Data_chin_Tseax+Seaskinnish"/>
      <sheetName val="Chin %"/>
      <sheetName val="Data-Kin-angle-estimates"/>
      <sheetName val="Karl's Chin Ex"/>
      <sheetName val="Karl's Chum Ex"/>
      <sheetName val="Data-All Counts18"/>
      <sheetName val="Data-Unmonitored catch"/>
      <sheetName val="Unkfate18 (old)"/>
      <sheetName val="Tab 8-TRTC (FATE)"/>
      <sheetName val="Tab 9-Acct (FATE)"/>
      <sheetName val="SO Acct (FATE)"/>
      <sheetName val="CO Acct (FATE)"/>
      <sheetName val="CH Acct (FATE)"/>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5">
          <cell r="AP5">
            <v>1308.1727757851456</v>
          </cell>
          <cell r="AQ5">
            <v>1314.8272242148544</v>
          </cell>
          <cell r="AR5">
            <v>3979</v>
          </cell>
          <cell r="AS5">
            <v>457</v>
          </cell>
          <cell r="BI5">
            <v>612</v>
          </cell>
        </row>
        <row r="6">
          <cell r="AP6">
            <v>1526.1184498294112</v>
          </cell>
          <cell r="AQ6">
            <v>1533.8815501705888</v>
          </cell>
          <cell r="AR6">
            <v>2148</v>
          </cell>
          <cell r="AS6">
            <v>378</v>
          </cell>
          <cell r="BI6">
            <v>600</v>
          </cell>
        </row>
        <row r="7">
          <cell r="AP7">
            <v>2097.6647712361123</v>
          </cell>
          <cell r="AQ7">
            <v>2108.3352287638877</v>
          </cell>
          <cell r="AR7">
            <v>1677</v>
          </cell>
          <cell r="AS7">
            <v>330</v>
          </cell>
          <cell r="BI7">
            <v>120</v>
          </cell>
        </row>
        <row r="8">
          <cell r="AP8">
            <v>1812.3903420523138</v>
          </cell>
          <cell r="AQ8">
            <v>1821.6096579476862</v>
          </cell>
          <cell r="AR8">
            <v>2783</v>
          </cell>
          <cell r="AS8">
            <v>299</v>
          </cell>
          <cell r="BI8">
            <v>72</v>
          </cell>
        </row>
        <row r="9">
          <cell r="AP9">
            <v>1834.3345289126059</v>
          </cell>
          <cell r="AQ9">
            <v>1843.6654710873941</v>
          </cell>
          <cell r="AR9">
            <v>3629</v>
          </cell>
          <cell r="AS9">
            <v>393</v>
          </cell>
          <cell r="BI9">
            <v>49</v>
          </cell>
        </row>
        <row r="10">
          <cell r="AP10">
            <v>1876.7267080745341</v>
          </cell>
          <cell r="AQ10">
            <v>1886.2732919254659</v>
          </cell>
          <cell r="AR10">
            <v>1979</v>
          </cell>
          <cell r="AS10">
            <v>963</v>
          </cell>
          <cell r="BI10">
            <v>41</v>
          </cell>
        </row>
        <row r="11">
          <cell r="AP11">
            <v>1595</v>
          </cell>
          <cell r="AQ11">
            <v>1540</v>
          </cell>
          <cell r="AR11">
            <v>5285</v>
          </cell>
          <cell r="AS11">
            <v>645</v>
          </cell>
          <cell r="BI11">
            <v>345</v>
          </cell>
        </row>
        <row r="12">
          <cell r="AP12">
            <v>1608</v>
          </cell>
          <cell r="AQ12">
            <v>1448</v>
          </cell>
          <cell r="AR12">
            <v>5530</v>
          </cell>
          <cell r="AS12">
            <v>331</v>
          </cell>
          <cell r="BI12">
            <v>193</v>
          </cell>
        </row>
        <row r="13">
          <cell r="AP13">
            <v>2498</v>
          </cell>
          <cell r="AQ13">
            <v>2742</v>
          </cell>
          <cell r="AR13">
            <v>3263</v>
          </cell>
          <cell r="AS13">
            <v>823</v>
          </cell>
          <cell r="BI13">
            <v>49</v>
          </cell>
        </row>
        <row r="14">
          <cell r="AP14">
            <v>5457</v>
          </cell>
          <cell r="AQ14">
            <v>2093</v>
          </cell>
          <cell r="AR14">
            <v>2905</v>
          </cell>
          <cell r="AS14">
            <v>1309</v>
          </cell>
          <cell r="BI14">
            <v>195</v>
          </cell>
        </row>
        <row r="15">
          <cell r="AP15">
            <v>1875</v>
          </cell>
          <cell r="AQ15">
            <v>1746</v>
          </cell>
          <cell r="AR15">
            <v>1046</v>
          </cell>
          <cell r="AS15">
            <v>763.8882595702994</v>
          </cell>
          <cell r="BI15">
            <v>151</v>
          </cell>
        </row>
        <row r="16">
          <cell r="AP16">
            <v>2403</v>
          </cell>
          <cell r="AQ16">
            <v>1710</v>
          </cell>
          <cell r="AR16">
            <v>1700</v>
          </cell>
          <cell r="AS16">
            <v>896</v>
          </cell>
          <cell r="BI16">
            <v>181</v>
          </cell>
        </row>
        <row r="17">
          <cell r="AP17">
            <v>1926</v>
          </cell>
          <cell r="AQ17">
            <v>1250</v>
          </cell>
          <cell r="AR17">
            <v>1026</v>
          </cell>
          <cell r="AS17">
            <v>1674</v>
          </cell>
          <cell r="BI17">
            <v>230</v>
          </cell>
        </row>
        <row r="18">
          <cell r="AP18">
            <v>2262</v>
          </cell>
          <cell r="AQ18">
            <v>1775</v>
          </cell>
          <cell r="AR18">
            <v>1246</v>
          </cell>
          <cell r="AS18">
            <v>1262</v>
          </cell>
          <cell r="BI18">
            <v>179</v>
          </cell>
        </row>
        <row r="19">
          <cell r="AP19">
            <v>3525</v>
          </cell>
          <cell r="AQ19">
            <v>1486</v>
          </cell>
          <cell r="AR19">
            <v>983</v>
          </cell>
          <cell r="AS19">
            <v>1712</v>
          </cell>
          <cell r="BI19">
            <v>456</v>
          </cell>
        </row>
        <row r="20">
          <cell r="AP20">
            <v>4020</v>
          </cell>
          <cell r="AQ20">
            <v>930</v>
          </cell>
          <cell r="AR20">
            <v>979</v>
          </cell>
          <cell r="AS20">
            <v>795</v>
          </cell>
          <cell r="BI20">
            <v>24</v>
          </cell>
        </row>
        <row r="21">
          <cell r="AP21">
            <v>1085</v>
          </cell>
          <cell r="AQ21">
            <v>1289</v>
          </cell>
          <cell r="AR21">
            <v>1093</v>
          </cell>
          <cell r="AS21">
            <v>983</v>
          </cell>
          <cell r="BI21">
            <v>174</v>
          </cell>
        </row>
        <row r="22">
          <cell r="AP22">
            <v>2785</v>
          </cell>
          <cell r="AQ22">
            <v>993</v>
          </cell>
          <cell r="AR22">
            <v>679</v>
          </cell>
          <cell r="AS22">
            <v>978</v>
          </cell>
          <cell r="BI22">
            <v>148</v>
          </cell>
        </row>
        <row r="23">
          <cell r="AP23">
            <v>1703</v>
          </cell>
          <cell r="AQ23">
            <v>1612</v>
          </cell>
          <cell r="AR23">
            <v>714</v>
          </cell>
          <cell r="AS23">
            <v>552</v>
          </cell>
          <cell r="BI23">
            <v>88</v>
          </cell>
        </row>
        <row r="24">
          <cell r="AP24">
            <v>1232</v>
          </cell>
          <cell r="AQ24">
            <v>1567</v>
          </cell>
          <cell r="AR24">
            <v>1116</v>
          </cell>
          <cell r="AS24">
            <v>669</v>
          </cell>
          <cell r="BI24">
            <v>103</v>
          </cell>
        </row>
        <row r="25">
          <cell r="AP25">
            <v>1460</v>
          </cell>
          <cell r="AQ25">
            <v>853</v>
          </cell>
          <cell r="AR25">
            <v>538</v>
          </cell>
          <cell r="AS25">
            <v>696</v>
          </cell>
          <cell r="BI25">
            <v>105</v>
          </cell>
        </row>
        <row r="26">
          <cell r="AP26">
            <v>1711</v>
          </cell>
          <cell r="AQ26">
            <v>1113</v>
          </cell>
          <cell r="AR26">
            <v>445</v>
          </cell>
          <cell r="AS26">
            <v>1083</v>
          </cell>
          <cell r="BI26">
            <v>52</v>
          </cell>
        </row>
        <row r="27">
          <cell r="AP27">
            <v>1941</v>
          </cell>
          <cell r="AQ27">
            <v>1152</v>
          </cell>
          <cell r="AR27">
            <v>577</v>
          </cell>
          <cell r="AS27">
            <v>2244</v>
          </cell>
          <cell r="BI27">
            <v>72</v>
          </cell>
        </row>
        <row r="28">
          <cell r="AP28">
            <v>3175</v>
          </cell>
          <cell r="AQ28">
            <v>1949</v>
          </cell>
          <cell r="AR28">
            <v>1324</v>
          </cell>
          <cell r="AS28">
            <v>1803.2281482767471</v>
          </cell>
          <cell r="BI28">
            <v>252</v>
          </cell>
        </row>
        <row r="29">
          <cell r="AP29">
            <v>1519</v>
          </cell>
          <cell r="AQ29">
            <v>1412</v>
          </cell>
          <cell r="AR29">
            <v>1257</v>
          </cell>
          <cell r="AS29">
            <v>1208</v>
          </cell>
          <cell r="BI29">
            <v>114</v>
          </cell>
        </row>
        <row r="30">
          <cell r="AP30">
            <v>1047</v>
          </cell>
          <cell r="AQ30">
            <v>739</v>
          </cell>
          <cell r="AR30">
            <v>748</v>
          </cell>
          <cell r="AS30">
            <v>1109</v>
          </cell>
          <cell r="BI30">
            <v>76</v>
          </cell>
        </row>
        <row r="31">
          <cell r="AP31">
            <v>1779</v>
          </cell>
          <cell r="AQ31">
            <v>1367</v>
          </cell>
          <cell r="AR31">
            <v>616</v>
          </cell>
          <cell r="AS31">
            <v>979.57345682856453</v>
          </cell>
          <cell r="BI31">
            <v>40</v>
          </cell>
        </row>
        <row r="32">
          <cell r="AP32">
            <v>2223</v>
          </cell>
          <cell r="AQ32">
            <v>1826</v>
          </cell>
          <cell r="AR32">
            <v>1720.8357523615989</v>
          </cell>
          <cell r="AS32">
            <v>676.14863441476632</v>
          </cell>
          <cell r="BI32">
            <v>110</v>
          </cell>
        </row>
        <row r="33">
          <cell r="AP33">
            <v>1773</v>
          </cell>
          <cell r="AQ33">
            <v>1511</v>
          </cell>
          <cell r="AR33">
            <v>1243</v>
          </cell>
          <cell r="AS33">
            <v>718</v>
          </cell>
          <cell r="BI33">
            <v>266</v>
          </cell>
        </row>
        <row r="34">
          <cell r="AP34">
            <v>1016</v>
          </cell>
          <cell r="AQ34">
            <v>1371</v>
          </cell>
          <cell r="AR34">
            <v>2531</v>
          </cell>
          <cell r="AS34">
            <v>549</v>
          </cell>
          <cell r="BI34">
            <v>299</v>
          </cell>
        </row>
        <row r="35">
          <cell r="AP35">
            <v>1340</v>
          </cell>
          <cell r="AQ35">
            <v>447.00000000000006</v>
          </cell>
          <cell r="AR35">
            <v>1561.9999999999995</v>
          </cell>
          <cell r="AS35">
            <v>492.99999999999994</v>
          </cell>
          <cell r="BI35">
            <v>38</v>
          </cell>
        </row>
        <row r="36">
          <cell r="AP36">
            <v>1586</v>
          </cell>
          <cell r="AQ36">
            <v>767.99999999999989</v>
          </cell>
          <cell r="AR36">
            <v>637</v>
          </cell>
          <cell r="AS36">
            <v>225</v>
          </cell>
          <cell r="BI36">
            <v>66</v>
          </cell>
        </row>
        <row r="37">
          <cell r="AP37">
            <v>2339.3500000000004</v>
          </cell>
          <cell r="AQ37">
            <v>1290.9523809523807</v>
          </cell>
          <cell r="AR37">
            <v>1009.8408190930294</v>
          </cell>
          <cell r="AS37">
            <v>1191.6843313807087</v>
          </cell>
          <cell r="BI37">
            <v>99</v>
          </cell>
        </row>
        <row r="38">
          <cell r="AP38">
            <v>1712.25</v>
          </cell>
          <cell r="AQ38">
            <v>1327.5809523809523</v>
          </cell>
          <cell r="AR38">
            <v>1652.4990632784247</v>
          </cell>
          <cell r="AS38">
            <v>280.8610101374299</v>
          </cell>
          <cell r="BI38">
            <v>55</v>
          </cell>
        </row>
      </sheetData>
      <sheetData sheetId="13"/>
      <sheetData sheetId="14">
        <row r="4">
          <cell r="C4">
            <v>214.46730272298021</v>
          </cell>
          <cell r="G4" t="str">
            <v/>
          </cell>
          <cell r="I4">
            <v>300</v>
          </cell>
          <cell r="J4">
            <v>100</v>
          </cell>
          <cell r="L4">
            <v>150</v>
          </cell>
          <cell r="M4">
            <v>123</v>
          </cell>
          <cell r="N4">
            <v>350</v>
          </cell>
          <cell r="U4">
            <v>1023</v>
          </cell>
        </row>
        <row r="5">
          <cell r="C5">
            <v>328.00881592926385</v>
          </cell>
          <cell r="G5" t="str">
            <v/>
          </cell>
          <cell r="I5">
            <v>221</v>
          </cell>
          <cell r="J5">
            <v>100</v>
          </cell>
          <cell r="L5">
            <v>25</v>
          </cell>
          <cell r="M5">
            <v>175</v>
          </cell>
          <cell r="N5">
            <v>201</v>
          </cell>
          <cell r="U5">
            <v>722</v>
          </cell>
        </row>
        <row r="6">
          <cell r="C6">
            <v>166.66034979401866</v>
          </cell>
          <cell r="G6" t="str">
            <v/>
          </cell>
          <cell r="I6">
            <v>196</v>
          </cell>
          <cell r="J6">
            <v>100</v>
          </cell>
          <cell r="L6">
            <v>50</v>
          </cell>
          <cell r="M6">
            <v>341</v>
          </cell>
          <cell r="N6">
            <v>16</v>
          </cell>
          <cell r="U6">
            <v>703</v>
          </cell>
        </row>
        <row r="7">
          <cell r="C7">
            <v>160.02049522055177</v>
          </cell>
          <cell r="G7" t="str">
            <v/>
          </cell>
          <cell r="I7">
            <v>250</v>
          </cell>
          <cell r="J7">
            <v>150</v>
          </cell>
          <cell r="L7">
            <v>100</v>
          </cell>
          <cell r="M7">
            <v>196</v>
          </cell>
          <cell r="N7">
            <v>334</v>
          </cell>
          <cell r="U7">
            <v>1030</v>
          </cell>
        </row>
        <row r="8">
          <cell r="C8">
            <v>287.10379110691798</v>
          </cell>
          <cell r="G8" t="str">
            <v/>
          </cell>
          <cell r="I8">
            <v>270</v>
          </cell>
          <cell r="J8">
            <v>50</v>
          </cell>
          <cell r="L8">
            <v>80</v>
          </cell>
          <cell r="M8">
            <v>187</v>
          </cell>
          <cell r="N8">
            <v>56</v>
          </cell>
          <cell r="U8">
            <v>643</v>
          </cell>
        </row>
        <row r="9">
          <cell r="C9">
            <v>156.13668283080534</v>
          </cell>
          <cell r="G9" t="str">
            <v/>
          </cell>
          <cell r="I9" t="str">
            <v/>
          </cell>
          <cell r="J9" t="str">
            <v/>
          </cell>
          <cell r="K9">
            <v>253</v>
          </cell>
          <cell r="L9" t="str">
            <v/>
          </cell>
          <cell r="M9" t="str">
            <v/>
          </cell>
          <cell r="N9" t="str">
            <v/>
          </cell>
          <cell r="O9">
            <v>347</v>
          </cell>
          <cell r="U9">
            <v>600</v>
          </cell>
        </row>
        <row r="10">
          <cell r="C10">
            <v>267.9066579719829</v>
          </cell>
          <cell r="G10" t="str">
            <v/>
          </cell>
          <cell r="I10" t="str">
            <v/>
          </cell>
          <cell r="J10" t="str">
            <v/>
          </cell>
          <cell r="K10">
            <v>431</v>
          </cell>
          <cell r="L10" t="str">
            <v/>
          </cell>
          <cell r="M10" t="str">
            <v/>
          </cell>
          <cell r="N10" t="str">
            <v/>
          </cell>
          <cell r="O10">
            <v>581</v>
          </cell>
          <cell r="U10">
            <v>1012</v>
          </cell>
        </row>
        <row r="11">
          <cell r="C11">
            <v>525</v>
          </cell>
          <cell r="D11" t="str">
            <v/>
          </cell>
          <cell r="E11" t="str">
            <v/>
          </cell>
          <cell r="F11" t="str">
            <v/>
          </cell>
          <cell r="G11" t="str">
            <v/>
          </cell>
          <cell r="I11" t="str">
            <v/>
          </cell>
          <cell r="J11" t="str">
            <v/>
          </cell>
          <cell r="K11">
            <v>411</v>
          </cell>
          <cell r="L11" t="str">
            <v/>
          </cell>
          <cell r="M11" t="str">
            <v/>
          </cell>
          <cell r="N11" t="str">
            <v/>
          </cell>
          <cell r="O11">
            <v>554</v>
          </cell>
          <cell r="U11">
            <v>965</v>
          </cell>
        </row>
        <row r="12">
          <cell r="C12">
            <v>519</v>
          </cell>
          <cell r="D12" t="str">
            <v/>
          </cell>
          <cell r="E12" t="str">
            <v/>
          </cell>
          <cell r="F12" t="str">
            <v/>
          </cell>
          <cell r="G12" t="str">
            <v/>
          </cell>
          <cell r="I12" t="str">
            <v/>
          </cell>
          <cell r="J12" t="str">
            <v/>
          </cell>
          <cell r="K12">
            <v>330</v>
          </cell>
          <cell r="L12" t="str">
            <v/>
          </cell>
          <cell r="M12" t="str">
            <v/>
          </cell>
          <cell r="N12" t="str">
            <v/>
          </cell>
          <cell r="O12">
            <v>445</v>
          </cell>
          <cell r="U12">
            <v>775</v>
          </cell>
        </row>
        <row r="13">
          <cell r="C13">
            <v>193</v>
          </cell>
          <cell r="D13" t="str">
            <v/>
          </cell>
          <cell r="E13" t="str">
            <v/>
          </cell>
          <cell r="F13" t="str">
            <v/>
          </cell>
          <cell r="G13" t="str">
            <v/>
          </cell>
          <cell r="I13" t="str">
            <v/>
          </cell>
          <cell r="J13" t="str">
            <v/>
          </cell>
          <cell r="K13">
            <v>456</v>
          </cell>
          <cell r="L13" t="str">
            <v/>
          </cell>
          <cell r="M13" t="str">
            <v/>
          </cell>
          <cell r="N13" t="str">
            <v/>
          </cell>
          <cell r="O13">
            <v>615</v>
          </cell>
          <cell r="U13">
            <v>1071</v>
          </cell>
        </row>
        <row r="14">
          <cell r="C14">
            <v>13</v>
          </cell>
          <cell r="D14" t="str">
            <v/>
          </cell>
          <cell r="E14" t="str">
            <v/>
          </cell>
          <cell r="F14" t="str">
            <v/>
          </cell>
          <cell r="G14" t="str">
            <v/>
          </cell>
          <cell r="I14">
            <v>224</v>
          </cell>
          <cell r="J14" t="str">
            <v/>
          </cell>
          <cell r="K14">
            <v>46</v>
          </cell>
          <cell r="L14" t="str">
            <v/>
          </cell>
          <cell r="M14">
            <v>67</v>
          </cell>
          <cell r="N14">
            <v>137</v>
          </cell>
          <cell r="O14">
            <v>60</v>
          </cell>
          <cell r="U14">
            <v>534</v>
          </cell>
        </row>
        <row r="15">
          <cell r="C15">
            <v>22</v>
          </cell>
          <cell r="D15">
            <v>5</v>
          </cell>
          <cell r="E15" t="str">
            <v/>
          </cell>
          <cell r="F15" t="str">
            <v/>
          </cell>
          <cell r="G15" t="str">
            <v/>
          </cell>
          <cell r="I15">
            <v>81</v>
          </cell>
          <cell r="J15" t="str">
            <v/>
          </cell>
          <cell r="K15">
            <v>40</v>
          </cell>
          <cell r="L15" t="str">
            <v/>
          </cell>
          <cell r="M15">
            <v>44</v>
          </cell>
          <cell r="N15">
            <v>319</v>
          </cell>
          <cell r="O15">
            <v>58</v>
          </cell>
          <cell r="U15">
            <v>542</v>
          </cell>
        </row>
        <row r="16">
          <cell r="C16">
            <v>18</v>
          </cell>
          <cell r="D16" t="str">
            <v/>
          </cell>
          <cell r="E16" t="str">
            <v/>
          </cell>
          <cell r="F16" t="str">
            <v/>
          </cell>
          <cell r="G16" t="str">
            <v/>
          </cell>
          <cell r="I16">
            <v>177</v>
          </cell>
          <cell r="J16" t="str">
            <v/>
          </cell>
          <cell r="K16">
            <v>152</v>
          </cell>
          <cell r="L16" t="str">
            <v/>
          </cell>
          <cell r="M16" t="str">
            <v/>
          </cell>
          <cell r="N16" t="str">
            <v/>
          </cell>
          <cell r="O16">
            <v>203</v>
          </cell>
          <cell r="U16">
            <v>532</v>
          </cell>
        </row>
        <row r="17">
          <cell r="C17">
            <v>6</v>
          </cell>
          <cell r="D17" t="str">
            <v/>
          </cell>
          <cell r="E17" t="str">
            <v/>
          </cell>
          <cell r="F17" t="str">
            <v/>
          </cell>
          <cell r="G17" t="str">
            <v/>
          </cell>
          <cell r="I17">
            <v>198</v>
          </cell>
          <cell r="J17" t="str">
            <v/>
          </cell>
          <cell r="K17">
            <v>33</v>
          </cell>
          <cell r="L17" t="str">
            <v/>
          </cell>
          <cell r="M17">
            <v>40</v>
          </cell>
          <cell r="N17">
            <v>152</v>
          </cell>
          <cell r="O17">
            <v>43</v>
          </cell>
          <cell r="U17">
            <v>466</v>
          </cell>
        </row>
        <row r="18">
          <cell r="C18">
            <v>1</v>
          </cell>
          <cell r="D18" t="str">
            <v/>
          </cell>
          <cell r="E18" t="str">
            <v/>
          </cell>
          <cell r="F18" t="str">
            <v/>
          </cell>
          <cell r="G18" t="str">
            <v/>
          </cell>
          <cell r="I18">
            <v>473</v>
          </cell>
          <cell r="J18" t="str">
            <v/>
          </cell>
          <cell r="K18">
            <v>57</v>
          </cell>
          <cell r="L18" t="str">
            <v/>
          </cell>
          <cell r="M18">
            <v>118</v>
          </cell>
          <cell r="N18">
            <v>148</v>
          </cell>
          <cell r="O18">
            <v>67</v>
          </cell>
          <cell r="U18">
            <v>863</v>
          </cell>
        </row>
        <row r="19">
          <cell r="C19">
            <v>16</v>
          </cell>
          <cell r="D19" t="str">
            <v/>
          </cell>
          <cell r="E19" t="str">
            <v/>
          </cell>
          <cell r="F19" t="str">
            <v/>
          </cell>
          <cell r="G19" t="str">
            <v/>
          </cell>
          <cell r="I19">
            <v>274</v>
          </cell>
          <cell r="J19" t="str">
            <v/>
          </cell>
          <cell r="K19">
            <v>35</v>
          </cell>
          <cell r="L19" t="str">
            <v/>
          </cell>
          <cell r="M19">
            <v>54</v>
          </cell>
          <cell r="N19">
            <v>169</v>
          </cell>
          <cell r="O19">
            <v>41</v>
          </cell>
          <cell r="U19">
            <v>573</v>
          </cell>
        </row>
        <row r="20">
          <cell r="C20">
            <v>2</v>
          </cell>
          <cell r="D20" t="str">
            <v/>
          </cell>
          <cell r="E20" t="str">
            <v/>
          </cell>
          <cell r="F20" t="str">
            <v/>
          </cell>
          <cell r="G20" t="str">
            <v/>
          </cell>
          <cell r="I20">
            <v>91</v>
          </cell>
          <cell r="J20" t="str">
            <v/>
          </cell>
          <cell r="K20">
            <v>20</v>
          </cell>
          <cell r="L20" t="str">
            <v/>
          </cell>
          <cell r="M20">
            <v>8</v>
          </cell>
          <cell r="N20">
            <v>197</v>
          </cell>
          <cell r="O20">
            <v>23</v>
          </cell>
          <cell r="U20">
            <v>339</v>
          </cell>
        </row>
        <row r="21">
          <cell r="C21">
            <v>53</v>
          </cell>
          <cell r="D21" t="str">
            <v/>
          </cell>
          <cell r="E21" t="str">
            <v/>
          </cell>
          <cell r="F21" t="str">
            <v/>
          </cell>
          <cell r="G21" t="str">
            <v/>
          </cell>
          <cell r="I21">
            <v>0</v>
          </cell>
          <cell r="J21" t="str">
            <v/>
          </cell>
          <cell r="K21">
            <v>8</v>
          </cell>
          <cell r="L21" t="str">
            <v/>
          </cell>
          <cell r="M21">
            <v>75</v>
          </cell>
          <cell r="N21">
            <v>53</v>
          </cell>
          <cell r="O21">
            <v>10</v>
          </cell>
          <cell r="U21">
            <v>146</v>
          </cell>
        </row>
      </sheetData>
      <sheetData sheetId="15"/>
      <sheetData sheetId="16"/>
      <sheetData sheetId="17">
        <row r="7">
          <cell r="CE7">
            <v>20870</v>
          </cell>
        </row>
        <row r="8">
          <cell r="CE8">
            <v>21829.333333333332</v>
          </cell>
        </row>
        <row r="9">
          <cell r="CE9">
            <v>23205.075000000001</v>
          </cell>
        </row>
        <row r="10">
          <cell r="CE10">
            <v>9910.0909090909081</v>
          </cell>
        </row>
        <row r="11">
          <cell r="CE11">
            <v>21794.384615384617</v>
          </cell>
        </row>
        <row r="12">
          <cell r="CE12">
            <v>18702</v>
          </cell>
        </row>
        <row r="13">
          <cell r="CE13">
            <v>23511.997674418606</v>
          </cell>
        </row>
        <row r="14">
          <cell r="CE14">
            <v>11730.176923076924</v>
          </cell>
        </row>
        <row r="15">
          <cell r="CE15">
            <v>18488.665343866141</v>
          </cell>
        </row>
        <row r="16">
          <cell r="CE16">
            <v>28924.479431156342</v>
          </cell>
        </row>
        <row r="17">
          <cell r="CE17">
            <v>13909.456177650904</v>
          </cell>
        </row>
        <row r="18">
          <cell r="CE18">
            <v>26658.367611499238</v>
          </cell>
        </row>
        <row r="19">
          <cell r="CE19">
            <v>15736.751738356423</v>
          </cell>
        </row>
        <row r="20">
          <cell r="CE20">
            <v>14374.486895266944</v>
          </cell>
        </row>
        <row r="21">
          <cell r="CE21">
            <v>24539.274081002797</v>
          </cell>
        </row>
        <row r="22">
          <cell r="CE22">
            <v>22649.31290378391</v>
          </cell>
        </row>
        <row r="23">
          <cell r="CE23">
            <v>20294.36</v>
          </cell>
        </row>
        <row r="24">
          <cell r="CE24">
            <v>26864</v>
          </cell>
        </row>
        <row r="25">
          <cell r="CE25">
            <v>18773</v>
          </cell>
        </row>
        <row r="26">
          <cell r="CE26">
            <v>10204.537598204266</v>
          </cell>
        </row>
        <row r="27">
          <cell r="CE27">
            <v>8995.6589262187081</v>
          </cell>
        </row>
        <row r="28">
          <cell r="CE28">
            <v>8297.8356309650062</v>
          </cell>
        </row>
        <row r="29">
          <cell r="CE29">
            <v>11914</v>
          </cell>
        </row>
        <row r="30">
          <cell r="CE30">
            <v>18778</v>
          </cell>
        </row>
        <row r="31">
          <cell r="CE31">
            <v>9379.17808219178</v>
          </cell>
        </row>
        <row r="32">
          <cell r="CE32">
            <v>4567.583333333333</v>
          </cell>
        </row>
        <row r="33">
          <cell r="CE33">
            <v>14639.500664740754</v>
          </cell>
          <cell r="CF33">
            <v>17886.500664740754</v>
          </cell>
        </row>
        <row r="34">
          <cell r="CE34">
            <v>9264.5070230756537</v>
          </cell>
          <cell r="CF34">
            <v>11713.507023075654</v>
          </cell>
        </row>
        <row r="35">
          <cell r="CE35">
            <v>10238.597538855378</v>
          </cell>
          <cell r="CF35">
            <v>12828.597538855378</v>
          </cell>
        </row>
        <row r="36">
          <cell r="CE36">
            <v>10134.207465205587</v>
          </cell>
          <cell r="CF36">
            <v>11766.207465205587</v>
          </cell>
        </row>
        <row r="37">
          <cell r="CE37">
            <v>12027.16048847821</v>
          </cell>
          <cell r="CF37">
            <v>14410.16048847821</v>
          </cell>
        </row>
        <row r="38">
          <cell r="CE38">
            <v>7850.9535295539172</v>
          </cell>
          <cell r="CF38">
            <v>9758.9535295539172</v>
          </cell>
        </row>
        <row r="39">
          <cell r="CE39">
            <v>10196.710267528219</v>
          </cell>
          <cell r="CF39">
            <v>12477.710267528219</v>
          </cell>
        </row>
        <row r="40">
          <cell r="CE40">
            <v>8529.9726901451577</v>
          </cell>
          <cell r="CF40">
            <v>10359.972690145158</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ow r="7">
          <cell r="M7">
            <v>689</v>
          </cell>
        </row>
        <row r="8">
          <cell r="M8">
            <v>582</v>
          </cell>
        </row>
        <row r="9">
          <cell r="M9">
            <v>828</v>
          </cell>
        </row>
        <row r="10">
          <cell r="M10">
            <v>682</v>
          </cell>
        </row>
        <row r="11">
          <cell r="M11">
            <v>162</v>
          </cell>
        </row>
        <row r="12">
          <cell r="M12">
            <v>439</v>
          </cell>
        </row>
        <row r="13">
          <cell r="M13">
            <v>304</v>
          </cell>
        </row>
        <row r="14">
          <cell r="M14">
            <v>303</v>
          </cell>
        </row>
        <row r="15">
          <cell r="M15">
            <v>919</v>
          </cell>
        </row>
        <row r="16">
          <cell r="M16">
            <v>1595</v>
          </cell>
        </row>
        <row r="17">
          <cell r="M17">
            <v>801</v>
          </cell>
        </row>
        <row r="18">
          <cell r="M18">
            <v>1418</v>
          </cell>
        </row>
        <row r="19">
          <cell r="M19">
            <v>179</v>
          </cell>
        </row>
        <row r="20">
          <cell r="M20">
            <v>598</v>
          </cell>
        </row>
        <row r="21">
          <cell r="M21">
            <v>392</v>
          </cell>
        </row>
        <row r="22">
          <cell r="M22">
            <v>747</v>
          </cell>
        </row>
        <row r="23">
          <cell r="M23">
            <v>161</v>
          </cell>
        </row>
        <row r="24">
          <cell r="M24">
            <v>0</v>
          </cell>
        </row>
        <row r="25">
          <cell r="M25">
            <v>0</v>
          </cell>
        </row>
        <row r="26">
          <cell r="M26">
            <v>0</v>
          </cell>
        </row>
        <row r="27">
          <cell r="M27">
            <v>63</v>
          </cell>
        </row>
        <row r="28">
          <cell r="M28">
            <v>74</v>
          </cell>
        </row>
        <row r="31">
          <cell r="M31">
            <v>6908</v>
          </cell>
        </row>
        <row r="32">
          <cell r="M32">
            <v>2262</v>
          </cell>
        </row>
        <row r="33">
          <cell r="M33">
            <v>1201</v>
          </cell>
        </row>
        <row r="34">
          <cell r="M34">
            <v>4862</v>
          </cell>
        </row>
        <row r="35">
          <cell r="M35">
            <v>161</v>
          </cell>
        </row>
        <row r="36">
          <cell r="M36">
            <v>1348</v>
          </cell>
        </row>
        <row r="37">
          <cell r="M37">
            <v>225</v>
          </cell>
        </row>
        <row r="38">
          <cell r="M38">
            <v>908</v>
          </cell>
        </row>
        <row r="39">
          <cell r="M39">
            <v>519</v>
          </cell>
        </row>
        <row r="40">
          <cell r="M40">
            <v>1103</v>
          </cell>
        </row>
        <row r="41">
          <cell r="M41">
            <v>707</v>
          </cell>
        </row>
        <row r="42">
          <cell r="M42">
            <v>843</v>
          </cell>
        </row>
        <row r="43">
          <cell r="M43">
            <v>1311</v>
          </cell>
        </row>
        <row r="44">
          <cell r="M44">
            <v>880</v>
          </cell>
        </row>
        <row r="45">
          <cell r="M45">
            <v>770</v>
          </cell>
        </row>
        <row r="46">
          <cell r="M46">
            <v>263</v>
          </cell>
        </row>
        <row r="47">
          <cell r="M47">
            <v>0</v>
          </cell>
        </row>
        <row r="48">
          <cell r="M48">
            <v>69</v>
          </cell>
        </row>
        <row r="49">
          <cell r="M49">
            <v>76</v>
          </cell>
        </row>
        <row r="50">
          <cell r="M50">
            <v>362</v>
          </cell>
        </row>
        <row r="51">
          <cell r="M51">
            <v>693</v>
          </cell>
        </row>
        <row r="52">
          <cell r="M52">
            <v>699</v>
          </cell>
        </row>
      </sheetData>
      <sheetData sheetId="39"/>
      <sheetData sheetId="40"/>
      <sheetData sheetId="41"/>
      <sheetData sheetId="42"/>
      <sheetData sheetId="43"/>
      <sheetData sheetId="44"/>
      <sheetData sheetId="45"/>
      <sheetData sheetId="46">
        <row r="59">
          <cell r="N59">
            <v>68385</v>
          </cell>
        </row>
      </sheetData>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ow r="7">
          <cell r="C7">
            <v>16808</v>
          </cell>
          <cell r="AG7">
            <v>35397.166666666664</v>
          </cell>
          <cell r="AI7">
            <v>37197.166666666664</v>
          </cell>
        </row>
        <row r="8">
          <cell r="C8">
            <v>24814</v>
          </cell>
          <cell r="AG8">
            <v>45414.424903021361</v>
          </cell>
          <cell r="AI8">
            <v>47714.424903021361</v>
          </cell>
        </row>
        <row r="9">
          <cell r="C9">
            <v>21169</v>
          </cell>
          <cell r="AG9">
            <v>42779.776135958484</v>
          </cell>
          <cell r="AI9">
            <v>44979.776135958484</v>
          </cell>
        </row>
        <row r="10">
          <cell r="C10">
            <v>7844</v>
          </cell>
          <cell r="AG10">
            <v>21709.48603573268</v>
          </cell>
          <cell r="AI10">
            <v>22809.48603573268</v>
          </cell>
        </row>
        <row r="11">
          <cell r="C11">
            <v>21842</v>
          </cell>
          <cell r="AG11">
            <v>41551.146707338012</v>
          </cell>
          <cell r="AI11">
            <v>43651.146707338012</v>
          </cell>
        </row>
        <row r="12">
          <cell r="C12">
            <v>18702</v>
          </cell>
          <cell r="AG12">
            <v>36275.172460346294</v>
          </cell>
          <cell r="AI12">
            <v>38075.172460346294</v>
          </cell>
        </row>
        <row r="13">
          <cell r="C13">
            <v>23212.997674418606</v>
          </cell>
          <cell r="AG13">
            <v>45693.153813391888</v>
          </cell>
          <cell r="AI13">
            <v>47993.153813391888</v>
          </cell>
        </row>
        <row r="14">
          <cell r="C14">
            <v>11544</v>
          </cell>
          <cell r="AG14">
            <v>28957.359121455502</v>
          </cell>
          <cell r="AI14">
            <v>30457.359121455502</v>
          </cell>
        </row>
        <row r="15">
          <cell r="C15">
            <v>18046.703991143764</v>
          </cell>
          <cell r="AG15">
            <v>32772.911392876646</v>
          </cell>
          <cell r="AI15">
            <v>34472.911392876646</v>
          </cell>
        </row>
        <row r="16">
          <cell r="C16">
            <v>28329</v>
          </cell>
          <cell r="AG16">
            <v>47898.318267833471</v>
          </cell>
          <cell r="AI16">
            <v>50298.318267833471</v>
          </cell>
        </row>
        <row r="17">
          <cell r="C17">
            <v>13352</v>
          </cell>
          <cell r="AG17">
            <v>28352.032162114476</v>
          </cell>
          <cell r="AI17">
            <v>29752.032162114476</v>
          </cell>
        </row>
        <row r="18">
          <cell r="C18">
            <v>25848.367611499238</v>
          </cell>
          <cell r="AG18">
            <v>43596.832974513345</v>
          </cell>
          <cell r="AI18">
            <v>45796.832974513345</v>
          </cell>
        </row>
        <row r="19">
          <cell r="C19">
            <v>15184.751738356423</v>
          </cell>
          <cell r="AG19">
            <v>33130.599955108351</v>
          </cell>
          <cell r="AI19">
            <v>33728.599955108351</v>
          </cell>
        </row>
        <row r="20">
          <cell r="C20">
            <v>13706.486895266944</v>
          </cell>
          <cell r="AG20">
            <v>28115.467449808668</v>
          </cell>
          <cell r="AI20">
            <v>28366.467449808668</v>
          </cell>
        </row>
        <row r="21">
          <cell r="C21">
            <v>23594.274081002797</v>
          </cell>
          <cell r="AG21">
            <v>43559.187215170736</v>
          </cell>
          <cell r="AI21">
            <v>45309.187215170736</v>
          </cell>
        </row>
        <row r="22">
          <cell r="C22">
            <v>22136.31290378391</v>
          </cell>
          <cell r="AG22">
            <v>39605.233147075145</v>
          </cell>
          <cell r="AI22">
            <v>40927.233147075145</v>
          </cell>
        </row>
        <row r="23">
          <cell r="C23">
            <v>19630</v>
          </cell>
          <cell r="AG23">
            <v>30190.519494596934</v>
          </cell>
          <cell r="AI23">
            <v>30556.519494596934</v>
          </cell>
        </row>
        <row r="24">
          <cell r="C24">
            <v>26226</v>
          </cell>
          <cell r="AG24">
            <v>39219.794060178268</v>
          </cell>
          <cell r="AI24">
            <v>40371.794060178268</v>
          </cell>
        </row>
        <row r="25">
          <cell r="C25">
            <v>18381</v>
          </cell>
          <cell r="AG25">
            <v>27379.258099143466</v>
          </cell>
          <cell r="AI25">
            <v>28184.258099143466</v>
          </cell>
        </row>
        <row r="26">
          <cell r="C26">
            <v>9599.5723199092463</v>
          </cell>
          <cell r="AG26">
            <v>18372.131587188611</v>
          </cell>
          <cell r="AI26">
            <v>19904.131587188611</v>
          </cell>
        </row>
        <row r="27">
          <cell r="C27">
            <v>8687.6589262187081</v>
          </cell>
          <cell r="AG27">
            <v>15807.666976543394</v>
          </cell>
          <cell r="AI27">
            <v>16992.666976543394</v>
          </cell>
        </row>
        <row r="28">
          <cell r="C28">
            <v>8010.8356309650062</v>
          </cell>
          <cell r="AG28">
            <v>16411.076781231313</v>
          </cell>
          <cell r="AI28">
            <v>16597.076781231313</v>
          </cell>
        </row>
        <row r="29">
          <cell r="C29">
            <v>11509</v>
          </cell>
          <cell r="AG29">
            <v>22724.901053862264</v>
          </cell>
          <cell r="AI29">
            <v>24309.901053862264</v>
          </cell>
        </row>
        <row r="30">
          <cell r="C30">
            <v>18262</v>
          </cell>
          <cell r="AG30">
            <v>32957.436221752512</v>
          </cell>
          <cell r="AI30">
            <v>35133.436221752512</v>
          </cell>
        </row>
        <row r="31">
          <cell r="C31">
            <v>9037.17808219178</v>
          </cell>
          <cell r="AG31">
            <v>17684.644545797615</v>
          </cell>
          <cell r="AI31">
            <v>19368.644545797615</v>
          </cell>
        </row>
        <row r="32">
          <cell r="C32">
            <v>4419.2475499677621</v>
          </cell>
          <cell r="AG32">
            <v>11077.95809355221</v>
          </cell>
          <cell r="AI32">
            <v>11759.95809355221</v>
          </cell>
        </row>
        <row r="33">
          <cell r="C33">
            <v>14470</v>
          </cell>
          <cell r="AG33">
            <v>22814.743227555235</v>
          </cell>
          <cell r="AI33">
            <v>23972.759764732047</v>
          </cell>
        </row>
        <row r="34">
          <cell r="C34">
            <v>10492.571428571428</v>
          </cell>
          <cell r="AG34">
            <v>20144.856913645377</v>
          </cell>
          <cell r="AI34">
            <v>21167.357022999524</v>
          </cell>
        </row>
        <row r="35">
          <cell r="C35">
            <v>12265.648310387985</v>
          </cell>
          <cell r="AG35">
            <v>20765.726660226421</v>
          </cell>
          <cell r="AI35">
            <v>21819.740489757143</v>
          </cell>
        </row>
        <row r="36">
          <cell r="C36">
            <v>11249.867777777778</v>
          </cell>
          <cell r="AG36">
            <v>19510.674764809301</v>
          </cell>
          <cell r="AI36">
            <v>20500.985451358658</v>
          </cell>
        </row>
        <row r="37">
          <cell r="C37">
            <v>13408.493367742924</v>
          </cell>
          <cell r="AG37">
            <v>22857.040953893968</v>
          </cell>
          <cell r="AI37">
            <v>24017.204412738785</v>
          </cell>
        </row>
        <row r="38">
          <cell r="C38">
            <v>10376</v>
          </cell>
          <cell r="AG38">
            <v>17521.200934380602</v>
          </cell>
          <cell r="AI38">
            <v>18410.200934380602</v>
          </cell>
        </row>
      </sheetData>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ow r="6">
          <cell r="B6">
            <v>114</v>
          </cell>
          <cell r="C6">
            <v>38</v>
          </cell>
          <cell r="D6">
            <v>17</v>
          </cell>
          <cell r="E6">
            <v>12</v>
          </cell>
        </row>
        <row r="7">
          <cell r="B7">
            <v>47</v>
          </cell>
          <cell r="C7">
            <v>9</v>
          </cell>
          <cell r="D7">
            <v>37</v>
          </cell>
          <cell r="E7">
            <v>1</v>
          </cell>
        </row>
        <row r="8">
          <cell r="B8">
            <v>99</v>
          </cell>
          <cell r="C8">
            <v>29</v>
          </cell>
          <cell r="D8">
            <v>17</v>
          </cell>
          <cell r="E8">
            <v>28</v>
          </cell>
        </row>
        <row r="9">
          <cell r="B9">
            <v>121</v>
          </cell>
          <cell r="C9">
            <v>7</v>
          </cell>
          <cell r="D9">
            <v>22</v>
          </cell>
          <cell r="E9">
            <v>0</v>
          </cell>
        </row>
        <row r="10">
          <cell r="B10">
            <v>12</v>
          </cell>
          <cell r="C10">
            <v>1</v>
          </cell>
          <cell r="D10">
            <v>16</v>
          </cell>
          <cell r="E10">
            <v>13</v>
          </cell>
        </row>
        <row r="11">
          <cell r="B11">
            <v>31</v>
          </cell>
          <cell r="C11">
            <v>5</v>
          </cell>
          <cell r="D11">
            <v>0</v>
          </cell>
          <cell r="E11">
            <v>103</v>
          </cell>
        </row>
        <row r="12">
          <cell r="B12">
            <v>28</v>
          </cell>
          <cell r="C12">
            <v>19</v>
          </cell>
          <cell r="D12">
            <v>36</v>
          </cell>
          <cell r="E12">
            <v>20</v>
          </cell>
        </row>
        <row r="13">
          <cell r="B13">
            <v>8</v>
          </cell>
          <cell r="C13">
            <v>3</v>
          </cell>
          <cell r="D13">
            <v>10</v>
          </cell>
          <cell r="E13">
            <v>14</v>
          </cell>
        </row>
        <row r="14">
          <cell r="B14">
            <v>12</v>
          </cell>
          <cell r="C14">
            <v>44</v>
          </cell>
          <cell r="D14">
            <v>0</v>
          </cell>
          <cell r="E14">
            <v>55</v>
          </cell>
        </row>
        <row r="15">
          <cell r="B15">
            <v>41</v>
          </cell>
          <cell r="C15">
            <v>40</v>
          </cell>
          <cell r="D15">
            <v>22</v>
          </cell>
          <cell r="E15">
            <v>75</v>
          </cell>
        </row>
        <row r="16">
          <cell r="B16">
            <v>8</v>
          </cell>
          <cell r="C16">
            <v>73</v>
          </cell>
          <cell r="D16">
            <v>8</v>
          </cell>
          <cell r="E16">
            <v>103</v>
          </cell>
        </row>
        <row r="17">
          <cell r="B17">
            <v>38</v>
          </cell>
          <cell r="C17">
            <v>46</v>
          </cell>
          <cell r="D17">
            <v>4</v>
          </cell>
          <cell r="E17">
            <v>51</v>
          </cell>
        </row>
        <row r="18">
          <cell r="B18">
            <v>9</v>
          </cell>
          <cell r="C18">
            <v>16</v>
          </cell>
          <cell r="D18">
            <v>0</v>
          </cell>
          <cell r="E18">
            <v>11</v>
          </cell>
        </row>
        <row r="19">
          <cell r="B19">
            <v>12</v>
          </cell>
          <cell r="C19">
            <v>3</v>
          </cell>
          <cell r="D19">
            <v>27</v>
          </cell>
          <cell r="E19">
            <v>33</v>
          </cell>
        </row>
        <row r="20">
          <cell r="B20">
            <v>64</v>
          </cell>
          <cell r="C20">
            <v>124</v>
          </cell>
          <cell r="D20">
            <v>28</v>
          </cell>
          <cell r="E20">
            <v>1054</v>
          </cell>
        </row>
        <row r="21">
          <cell r="B21">
            <v>32</v>
          </cell>
          <cell r="C21">
            <v>119</v>
          </cell>
          <cell r="D21">
            <v>63</v>
          </cell>
          <cell r="E21">
            <v>179</v>
          </cell>
        </row>
        <row r="22">
          <cell r="B22">
            <v>353</v>
          </cell>
          <cell r="C22">
            <v>161</v>
          </cell>
          <cell r="D22">
            <v>16</v>
          </cell>
          <cell r="E22">
            <v>24</v>
          </cell>
        </row>
        <row r="23">
          <cell r="B23">
            <v>80</v>
          </cell>
          <cell r="C23">
            <v>94</v>
          </cell>
          <cell r="D23">
            <v>5</v>
          </cell>
          <cell r="E23">
            <v>3</v>
          </cell>
        </row>
        <row r="24">
          <cell r="B24">
            <v>13</v>
          </cell>
          <cell r="C24">
            <v>8</v>
          </cell>
          <cell r="D24">
            <v>6</v>
          </cell>
          <cell r="E24">
            <v>10</v>
          </cell>
        </row>
        <row r="25">
          <cell r="B25">
            <v>3</v>
          </cell>
          <cell r="C25">
            <v>1</v>
          </cell>
          <cell r="D25">
            <v>0</v>
          </cell>
          <cell r="E25">
            <v>1</v>
          </cell>
        </row>
        <row r="26">
          <cell r="B26">
            <v>71</v>
          </cell>
          <cell r="C26">
            <v>18</v>
          </cell>
          <cell r="D26">
            <v>0</v>
          </cell>
          <cell r="E26">
            <v>93</v>
          </cell>
        </row>
        <row r="27">
          <cell r="B27">
            <v>60</v>
          </cell>
          <cell r="C27">
            <v>82</v>
          </cell>
          <cell r="D27">
            <v>61</v>
          </cell>
          <cell r="E27">
            <v>3</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row r="39">
          <cell r="P39">
            <v>64470</v>
          </cell>
        </row>
      </sheetData>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otes"/>
      <sheetName val="Tab 2-NisCatch25"/>
      <sheetName val="ADJ25"/>
      <sheetName val="Catch Estimates25"/>
      <sheetName val="SO"/>
      <sheetName val="CH"/>
      <sheetName val="CO"/>
      <sheetName val="PK"/>
      <sheetName val="CM"/>
      <sheetName val="ST"/>
      <sheetName val="Data-Nisgaa Sport"/>
      <sheetName val="OTHER FN CATCH DATA"/>
      <sheetName val="Nisga'a In-river25 (Tab 2)"/>
      <sheetName val="Nisga'a Marine25 (Tab 1)"/>
      <sheetName val="All"/>
      <sheetName val="Weekly IS data25"/>
      <sheetName val="IS Catches_SK_CH_PK_CO"/>
      <sheetName val="Release25"/>
      <sheetName val="Interviews25"/>
      <sheetName val="Effort25"/>
      <sheetName val="Int-chart"/>
      <sheetName val="Weekly Net Estimates"/>
      <sheetName val="NetsPerDay25"/>
      <sheetName val="PercentOfEffort25"/>
      <sheetName val="Kin"/>
      <sheetName val="GR"/>
      <sheetName val="GW"/>
      <sheetName val="OA"/>
      <sheetName val="Charts"/>
      <sheetName val="Sockeye"/>
      <sheetName val="Chinook"/>
      <sheetName val="Chum"/>
      <sheetName val="Coho"/>
      <sheetName val="Pink"/>
      <sheetName val="Steelhead"/>
      <sheetName val="Gitanyow Chart"/>
      <sheetName val="SKChart-IS"/>
      <sheetName val="TAB 1"/>
      <sheetName val="Tab 9-Acct"/>
      <sheetName val="Effort-chart"/>
      <sheetName val="Catch Estimates24"/>
      <sheetName val="ADJ24"/>
      <sheetName val="IS DATA"/>
      <sheetName val="IS Daily Data - Uncorrected"/>
      <sheetName val="Interviews24"/>
      <sheetName val="PercentOfEffort24"/>
      <sheetName val="Effort24"/>
      <sheetName val="NetsPerDay24"/>
      <sheetName val="Release24"/>
      <sheetName val="24 Harvest Plan (all)"/>
      <sheetName val="Data-Nisgaa &amp; Other FN Catch"/>
      <sheetName val="SEINE DATA"/>
      <sheetName val="Gitladamix"/>
      <sheetName val="Gingolx"/>
      <sheetName val="Greenville"/>
      <sheetName val="Stat_Date_wk"/>
      <sheetName val="Regression-SK"/>
      <sheetName val="Regression-CH"/>
      <sheetName val="Regression-CO"/>
      <sheetName val="Inriversum"/>
      <sheetName val="Data-Unmonitored catch"/>
      <sheetName val="Catch"/>
      <sheetName val="SOCKEYE HARVEST SUMMARY"/>
      <sheetName val="IS DATA17"/>
      <sheetName val="Location"/>
    </sheetNames>
    <sheetDataSet>
      <sheetData sheetId="0"/>
      <sheetData sheetId="1"/>
      <sheetData sheetId="2"/>
      <sheetData sheetId="3">
        <row r="93">
          <cell r="F93">
            <v>2412</v>
          </cell>
          <cell r="K93">
            <v>2929</v>
          </cell>
          <cell r="P93">
            <v>516</v>
          </cell>
          <cell r="U93">
            <v>343</v>
          </cell>
        </row>
      </sheetData>
      <sheetData sheetId="4"/>
      <sheetData sheetId="5">
        <row r="23">
          <cell r="AO23">
            <v>271.06101013742989</v>
          </cell>
          <cell r="AP23">
            <v>1568.8990632784248</v>
          </cell>
          <cell r="AQ23">
            <v>1241.3809523809523</v>
          </cell>
          <cell r="AR23">
            <v>1627.25</v>
          </cell>
        </row>
      </sheetData>
      <sheetData sheetId="6">
        <row r="23">
          <cell r="AN23">
            <v>484.12372129141352</v>
          </cell>
          <cell r="AO23">
            <v>826.72695401275064</v>
          </cell>
          <cell r="AP23">
            <v>3324.3809523809527</v>
          </cell>
          <cell r="AQ23">
            <v>2782.9761904761908</v>
          </cell>
        </row>
      </sheetData>
      <sheetData sheetId="7"/>
      <sheetData sheetId="8"/>
      <sheetData sheetId="9">
        <row r="23">
          <cell r="AO23">
            <v>52</v>
          </cell>
          <cell r="AP23">
            <v>51.023809523809526</v>
          </cell>
          <cell r="AQ23">
            <v>230.57142857142856</v>
          </cell>
          <cell r="AR23">
            <v>156.45238095238096</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_AllCts_2025"/>
      <sheetName val="Tab 1"/>
      <sheetName val="Tab 2"/>
      <sheetName val="Data-CNT-RECAPS"/>
      <sheetName val="Data-Kwin-Mez Est 25"/>
      <sheetName val="Tab 3"/>
      <sheetName val="Data_N Catch"/>
      <sheetName val="SO25"/>
      <sheetName val="CO25"/>
      <sheetName val="REC-All25"/>
      <sheetName val="Catch Estimates25"/>
      <sheetName val="ADJ25"/>
      <sheetName val="Data-TagReturn"/>
      <sheetName val="Data-Nisgaa RM"/>
      <sheetName val="Data-Nisgaa Sport"/>
      <sheetName val="Data-TagCompliance"/>
      <sheetName val="Data-Tagloss"/>
      <sheetName val="Data-catch ADJ 24"/>
      <sheetName val="IS Daily Data24"/>
      <sheetName val="Tab 4 (SK-CO-ST)"/>
      <sheetName val="Tab 4b (SK-size-Mez-KW)"/>
      <sheetName val="Data-Size test (SK)"/>
      <sheetName val="Data-Stephen25"/>
      <sheetName val="Tab 4b (CO-size)"/>
      <sheetName val="Data-Size test (CO)"/>
      <sheetName val="Tab 4c (PK)"/>
      <sheetName val="Tab 5 (CH-new)"/>
      <sheetName val="Data-PSC CV Sum"/>
      <sheetName val="CH25"/>
      <sheetName val="Data-Size test (CH)"/>
      <sheetName val="Catch Rates - new"/>
      <sheetName val="MR TABLE"/>
      <sheetName val="MR TO INSEASON"/>
      <sheetName val="Data-Sport-Inriver (CO-new)"/>
      <sheetName val="Data-Sport-Inriver (CH - new)"/>
      <sheetName val="MR-SK"/>
      <sheetName val="Data-SockMR (09-24)"/>
      <sheetName val="DNA Summary"/>
      <sheetName val="Data-Coho Esc"/>
      <sheetName val="Data-Chin Sport Est18 (new)"/>
      <sheetName val="MR Notes"/>
      <sheetName val="Tab 4 (ST)"/>
      <sheetName val="Tab 4a (SK-size-Mez)"/>
      <sheetName val="Tab 5 (CH Ian 23)"/>
      <sheetName val="Size Diff (CH-SK)"/>
      <sheetName val="Size Diff (ST)"/>
      <sheetName val="Tab 5 (CH Ian22)"/>
      <sheetName val="Data-INRIVER-SF_CH-CO"/>
      <sheetName val="Tab 4 (ST-size)"/>
      <sheetName val="Tab 4 (ST-FW)"/>
      <sheetName val="Tab 5a GW-CHIN"/>
      <sheetName val="ADJ old"/>
      <sheetName val="Tab4c-MR-PITT-EST"/>
      <sheetName val="Data-MR-PITT"/>
      <sheetName val="PIT TAG CH (IAN)"/>
      <sheetName val="PIT TAG CH EST"/>
      <sheetName val="Tab 5 (old)"/>
      <sheetName val="Tab 6"/>
      <sheetName val="Tab 7"/>
      <sheetName val="Tab 8"/>
      <sheetName val="Data_CPUE_CH"/>
      <sheetName val="Data_CPUE_CO"/>
      <sheetName val="Data-Sportold"/>
      <sheetName val="MS Tab 11"/>
      <sheetName val="MS Tab 12"/>
      <sheetName val="MS Tab 13"/>
      <sheetName val="MS Tab 14"/>
      <sheetName val="1995 RADIO"/>
      <sheetName val="Radio"/>
      <sheetName val="Survey Results by Stream"/>
      <sheetName val="Data-Coastal-Chin-Esc"/>
      <sheetName val="Mez Counts"/>
    </sheetNames>
    <sheetDataSet>
      <sheetData sheetId="0" refreshError="1"/>
      <sheetData sheetId="1">
        <row r="12">
          <cell r="Q12">
            <v>390</v>
          </cell>
        </row>
      </sheetData>
      <sheetData sheetId="2" refreshError="1"/>
      <sheetData sheetId="3" refreshError="1"/>
      <sheetData sheetId="4" refreshError="1"/>
      <sheetData sheetId="5">
        <row r="12">
          <cell r="C12">
            <v>38888.800000000003</v>
          </cell>
        </row>
      </sheetData>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6">
          <cell r="Q16">
            <v>3523</v>
          </cell>
        </row>
      </sheetData>
      <sheetData sheetId="17" refreshError="1"/>
      <sheetData sheetId="18" refreshError="1"/>
      <sheetData sheetId="19">
        <row r="7">
          <cell r="K7">
            <v>795</v>
          </cell>
        </row>
      </sheetData>
      <sheetData sheetId="20">
        <row r="7">
          <cell r="D7">
            <v>5656.8159079539773</v>
          </cell>
        </row>
      </sheetData>
      <sheetData sheetId="21" refreshError="1"/>
      <sheetData sheetId="22" refreshError="1"/>
      <sheetData sheetId="23">
        <row r="7">
          <cell r="D7">
            <v>412</v>
          </cell>
        </row>
      </sheetData>
      <sheetData sheetId="24" refreshError="1"/>
      <sheetData sheetId="25">
        <row r="7">
          <cell r="D7">
            <v>1549</v>
          </cell>
        </row>
      </sheetData>
      <sheetData sheetId="26">
        <row r="7">
          <cell r="D7">
            <v>901</v>
          </cell>
        </row>
      </sheetData>
      <sheetData sheetId="27" refreshError="1"/>
      <sheetData sheetId="28" refreshError="1"/>
      <sheetData sheetId="29" refreshError="1"/>
      <sheetData sheetId="30">
        <row r="33">
          <cell r="L33">
            <v>2018</v>
          </cell>
        </row>
      </sheetData>
      <sheetData sheetId="31">
        <row r="13">
          <cell r="I13">
            <v>97551.482758620696</v>
          </cell>
        </row>
      </sheetData>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ow r="7">
          <cell r="J7">
            <v>795</v>
          </cell>
        </row>
      </sheetData>
      <sheetData sheetId="42">
        <row r="21">
          <cell r="J21">
            <v>3684</v>
          </cell>
        </row>
      </sheetData>
      <sheetData sheetId="43">
        <row r="21">
          <cell r="P21">
            <v>0.18676880000000001</v>
          </cell>
        </row>
      </sheetData>
      <sheetData sheetId="44" refreshError="1"/>
      <sheetData sheetId="45" refreshError="1"/>
      <sheetData sheetId="46" refreshError="1"/>
      <sheetData sheetId="47" refreshError="1"/>
      <sheetData sheetId="48">
        <row r="21">
          <cell r="J21" t="e">
            <v>#DIV/0!</v>
          </cell>
        </row>
      </sheetData>
      <sheetData sheetId="49" refreshError="1"/>
      <sheetData sheetId="50">
        <row r="70">
          <cell r="D70">
            <v>705</v>
          </cell>
        </row>
      </sheetData>
      <sheetData sheetId="51" refreshError="1"/>
      <sheetData sheetId="52">
        <row r="7">
          <cell r="J7">
            <v>6478</v>
          </cell>
        </row>
      </sheetData>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ow r="46">
          <cell r="P46">
            <v>557.76758613917809</v>
          </cell>
        </row>
      </sheetData>
      <sheetData sheetId="71" refreshError="1"/>
    </sheetDataSet>
  </externalBook>
</externalLink>
</file>

<file path=xl/persons/person.xml><?xml version="1.0" encoding="utf-8"?>
<personList xmlns="http://schemas.microsoft.com/office/spreadsheetml/2018/threadedcomments" xmlns:x="http://schemas.openxmlformats.org/spreadsheetml/2006/main">
  <person displayName="Karl English" id="{6589A3C4-D445-46E8-A5A6-1EC40C421D7F}" userId="S::kenglish@lgl.com::0bcf4877-f348-4fe8-93eb-5d9985512834" providerId="AD"/>
  <person displayName="Ian Beveridge" id="{119DC3B8-736D-4B4B-A719-1749188DD9A3}" userId="S::ibeveridge@lgl.com::7617bf64-4818-402e-af2d-1ccfd49b2a8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X3" dT="2026-02-12T18:28:20.47" personId="{119DC3B8-736D-4B4B-A719-1749188DD9A3}" id="{461B7142-2BE7-4E0A-9991-545C019394E3}">
    <text>Includes Khutzeymateen</text>
  </threadedComment>
  <threadedComment ref="E4" dT="2026-02-12T18:27:33.63" personId="{119DC3B8-736D-4B4B-A719-1749188DD9A3}" id="{4223898B-8852-4494-8F06-7507C34A25C5}">
    <text>Excludes Seaskinnish &amp; Tseax</text>
  </threadedComment>
  <threadedComment ref="H4" dT="2026-02-12T18:27:45.24" personId="{119DC3B8-736D-4B4B-A719-1749188DD9A3}" id="{AA578644-F670-4F8A-B773-C1085F14D006}">
    <text>Includes Seaskinnish and Tseax</text>
  </threadedComment>
</ThreadedComments>
</file>

<file path=xl/threadedComments/threadedComment2.xml><?xml version="1.0" encoding="utf-8"?>
<ThreadedComments xmlns="http://schemas.microsoft.com/office/spreadsheetml/2018/threadedcomments" xmlns:x="http://schemas.openxmlformats.org/spreadsheetml/2006/main">
  <threadedComment ref="D33" dT="2025-12-03T18:37:33.45" personId="{6589A3C4-D445-46E8-A5A6-1EC40C421D7F}" id="{EB942A40-5BF2-4466-A39C-446F9A6B9A0A}">
    <text>952 fence Count divided by expansion factor</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xml"/><Relationship Id="rId1" Type="http://schemas.openxmlformats.org/officeDocument/2006/relationships/printerSettings" Target="../printerSettings/printerSettings6.bin"/><Relationship Id="rId5" Type="http://schemas.microsoft.com/office/2017/10/relationships/threadedComment" Target="../threadedComments/threadedComment2.xml"/><Relationship Id="rId4" Type="http://schemas.openxmlformats.org/officeDocument/2006/relationships/comments" Target="../comments6.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3B3C0-DB35-45B8-AD4E-11DEAB64D5B4}">
  <sheetPr>
    <tabColor rgb="FF7030A0"/>
  </sheetPr>
  <dimension ref="A3:AP39"/>
  <sheetViews>
    <sheetView tabSelected="1" workbookViewId="0">
      <selection activeCell="W8" sqref="W8"/>
    </sheetView>
  </sheetViews>
  <sheetFormatPr defaultColWidth="8.7109375" defaultRowHeight="12.75" x14ac:dyDescent="0.2"/>
  <cols>
    <col min="1" max="2" width="8.7109375" style="291"/>
    <col min="3" max="3" width="13.42578125" style="291" bestFit="1" customWidth="1"/>
    <col min="4" max="4" width="1.5703125" style="291" customWidth="1"/>
    <col min="5" max="6" width="8.7109375" style="291"/>
    <col min="7" max="7" width="1.5703125" style="291" customWidth="1"/>
    <col min="8" max="9" width="8.7109375" style="291"/>
    <col min="10" max="10" width="1.5703125" style="291" customWidth="1"/>
    <col min="11" max="12" width="8.7109375" style="291"/>
    <col min="13" max="13" width="1.5703125" style="291" customWidth="1"/>
    <col min="14" max="17" width="8.7109375" style="291"/>
    <col min="18" max="18" width="1.5703125" style="291" customWidth="1"/>
    <col min="19" max="19" width="8.7109375" style="291"/>
    <col min="20" max="20" width="9.85546875" style="965" customWidth="1"/>
    <col min="21" max="21" width="12" style="965" customWidth="1"/>
    <col min="22" max="22" width="16.140625" style="291" customWidth="1"/>
    <col min="23" max="23" width="16.140625" style="965" customWidth="1"/>
    <col min="24" max="24" width="8.7109375" style="291"/>
    <col min="25" max="25" width="13.42578125" style="291" bestFit="1" customWidth="1"/>
    <col min="26" max="26" width="1.5703125" style="291" customWidth="1"/>
    <col min="27" max="30" width="8.7109375" style="291"/>
    <col min="31" max="31" width="1.5703125" style="291" customWidth="1"/>
    <col min="32" max="34" width="8.7109375" style="291"/>
    <col min="35" max="35" width="13.42578125" style="291" bestFit="1" customWidth="1"/>
    <col min="36" max="36" width="1.5703125" style="291" customWidth="1"/>
    <col min="37" max="40" width="8.7109375" style="291"/>
    <col min="41" max="41" width="1.5703125" style="291" customWidth="1"/>
    <col min="42" max="16384" width="8.7109375" style="291"/>
  </cols>
  <sheetData>
    <row r="3" spans="1:42" ht="15" x14ac:dyDescent="0.25">
      <c r="B3" s="959"/>
      <c r="C3" s="968" t="s">
        <v>649</v>
      </c>
      <c r="D3" s="968"/>
      <c r="E3" s="968"/>
      <c r="F3" s="968"/>
      <c r="G3" s="968"/>
      <c r="H3" s="968"/>
      <c r="I3" s="968"/>
      <c r="J3" s="968"/>
      <c r="K3" s="968"/>
      <c r="L3" s="968"/>
      <c r="M3" s="968"/>
      <c r="N3" s="968"/>
      <c r="O3" s="968"/>
      <c r="P3" s="968"/>
      <c r="Q3" s="968"/>
      <c r="R3" s="968"/>
      <c r="S3" s="968"/>
      <c r="T3" s="964"/>
      <c r="U3" s="964"/>
      <c r="X3" s="969" t="s">
        <v>657</v>
      </c>
      <c r="Y3" s="969"/>
      <c r="Z3" s="969"/>
      <c r="AA3" s="969"/>
      <c r="AB3" s="969"/>
      <c r="AC3" s="969"/>
      <c r="AD3" s="969"/>
      <c r="AE3" s="969"/>
      <c r="AF3" s="969"/>
      <c r="AH3" s="967" t="s">
        <v>658</v>
      </c>
      <c r="AI3" s="967"/>
      <c r="AJ3" s="967"/>
      <c r="AK3" s="967"/>
      <c r="AL3" s="967"/>
      <c r="AM3" s="967"/>
      <c r="AN3" s="967"/>
      <c r="AO3" s="967"/>
      <c r="AP3" s="967"/>
    </row>
    <row r="4" spans="1:42" x14ac:dyDescent="0.2">
      <c r="B4" s="959"/>
      <c r="D4" s="959"/>
      <c r="E4" s="966" t="s">
        <v>652</v>
      </c>
      <c r="F4" s="966"/>
      <c r="G4" s="959"/>
      <c r="H4" s="966" t="s">
        <v>653</v>
      </c>
      <c r="I4" s="966"/>
      <c r="J4" s="959"/>
      <c r="K4" s="966" t="s">
        <v>650</v>
      </c>
      <c r="L4" s="966"/>
      <c r="M4" s="959"/>
      <c r="N4" s="966" t="s">
        <v>651</v>
      </c>
      <c r="O4" s="966"/>
      <c r="P4" s="966"/>
      <c r="Q4" s="966"/>
      <c r="R4" s="959"/>
      <c r="S4" s="959"/>
      <c r="T4" s="959"/>
      <c r="U4" s="959"/>
      <c r="X4" s="959"/>
      <c r="Y4" s="959"/>
      <c r="Z4" s="959"/>
      <c r="AA4" s="966" t="s">
        <v>651</v>
      </c>
      <c r="AB4" s="966"/>
      <c r="AC4" s="966"/>
      <c r="AD4" s="966"/>
      <c r="AE4" s="959"/>
      <c r="AF4" s="959"/>
      <c r="AG4" s="959"/>
      <c r="AI4" s="959"/>
      <c r="AJ4" s="959"/>
      <c r="AK4" s="966" t="s">
        <v>651</v>
      </c>
      <c r="AL4" s="966"/>
      <c r="AM4" s="966"/>
      <c r="AN4" s="966"/>
      <c r="AO4" s="959"/>
      <c r="AP4" s="959"/>
    </row>
    <row r="5" spans="1:42" x14ac:dyDescent="0.2">
      <c r="B5" s="960" t="s">
        <v>36</v>
      </c>
      <c r="C5" s="960" t="s">
        <v>654</v>
      </c>
      <c r="D5" s="960"/>
      <c r="E5" s="960" t="s">
        <v>221</v>
      </c>
      <c r="F5" s="960" t="s">
        <v>222</v>
      </c>
      <c r="G5" s="960"/>
      <c r="H5" s="960" t="s">
        <v>221</v>
      </c>
      <c r="I5" s="960" t="s">
        <v>222</v>
      </c>
      <c r="J5" s="960"/>
      <c r="K5" s="960" t="s">
        <v>221</v>
      </c>
      <c r="L5" s="960" t="s">
        <v>222</v>
      </c>
      <c r="M5" s="960"/>
      <c r="N5" s="960" t="s">
        <v>655</v>
      </c>
      <c r="O5" s="960" t="s">
        <v>656</v>
      </c>
      <c r="P5" s="960" t="s">
        <v>60</v>
      </c>
      <c r="Q5" s="960" t="s">
        <v>43</v>
      </c>
      <c r="R5" s="960"/>
      <c r="S5" s="960" t="s">
        <v>63</v>
      </c>
      <c r="T5" s="963" t="s">
        <v>664</v>
      </c>
      <c r="U5" s="1044" t="s">
        <v>665</v>
      </c>
      <c r="V5" s="959" t="s">
        <v>666</v>
      </c>
      <c r="X5" s="960" t="s">
        <v>36</v>
      </c>
      <c r="Y5" s="960" t="s">
        <v>654</v>
      </c>
      <c r="Z5" s="960"/>
      <c r="AA5" s="960" t="s">
        <v>655</v>
      </c>
      <c r="AB5" s="960" t="s">
        <v>656</v>
      </c>
      <c r="AC5" s="960" t="s">
        <v>60</v>
      </c>
      <c r="AD5" s="960" t="s">
        <v>43</v>
      </c>
      <c r="AE5" s="960"/>
      <c r="AF5" s="960" t="s">
        <v>63</v>
      </c>
      <c r="AG5" s="959"/>
      <c r="AH5" s="291" t="s">
        <v>36</v>
      </c>
      <c r="AI5" s="960" t="s">
        <v>654</v>
      </c>
      <c r="AJ5" s="960"/>
      <c r="AK5" s="960" t="s">
        <v>655</v>
      </c>
      <c r="AL5" s="960" t="s">
        <v>656</v>
      </c>
      <c r="AM5" s="960" t="s">
        <v>60</v>
      </c>
      <c r="AN5" s="960" t="s">
        <v>43</v>
      </c>
      <c r="AO5" s="960"/>
      <c r="AP5" s="960" t="s">
        <v>63</v>
      </c>
    </row>
    <row r="6" spans="1:42" x14ac:dyDescent="0.2">
      <c r="B6" s="291">
        <v>1992</v>
      </c>
      <c r="C6" s="362">
        <f>'A6-Chin (NEW2)'!C13</f>
        <v>16808</v>
      </c>
      <c r="D6" s="362"/>
      <c r="E6" s="362"/>
      <c r="F6" s="362"/>
      <c r="G6" s="362"/>
      <c r="H6" s="362"/>
      <c r="I6" s="362"/>
      <c r="J6" s="362"/>
      <c r="K6" s="362">
        <f>'A6-Chin (NEW2)'!L13</f>
        <v>20067.172775785148</v>
      </c>
      <c r="L6" s="362"/>
      <c r="M6" s="362"/>
      <c r="N6" s="362">
        <f>'A6a-Chin (Upper&amp;MidCU)'!AA13</f>
        <v>8791.174800528499</v>
      </c>
      <c r="O6" s="362">
        <f>'A6a-Chin (Upper&amp;MidCU)'!AE13</f>
        <v>7727.6303116841336</v>
      </c>
      <c r="P6" s="362">
        <f>'A6a-Chin (Upper&amp;MidCU)'!AK13</f>
        <v>1550.3810930948507</v>
      </c>
      <c r="Q6" s="362">
        <f>SUM(N6:P6)</f>
        <v>18069.186205307484</v>
      </c>
      <c r="R6" s="362"/>
      <c r="S6" s="362">
        <f>'A6a-Chin (Upper&amp;MidCU)'!AL13</f>
        <v>34877.186205307487</v>
      </c>
      <c r="T6" s="1045">
        <f>Q6/S6</f>
        <v>0.51808038925335609</v>
      </c>
      <c r="U6" s="362"/>
      <c r="X6" s="291">
        <v>1992</v>
      </c>
      <c r="Y6" s="362">
        <f>'A6b-Chin (LN&amp;CoastalCU)'!P13</f>
        <v>2053.3284350514323</v>
      </c>
      <c r="AA6" s="362">
        <f>'A6b-Chin (LN&amp;CoastalCU)'!AA13</f>
        <v>218.82519947150149</v>
      </c>
      <c r="AB6" s="362">
        <f>'A6b-Chin (LN&amp;CoastalCU)'!AE13</f>
        <v>944.03635498253163</v>
      </c>
      <c r="AC6" s="362">
        <f>'A6b-Chin (LN&amp;CoastalCU)'!AL13</f>
        <v>149.6189069051494</v>
      </c>
      <c r="AD6" s="362">
        <f>SUM(AA6:AC6)</f>
        <v>1312.4804613591823</v>
      </c>
      <c r="AF6" s="362">
        <f>'A6b-Chin (LN&amp;CoastalCU)'!AM13</f>
        <v>3365.8969075323234</v>
      </c>
      <c r="AH6" s="291">
        <v>1992</v>
      </c>
      <c r="AI6" s="362">
        <f>SUM(C6,Y6)</f>
        <v>18861.328435051433</v>
      </c>
      <c r="AK6" s="362">
        <f>SUM(N6,AA6)</f>
        <v>9010</v>
      </c>
      <c r="AL6" s="362">
        <f>SUM(O6,AB6)</f>
        <v>8671.6666666666661</v>
      </c>
      <c r="AM6" s="362">
        <f>SUM(P6,AC6)</f>
        <v>1700</v>
      </c>
      <c r="AN6" s="362">
        <f t="shared" ref="AN6" si="0">SUM(Q6,AD6)</f>
        <v>19381.666666666664</v>
      </c>
      <c r="AP6" s="362">
        <f>SUM(S6,AF6)</f>
        <v>38243.083112839813</v>
      </c>
    </row>
    <row r="7" spans="1:42" x14ac:dyDescent="0.2">
      <c r="B7" s="291">
        <v>1993</v>
      </c>
      <c r="C7" s="362">
        <f>'A6-Chin (NEW2)'!C14</f>
        <v>24814</v>
      </c>
      <c r="D7" s="362"/>
      <c r="E7" s="362"/>
      <c r="F7" s="362"/>
      <c r="G7" s="362"/>
      <c r="H7" s="362"/>
      <c r="I7" s="362"/>
      <c r="J7" s="362"/>
      <c r="K7" s="362">
        <f>'A6-Chin (NEW2)'!L14</f>
        <v>27923.11844982941</v>
      </c>
      <c r="L7" s="362"/>
      <c r="M7" s="362"/>
      <c r="N7" s="362">
        <f>'A6a-Chin (Upper&amp;MidCU)'!AA14</f>
        <v>6924.6051037208172</v>
      </c>
      <c r="O7" s="362">
        <f>'A6a-Chin (Upper&amp;MidCU)'!AE14</f>
        <v>11344.253723112059</v>
      </c>
      <c r="P7" s="362">
        <f>'A6a-Chin (Upper&amp;MidCU)'!AK14</f>
        <v>2030.9507202456396</v>
      </c>
      <c r="Q7" s="362">
        <f t="shared" ref="Q7:Q39" si="1">SUM(N7:P7)</f>
        <v>20299.809547078516</v>
      </c>
      <c r="R7" s="362"/>
      <c r="S7" s="362">
        <f>'A6a-Chin (Upper&amp;MidCU)'!AL14</f>
        <v>45113.809547078512</v>
      </c>
      <c r="T7" s="1045">
        <f t="shared" ref="T7:T39" si="2">Q7/S7</f>
        <v>0.44996886210406706</v>
      </c>
      <c r="U7" s="362"/>
      <c r="X7" s="291">
        <v>1993</v>
      </c>
      <c r="Y7" s="362">
        <f>'A6b-Chin (LN&amp;CoastalCU)'!P14</f>
        <v>2293.2596022920402</v>
      </c>
      <c r="AA7" s="362">
        <f>'A6b-Chin (LN&amp;CoastalCU)'!AA14</f>
        <v>244.39489627918283</v>
      </c>
      <c r="AB7" s="362">
        <f>'A6b-Chin (LN&amp;CoastalCU)'!AE14</f>
        <v>1048.4129435546047</v>
      </c>
      <c r="AC7" s="362">
        <f>'A6b-Chin (LN&amp;CoastalCU)'!AL14</f>
        <v>169.04927975436041</v>
      </c>
      <c r="AD7" s="362">
        <f t="shared" ref="AD7:AD39" si="3">SUM(AA7:AC7)</f>
        <v>1461.857119588148</v>
      </c>
      <c r="AF7" s="362">
        <f>'A6b-Chin (LN&amp;CoastalCU)'!AM14</f>
        <v>3755.1935624618945</v>
      </c>
      <c r="AH7" s="291">
        <v>1993</v>
      </c>
      <c r="AI7" s="362">
        <f t="shared" ref="AI7:AI39" si="4">SUM(C7,Y7)</f>
        <v>27107.259602292041</v>
      </c>
      <c r="AK7" s="362">
        <f t="shared" ref="AK7:AK39" si="5">SUM(N7,AA7)</f>
        <v>7169</v>
      </c>
      <c r="AL7" s="362">
        <f t="shared" ref="AL7:AL39" si="6">SUM(O7,AB7)</f>
        <v>12392.666666666664</v>
      </c>
      <c r="AM7" s="362">
        <f t="shared" ref="AM7:AM39" si="7">SUM(P7,AC7)</f>
        <v>2200</v>
      </c>
      <c r="AN7" s="362">
        <f t="shared" ref="AN7:AN39" si="8">SUM(Q7,AD7)</f>
        <v>21761.666666666664</v>
      </c>
      <c r="AP7" s="362">
        <f t="shared" ref="AP7:AP39" si="9">SUM(S7,AF7)</f>
        <v>48869.003109540405</v>
      </c>
    </row>
    <row r="8" spans="1:42" x14ac:dyDescent="0.2">
      <c r="A8" s="362"/>
      <c r="B8" s="291">
        <v>1994</v>
      </c>
      <c r="C8" s="362">
        <f>'A6-Chin (NEW2)'!C15</f>
        <v>23639.335228763888</v>
      </c>
      <c r="D8" s="362"/>
      <c r="E8" s="362">
        <f>'A6-Chin (NEW2)'!D15</f>
        <v>19706.335228763888</v>
      </c>
      <c r="F8" s="362">
        <f>'Bayesian SD Ests (10Feb26rev)'!D10</f>
        <v>3851</v>
      </c>
      <c r="G8" s="362"/>
      <c r="H8" s="362">
        <f>'Bayesian SD Ests (10Feb26rev)'!F10</f>
        <v>3933</v>
      </c>
      <c r="I8" s="362">
        <f>'Bayesian SD Ests (10Feb26rev)'!G10</f>
        <v>1470</v>
      </c>
      <c r="J8" s="362"/>
      <c r="K8" s="362">
        <f>'A6-Chin (NEW2)'!L15</f>
        <v>26750</v>
      </c>
      <c r="L8" s="362">
        <f>'Bayesian SD Ests (10Feb26rev)'!V10</f>
        <v>4080</v>
      </c>
      <c r="M8" s="362"/>
      <c r="N8" s="362">
        <f>'A6a-Chin (Upper&amp;MidCU)'!AA15</f>
        <v>6610.2704427821809</v>
      </c>
      <c r="O8" s="362">
        <f>'A6a-Chin (Upper&amp;MidCU)'!AE15</f>
        <v>8584.1557078352471</v>
      </c>
      <c r="P8" s="362">
        <f>'A6a-Chin (Upper&amp;MidCU)'!AK15</f>
        <v>1805.2605338550609</v>
      </c>
      <c r="Q8" s="362">
        <f t="shared" si="1"/>
        <v>16999.68668447249</v>
      </c>
      <c r="R8" s="362"/>
      <c r="S8" s="362">
        <f>'A6a-Chin (Upper&amp;MidCU)'!AL15</f>
        <v>40639.021913236378</v>
      </c>
      <c r="T8" s="1045">
        <f t="shared" si="2"/>
        <v>0.4183094445719322</v>
      </c>
      <c r="U8" s="362">
        <f>(E8/(1-T8))*T8</f>
        <v>14171.359784286371</v>
      </c>
      <c r="V8" s="362">
        <f>(H8/(1-T8))*T8</f>
        <v>2828.3269001861199</v>
      </c>
      <c r="W8" s="362"/>
      <c r="X8" s="291">
        <v>1994</v>
      </c>
      <c r="Y8" s="362">
        <f>'A6b-Chin (LN&amp;CoastalCU)'!P15</f>
        <v>5777.6481465135384</v>
      </c>
      <c r="AA8" s="362">
        <f>'A6b-Chin (LN&amp;CoastalCU)'!AA15</f>
        <v>615.72955721781909</v>
      </c>
      <c r="AB8" s="362">
        <f>'A6b-Chin (LN&amp;CoastalCU)'!AE15</f>
        <v>2098.0383261543743</v>
      </c>
      <c r="AC8" s="362">
        <f>'A6b-Chin (LN&amp;CoastalCU)'!AL15</f>
        <v>394.73946614493912</v>
      </c>
      <c r="AD8" s="362">
        <f t="shared" si="3"/>
        <v>3108.5073495171328</v>
      </c>
      <c r="AF8" s="362">
        <f>'A6b-Chin (LN&amp;CoastalCU)'!AM15</f>
        <v>8886.3349230607364</v>
      </c>
      <c r="AH8" s="291">
        <v>1994</v>
      </c>
      <c r="AI8" s="362">
        <f t="shared" si="4"/>
        <v>29416.983375277428</v>
      </c>
      <c r="AK8" s="362">
        <f t="shared" si="5"/>
        <v>7226</v>
      </c>
      <c r="AL8" s="362">
        <f t="shared" si="6"/>
        <v>10682.194033989621</v>
      </c>
      <c r="AM8" s="362">
        <f t="shared" si="7"/>
        <v>2200</v>
      </c>
      <c r="AN8" s="362">
        <f t="shared" si="8"/>
        <v>20108.194033989625</v>
      </c>
      <c r="AP8" s="362">
        <f t="shared" si="9"/>
        <v>49525.356836297113</v>
      </c>
    </row>
    <row r="9" spans="1:42" x14ac:dyDescent="0.2">
      <c r="A9" s="362"/>
      <c r="B9" s="291">
        <v>1995</v>
      </c>
      <c r="C9" s="362">
        <f>'A6-Chin (NEW2)'!C16</f>
        <v>9184.6096579476871</v>
      </c>
      <c r="D9" s="362"/>
      <c r="E9" s="362">
        <f>'A6-Chin (NEW2)'!D16</f>
        <v>7465.6096579476871</v>
      </c>
      <c r="F9" s="362">
        <f>'Bayesian SD Ests (10Feb26rev)'!D11</f>
        <v>1951</v>
      </c>
      <c r="G9" s="362"/>
      <c r="H9" s="362">
        <f>'Bayesian SD Ests (10Feb26rev)'!F11</f>
        <v>1719</v>
      </c>
      <c r="I9" s="362">
        <f>'Bayesian SD Ests (10Feb26rev)'!G11</f>
        <v>687</v>
      </c>
      <c r="J9" s="362"/>
      <c r="K9" s="362">
        <f>'A6-Chin (NEW2)'!L16</f>
        <v>11764</v>
      </c>
      <c r="L9" s="362">
        <f>'Bayesian SD Ests (10Feb26rev)'!V11</f>
        <v>2133</v>
      </c>
      <c r="M9" s="362"/>
      <c r="N9" s="362">
        <f>'A6a-Chin (Upper&amp;MidCU)'!AA16</f>
        <v>7302.842568339589</v>
      </c>
      <c r="O9" s="362">
        <f>'A6a-Chin (Upper&amp;MidCU)'!AE16</f>
        <v>4568.5056280348836</v>
      </c>
      <c r="P9" s="362">
        <f>'A6a-Chin (Upper&amp;MidCU)'!AK16</f>
        <v>974.50633084182948</v>
      </c>
      <c r="Q9" s="362">
        <f t="shared" si="1"/>
        <v>12845.854527216303</v>
      </c>
      <c r="R9" s="362"/>
      <c r="S9" s="362">
        <f>'A6a-Chin (Upper&amp;MidCU)'!AL16</f>
        <v>22030.46418516399</v>
      </c>
      <c r="T9" s="1045">
        <f t="shared" si="2"/>
        <v>0.58309504598941253</v>
      </c>
      <c r="U9" s="362">
        <f t="shared" ref="U9:U39" si="10">(E9/(1-T9))*T9</f>
        <v>10441.61256651668</v>
      </c>
      <c r="V9" s="362">
        <f t="shared" ref="V9:V39" si="11">(H9/(1-T9))*T9</f>
        <v>2404.2419606996209</v>
      </c>
      <c r="X9" s="291">
        <v>1995</v>
      </c>
      <c r="Y9" s="362">
        <f>'A6b-Chin (LN&amp;CoastalCU)'!P16</f>
        <v>1690.4925854407047</v>
      </c>
      <c r="AA9" s="362">
        <f>'A6b-Chin (LN&amp;CoastalCU)'!AA16</f>
        <v>180.15743166041079</v>
      </c>
      <c r="AB9" s="362">
        <f>'A6b-Chin (LN&amp;CoastalCU)'!AE16</f>
        <v>840.8658808982874</v>
      </c>
      <c r="AC9" s="362">
        <f>'A6b-Chin (LN&amp;CoastalCU)'!AL16</f>
        <v>125.4936691581705</v>
      </c>
      <c r="AD9" s="362">
        <f t="shared" si="3"/>
        <v>1146.5169817168687</v>
      </c>
      <c r="AF9" s="362">
        <f>'A6b-Chin (LN&amp;CoastalCU)'!AM16</f>
        <v>2837.1236523113539</v>
      </c>
      <c r="AH9" s="291">
        <v>1995</v>
      </c>
      <c r="AI9" s="362">
        <f t="shared" si="4"/>
        <v>10875.102243388392</v>
      </c>
      <c r="AK9" s="362">
        <f t="shared" si="5"/>
        <v>7483</v>
      </c>
      <c r="AL9" s="362">
        <f t="shared" si="6"/>
        <v>5409.3715089331708</v>
      </c>
      <c r="AM9" s="362">
        <f t="shared" si="7"/>
        <v>1100</v>
      </c>
      <c r="AN9" s="362">
        <f t="shared" si="8"/>
        <v>13992.371508933171</v>
      </c>
      <c r="AP9" s="362">
        <f t="shared" si="9"/>
        <v>24867.587837475345</v>
      </c>
    </row>
    <row r="10" spans="1:42" x14ac:dyDescent="0.2">
      <c r="A10" s="362"/>
      <c r="B10" s="291">
        <v>1996</v>
      </c>
      <c r="C10" s="362">
        <f>'A6-Chin (NEW2)'!C17</f>
        <v>21721.665471087395</v>
      </c>
      <c r="D10" s="362"/>
      <c r="E10" s="362">
        <f>'A6-Chin (NEW2)'!D17</f>
        <v>18211.665471087395</v>
      </c>
      <c r="F10" s="362">
        <f>'Bayesian SD Ests (10Feb26rev)'!D12</f>
        <v>4880</v>
      </c>
      <c r="G10" s="362"/>
      <c r="H10" s="362">
        <f>'Bayesian SD Ests (10Feb26rev)'!F12</f>
        <v>3510</v>
      </c>
      <c r="I10" s="362">
        <f>'Bayesian SD Ests (10Feb26rev)'!G12</f>
        <v>1443</v>
      </c>
      <c r="J10" s="362"/>
      <c r="K10" s="362">
        <f>'A6-Chin (NEW2)'!L17</f>
        <v>24082</v>
      </c>
      <c r="L10" s="362">
        <f>'Bayesian SD Ests (10Feb26rev)'!V12</f>
        <v>5437</v>
      </c>
      <c r="M10" s="362"/>
      <c r="N10" s="362">
        <f>'A6a-Chin (Upper&amp;MidCU)'!AA17</f>
        <v>7999.5786678994882</v>
      </c>
      <c r="O10" s="362">
        <f>'A6a-Chin (Upper&amp;MidCU)'!AE17</f>
        <v>9451.1184212454609</v>
      </c>
      <c r="P10" s="362">
        <f>'A6a-Chin (Upper&amp;MidCU)'!AK17</f>
        <v>1845.6718569152927</v>
      </c>
      <c r="Q10" s="362">
        <f t="shared" si="1"/>
        <v>19296.36894606024</v>
      </c>
      <c r="R10" s="362"/>
      <c r="S10" s="362">
        <f>'A6a-Chin (Upper&amp;MidCU)'!AL17</f>
        <v>41018.034417147639</v>
      </c>
      <c r="T10" s="1045">
        <f t="shared" si="2"/>
        <v>0.47043621714826417</v>
      </c>
      <c r="U10" s="362">
        <f t="shared" si="10"/>
        <v>16178.272173470503</v>
      </c>
      <c r="V10" s="362">
        <f t="shared" si="11"/>
        <v>3118.0967725897322</v>
      </c>
      <c r="X10" s="291">
        <v>1996</v>
      </c>
      <c r="Y10" s="362">
        <f>'A6b-Chin (LN&amp;CoastalCU)'!P17</f>
        <v>2124.6061268403055</v>
      </c>
      <c r="AA10" s="362">
        <f>'A6b-Chin (LN&amp;CoastalCU)'!AA17</f>
        <v>226.42133210051179</v>
      </c>
      <c r="AB10" s="362">
        <f>'A6b-Chin (LN&amp;CoastalCU)'!AE17</f>
        <v>924.41825558904407</v>
      </c>
      <c r="AC10" s="362">
        <f>'A6b-Chin (LN&amp;CoastalCU)'!AL17</f>
        <v>154.32814308470725</v>
      </c>
      <c r="AD10" s="362">
        <f t="shared" si="3"/>
        <v>1305.1677307742632</v>
      </c>
      <c r="AF10" s="362">
        <f>'A6b-Chin (LN&amp;CoastalCU)'!AM17</f>
        <v>3429.8510216861109</v>
      </c>
      <c r="AH10" s="291">
        <v>1996</v>
      </c>
      <c r="AI10" s="362">
        <f t="shared" si="4"/>
        <v>23846.271597927702</v>
      </c>
      <c r="AK10" s="362">
        <f t="shared" si="5"/>
        <v>8226</v>
      </c>
      <c r="AL10" s="362">
        <f t="shared" si="6"/>
        <v>10375.536676834505</v>
      </c>
      <c r="AM10" s="362">
        <f t="shared" si="7"/>
        <v>2000</v>
      </c>
      <c r="AN10" s="362">
        <f t="shared" si="8"/>
        <v>20601.536676834505</v>
      </c>
      <c r="AP10" s="362">
        <f t="shared" si="9"/>
        <v>44447.88543883375</v>
      </c>
    </row>
    <row r="11" spans="1:42" x14ac:dyDescent="0.2">
      <c r="A11" s="362"/>
      <c r="B11" s="291">
        <v>1997</v>
      </c>
      <c r="C11" s="362">
        <f>'A6-Chin (NEW2)'!C18</f>
        <v>21372.273291925467</v>
      </c>
      <c r="D11" s="362"/>
      <c r="E11" s="362">
        <f>'A6-Chin (NEW2)'!D18</f>
        <v>17879.273291925467</v>
      </c>
      <c r="F11" s="362">
        <f>'Bayesian SD Ests (10Feb26rev)'!D13</f>
        <v>2187</v>
      </c>
      <c r="G11" s="362"/>
      <c r="H11" s="362">
        <f>'Bayesian SD Ests (10Feb26rev)'!F13</f>
        <v>3493</v>
      </c>
      <c r="I11" s="362">
        <f>'Bayesian SD Ests (10Feb26rev)'!G13</f>
        <v>1520</v>
      </c>
      <c r="J11" s="362"/>
      <c r="K11" s="362">
        <f>'A6-Chin (NEW2)'!L18</f>
        <v>23493</v>
      </c>
      <c r="L11" s="362">
        <f>'Bayesian SD Ests (10Feb26rev)'!V13</f>
        <v>2378</v>
      </c>
      <c r="M11" s="362"/>
      <c r="N11" s="362">
        <f>'A6a-Chin (Upper&amp;MidCU)'!AA18</f>
        <v>6629.6140120833597</v>
      </c>
      <c r="O11" s="362">
        <f>'A6a-Chin (Upper&amp;MidCU)'!AE18</f>
        <v>7883.4225867874447</v>
      </c>
      <c r="P11" s="362">
        <f>'A6a-Chin (Upper&amp;MidCU)'!AK18</f>
        <v>1691.5659329150374</v>
      </c>
      <c r="Q11" s="362">
        <f t="shared" si="1"/>
        <v>16204.60253178584</v>
      </c>
      <c r="R11" s="362"/>
      <c r="S11" s="362">
        <f>'A6a-Chin (Upper&amp;MidCU)'!AL18</f>
        <v>37576.875823711307</v>
      </c>
      <c r="T11" s="1045">
        <f t="shared" si="2"/>
        <v>0.43123868540344718</v>
      </c>
      <c r="U11" s="362">
        <f t="shared" si="10"/>
        <v>13556.186246330952</v>
      </c>
      <c r="V11" s="362">
        <f t="shared" si="11"/>
        <v>2648.4162854548872</v>
      </c>
      <c r="X11" s="291">
        <v>1997</v>
      </c>
      <c r="Y11" s="362">
        <f>'A6b-Chin (LN&amp;CoastalCU)'!P18</f>
        <v>2996.9324023471959</v>
      </c>
      <c r="AA11" s="362">
        <f>'A6b-Chin (LN&amp;CoastalCU)'!AA18</f>
        <v>319.38598791664072</v>
      </c>
      <c r="AB11" s="362">
        <f>'A6b-Chin (LN&amp;CoastalCU)'!AE18</f>
        <v>1105.4549167057992</v>
      </c>
      <c r="AC11" s="362">
        <f>'A6b-Chin (LN&amp;CoastalCU)'!AL18</f>
        <v>208.43406708496261</v>
      </c>
      <c r="AD11" s="362">
        <f t="shared" si="3"/>
        <v>1633.2749717074025</v>
      </c>
      <c r="AF11" s="362">
        <f>'A6b-Chin (LN&amp;CoastalCU)'!AM18</f>
        <v>4630.3170761951696</v>
      </c>
      <c r="AH11" s="291">
        <v>1997</v>
      </c>
      <c r="AI11" s="362">
        <f t="shared" si="4"/>
        <v>24369.205694272663</v>
      </c>
      <c r="AK11" s="362">
        <f t="shared" si="5"/>
        <v>6949</v>
      </c>
      <c r="AL11" s="362">
        <f t="shared" si="6"/>
        <v>8988.8775034932441</v>
      </c>
      <c r="AM11" s="362">
        <f t="shared" si="7"/>
        <v>1900</v>
      </c>
      <c r="AN11" s="362">
        <f t="shared" si="8"/>
        <v>17837.877503493244</v>
      </c>
      <c r="AP11" s="362">
        <f t="shared" si="9"/>
        <v>42207.192899906477</v>
      </c>
    </row>
    <row r="12" spans="1:42" x14ac:dyDescent="0.2">
      <c r="A12" s="362"/>
      <c r="B12" s="291">
        <v>1998</v>
      </c>
      <c r="C12" s="362">
        <f>'A6-Chin (NEW2)'!C19</f>
        <v>24908</v>
      </c>
      <c r="D12" s="362"/>
      <c r="E12" s="362">
        <f>'A6-Chin (NEW2)'!D19</f>
        <v>20875</v>
      </c>
      <c r="F12" s="362">
        <f>'Bayesian SD Ests (10Feb26rev)'!D14</f>
        <v>2806</v>
      </c>
      <c r="G12" s="362"/>
      <c r="H12" s="362">
        <f>'Bayesian SD Ests (10Feb26rev)'!F14</f>
        <v>4033</v>
      </c>
      <c r="I12" s="362">
        <f>'Bayesian SD Ests (10Feb26rev)'!G14</f>
        <v>1800</v>
      </c>
      <c r="J12" s="362"/>
      <c r="K12" s="362">
        <f>'A6-Chin (NEW2)'!L19</f>
        <v>27044</v>
      </c>
      <c r="L12" s="362">
        <f>'Bayesian SD Ests (10Feb26rev)'!V14</f>
        <v>3197</v>
      </c>
      <c r="M12" s="362"/>
      <c r="N12" s="362">
        <f>'A6a-Chin (Upper&amp;MidCU)'!AA19</f>
        <v>9307.1346122711311</v>
      </c>
      <c r="O12" s="362">
        <f>'A6a-Chin (Upper&amp;MidCU)'!AE19</f>
        <v>10257.1869982955</v>
      </c>
      <c r="P12" s="362">
        <f>'A6a-Chin (Upper&amp;MidCU)'!AK19</f>
        <v>2099.0244903218954</v>
      </c>
      <c r="Q12" s="362">
        <f t="shared" si="1"/>
        <v>21663.346100888524</v>
      </c>
      <c r="R12" s="362"/>
      <c r="S12" s="362">
        <f>'A6a-Chin (Upper&amp;MidCU)'!AL19</f>
        <v>46571.346100888535</v>
      </c>
      <c r="T12" s="1045">
        <f t="shared" si="2"/>
        <v>0.46516469706412905</v>
      </c>
      <c r="U12" s="362">
        <f t="shared" si="10"/>
        <v>18155.706995987141</v>
      </c>
      <c r="V12" s="362">
        <f t="shared" si="11"/>
        <v>3507.6391049013714</v>
      </c>
      <c r="X12" s="291">
        <v>1998</v>
      </c>
      <c r="Y12" s="362">
        <f>'A6b-Chin (LN&amp;CoastalCU)'!P19</f>
        <v>2804.3790219703574</v>
      </c>
      <c r="AA12" s="362">
        <f>'A6b-Chin (LN&amp;CoastalCU)'!AA19</f>
        <v>298.86538772886888</v>
      </c>
      <c r="AB12" s="362">
        <f>'A6b-Chin (LN&amp;CoastalCU)'!AE19</f>
        <v>1154.8514550524733</v>
      </c>
      <c r="AC12" s="362">
        <f>'A6b-Chin (LN&amp;CoastalCU)'!AL19</f>
        <v>200.97550967810446</v>
      </c>
      <c r="AD12" s="362">
        <f t="shared" si="3"/>
        <v>1654.6923524594467</v>
      </c>
      <c r="AF12" s="362">
        <f>'A6b-Chin (LN&amp;CoastalCU)'!AM19</f>
        <v>4459.1587550861859</v>
      </c>
      <c r="AH12" s="291">
        <v>1998</v>
      </c>
      <c r="AI12" s="362">
        <f t="shared" si="4"/>
        <v>27712.379021970359</v>
      </c>
      <c r="AK12" s="362">
        <f t="shared" si="5"/>
        <v>9606</v>
      </c>
      <c r="AL12" s="362">
        <f t="shared" si="6"/>
        <v>11412.038453347974</v>
      </c>
      <c r="AM12" s="362">
        <f t="shared" si="7"/>
        <v>2300</v>
      </c>
      <c r="AN12" s="362">
        <f t="shared" si="8"/>
        <v>23318.03845334797</v>
      </c>
      <c r="AP12" s="362">
        <f t="shared" si="9"/>
        <v>51030.504855974723</v>
      </c>
    </row>
    <row r="13" spans="1:42" x14ac:dyDescent="0.2">
      <c r="A13" s="362"/>
      <c r="B13" s="291">
        <v>1999</v>
      </c>
      <c r="C13" s="362">
        <f>'A6-Chin (NEW2)'!C20</f>
        <v>13069</v>
      </c>
      <c r="D13" s="362"/>
      <c r="E13" s="362">
        <f>'A6-Chin (NEW2)'!D20</f>
        <v>10844</v>
      </c>
      <c r="F13" s="362">
        <f>'Bayesian SD Ests (10Feb26rev)'!D15</f>
        <v>1502</v>
      </c>
      <c r="G13" s="362"/>
      <c r="H13" s="362">
        <f>'Bayesian SD Ests (10Feb26rev)'!F15</f>
        <v>2225</v>
      </c>
      <c r="I13" s="362">
        <f>'Bayesian SD Ests (10Feb26rev)'!G15</f>
        <v>985</v>
      </c>
      <c r="J13" s="362"/>
      <c r="K13" s="362">
        <f>'A6-Chin (NEW2)'!L20</f>
        <v>14952</v>
      </c>
      <c r="L13" s="362">
        <f>'Bayesian SD Ests (10Feb26rev)'!V15</f>
        <v>1797</v>
      </c>
      <c r="M13" s="362"/>
      <c r="N13" s="362">
        <f>'A6a-Chin (Upper&amp;MidCU)'!AA20</f>
        <v>8983.1043963212251</v>
      </c>
      <c r="O13" s="362">
        <f>'A6a-Chin (Upper&amp;MidCU)'!AE20</f>
        <v>6295.1597966797144</v>
      </c>
      <c r="P13" s="362">
        <f>'A6a-Chin (Upper&amp;MidCU)'!AK20</f>
        <v>1351.5647718256073</v>
      </c>
      <c r="Q13" s="362">
        <f t="shared" si="1"/>
        <v>16629.828964826545</v>
      </c>
      <c r="R13" s="362"/>
      <c r="S13" s="362">
        <f>'A6a-Chin (Upper&amp;MidCU)'!AL20</f>
        <v>29698.828964826549</v>
      </c>
      <c r="T13" s="1045">
        <f t="shared" si="2"/>
        <v>0.55994897928540832</v>
      </c>
      <c r="U13" s="362">
        <f t="shared" si="10"/>
        <v>13798.597084289464</v>
      </c>
      <c r="V13" s="362">
        <f t="shared" si="11"/>
        <v>2831.2318805370769</v>
      </c>
      <c r="X13" s="291">
        <v>1999</v>
      </c>
      <c r="Y13" s="362">
        <f>'A6b-Chin (LN&amp;CoastalCU)'!P20</f>
        <v>1960.1548817357414</v>
      </c>
      <c r="AA13" s="362">
        <f>'A6b-Chin (LN&amp;CoastalCU)'!AA20</f>
        <v>208.8956036787738</v>
      </c>
      <c r="AB13" s="362">
        <f>'A6b-Chin (LN&amp;CoastalCU)'!AE20</f>
        <v>944.17998368416238</v>
      </c>
      <c r="AC13" s="362">
        <f>'A6b-Chin (LN&amp;CoastalCU)'!AL20</f>
        <v>148.43522817439259</v>
      </c>
      <c r="AD13" s="362">
        <f t="shared" si="3"/>
        <v>1301.5108155373287</v>
      </c>
      <c r="AF13" s="362">
        <f>'A6b-Chin (LN&amp;CoastalCU)'!AM20</f>
        <v>3261.7646540918531</v>
      </c>
      <c r="AH13" s="291">
        <v>1999</v>
      </c>
      <c r="AI13" s="362">
        <f t="shared" si="4"/>
        <v>15029.154881735742</v>
      </c>
      <c r="AK13" s="362">
        <f t="shared" si="5"/>
        <v>9191.9999999999982</v>
      </c>
      <c r="AL13" s="362">
        <f t="shared" si="6"/>
        <v>7239.3397803638763</v>
      </c>
      <c r="AM13" s="362">
        <f t="shared" si="7"/>
        <v>1500</v>
      </c>
      <c r="AN13" s="362">
        <f t="shared" si="8"/>
        <v>17931.339780363873</v>
      </c>
      <c r="AP13" s="362">
        <f t="shared" si="9"/>
        <v>32960.593618918399</v>
      </c>
    </row>
    <row r="14" spans="1:42" x14ac:dyDescent="0.2">
      <c r="A14" s="362"/>
      <c r="B14" s="291">
        <v>2000</v>
      </c>
      <c r="C14" s="362">
        <f>'A6-Chin (NEW2)'!C21</f>
        <v>18085</v>
      </c>
      <c r="D14" s="362"/>
      <c r="E14" s="362">
        <f>'A6-Chin (NEW2)'!D21</f>
        <v>14915</v>
      </c>
      <c r="F14" s="362">
        <f>'Bayesian SD Ests (10Feb26rev)'!D16</f>
        <v>3216</v>
      </c>
      <c r="G14" s="362"/>
      <c r="H14" s="362">
        <f>'Bayesian SD Ests (10Feb26rev)'!F16</f>
        <v>3170</v>
      </c>
      <c r="I14" s="362">
        <f>'Bayesian SD Ests (10Feb26rev)'!G16</f>
        <v>1242</v>
      </c>
      <c r="J14" s="362"/>
      <c r="K14" s="362">
        <f>'A6-Chin (NEW2)'!L21</f>
        <v>21655</v>
      </c>
      <c r="L14" s="362">
        <f>'Bayesian SD Ests (10Feb26rev)'!V16</f>
        <v>3498</v>
      </c>
      <c r="M14" s="362"/>
      <c r="N14" s="362">
        <f>'A6a-Chin (Upper&amp;MidCU)'!AA21</f>
        <v>10262.330873111703</v>
      </c>
      <c r="O14" s="362">
        <f>'A6a-Chin (Upper&amp;MidCU)'!AE21</f>
        <v>2456.1991898155343</v>
      </c>
      <c r="P14" s="362">
        <f>'A6a-Chin (Upper&amp;MidCU)'!AK21</f>
        <v>1444.0890961112618</v>
      </c>
      <c r="Q14" s="362">
        <f t="shared" si="1"/>
        <v>14162.619159038499</v>
      </c>
      <c r="R14" s="362"/>
      <c r="S14" s="362">
        <f>'A6a-Chin (Upper&amp;MidCU)'!AL21</f>
        <v>32247.619159038499</v>
      </c>
      <c r="T14" s="1045">
        <f t="shared" si="2"/>
        <v>0.43918340418222596</v>
      </c>
      <c r="U14" s="362">
        <f t="shared" si="10"/>
        <v>11680.147346257078</v>
      </c>
      <c r="V14" s="362">
        <f t="shared" si="11"/>
        <v>2482.4718127814235</v>
      </c>
      <c r="X14" s="291">
        <v>2000</v>
      </c>
      <c r="Y14" s="362">
        <f>'A6b-Chin (LN&amp;CoastalCU)'!P21</f>
        <v>2619.762142609175</v>
      </c>
      <c r="AA14" s="362">
        <f>'A6b-Chin (LN&amp;CoastalCU)'!AA21</f>
        <v>350.13642961127789</v>
      </c>
      <c r="AB14" s="362">
        <f>'A6b-Chin (LN&amp;CoastalCU)'!AE21</f>
        <v>355.80081018446577</v>
      </c>
      <c r="AC14" s="362">
        <f>'A6b-Chin (LN&amp;CoastalCU)'!AL21</f>
        <v>155.91090388873806</v>
      </c>
      <c r="AD14" s="362">
        <f t="shared" si="3"/>
        <v>861.84814368448167</v>
      </c>
      <c r="AF14" s="362">
        <f>'A6b-Chin (LN&amp;CoastalCU)'!AM21</f>
        <v>3481.7077306085871</v>
      </c>
      <c r="AH14" s="291">
        <v>2000</v>
      </c>
      <c r="AI14" s="362">
        <f t="shared" si="4"/>
        <v>20704.762142609175</v>
      </c>
      <c r="AK14" s="362">
        <f t="shared" si="5"/>
        <v>10612.46730272298</v>
      </c>
      <c r="AL14" s="362">
        <f t="shared" si="6"/>
        <v>2812</v>
      </c>
      <c r="AM14" s="362">
        <f t="shared" si="7"/>
        <v>1600</v>
      </c>
      <c r="AN14" s="362">
        <f t="shared" si="8"/>
        <v>15024.46730272298</v>
      </c>
      <c r="AP14" s="362">
        <f t="shared" si="9"/>
        <v>35729.326889647084</v>
      </c>
    </row>
    <row r="15" spans="1:42" x14ac:dyDescent="0.2">
      <c r="A15" s="362"/>
      <c r="B15" s="291">
        <v>2001</v>
      </c>
      <c r="C15" s="362">
        <f>'A6-Chin (NEW2)'!C22</f>
        <v>29341</v>
      </c>
      <c r="D15" s="362"/>
      <c r="E15" s="362">
        <f>'A6-Chin (NEW2)'!D22</f>
        <v>24024</v>
      </c>
      <c r="F15" s="362">
        <f>'Bayesian SD Ests (10Feb26rev)'!D17</f>
        <v>2995</v>
      </c>
      <c r="G15" s="362"/>
      <c r="H15" s="362">
        <f>'Bayesian SD Ests (10Feb26rev)'!F17</f>
        <v>5317</v>
      </c>
      <c r="I15" s="362">
        <f>'Bayesian SD Ests (10Feb26rev)'!G17</f>
        <v>2321</v>
      </c>
      <c r="J15" s="362"/>
      <c r="K15" s="362">
        <f>'A6-Chin (NEW2)'!L22</f>
        <v>35715</v>
      </c>
      <c r="L15" s="362">
        <f>'Bayesian SD Ests (10Feb26rev)'!V17</f>
        <v>3313</v>
      </c>
      <c r="M15" s="362"/>
      <c r="N15" s="362">
        <f>'A6a-Chin (Upper&amp;MidCU)'!AA22</f>
        <v>12467.784000068936</v>
      </c>
      <c r="O15" s="362">
        <f>'A6a-Chin (Upper&amp;MidCU)'!AE22</f>
        <v>2253.91585920343</v>
      </c>
      <c r="P15" s="362">
        <f>'A6a-Chin (Upper&amp;MidCU)'!AK22</f>
        <v>2030.2200077167886</v>
      </c>
      <c r="Q15" s="362">
        <f t="shared" si="1"/>
        <v>16751.919866989152</v>
      </c>
      <c r="R15" s="362"/>
      <c r="S15" s="362">
        <f>'A6a-Chin (Upper&amp;MidCU)'!AL22</f>
        <v>46092.919866989148</v>
      </c>
      <c r="T15" s="1045">
        <f t="shared" si="2"/>
        <v>0.36343802725733915</v>
      </c>
      <c r="U15" s="362">
        <f t="shared" si="10"/>
        <v>13716.237445368168</v>
      </c>
      <c r="V15" s="362">
        <f t="shared" si="11"/>
        <v>3035.6824216209857</v>
      </c>
      <c r="X15" s="291">
        <v>2001</v>
      </c>
      <c r="Y15" s="362">
        <f>'A6b-Chin (LN&amp;CoastalCU)'!P22</f>
        <v>4934.837176682855</v>
      </c>
      <c r="AA15" s="362">
        <f>'A6b-Chin (LN&amp;CoastalCU)'!AA22</f>
        <v>541.22481586032859</v>
      </c>
      <c r="AB15" s="362">
        <f>'A6b-Chin (LN&amp;CoastalCU)'!AE22</f>
        <v>379.08414079657018</v>
      </c>
      <c r="AC15" s="362">
        <f>'A6b-Chin (LN&amp;CoastalCU)'!AL22</f>
        <v>269.77999228321141</v>
      </c>
      <c r="AD15" s="362">
        <f t="shared" si="3"/>
        <v>1190.0889489401102</v>
      </c>
      <c r="AF15" s="362">
        <f>'A6b-Chin (LN&amp;CoastalCU)'!AM22</f>
        <v>6125.0434212717846</v>
      </c>
      <c r="AH15" s="291">
        <v>2001</v>
      </c>
      <c r="AI15" s="362">
        <f t="shared" si="4"/>
        <v>34275.837176682857</v>
      </c>
      <c r="AK15" s="362">
        <f t="shared" si="5"/>
        <v>13009.008815929265</v>
      </c>
      <c r="AL15" s="362">
        <f t="shared" si="6"/>
        <v>2633</v>
      </c>
      <c r="AM15" s="362">
        <f t="shared" si="7"/>
        <v>2300</v>
      </c>
      <c r="AN15" s="362">
        <f t="shared" si="8"/>
        <v>17942.008815929261</v>
      </c>
      <c r="AP15" s="362">
        <f t="shared" si="9"/>
        <v>52217.963288260929</v>
      </c>
    </row>
    <row r="16" spans="1:42" x14ac:dyDescent="0.2">
      <c r="A16" s="362"/>
      <c r="B16" s="291">
        <v>2002</v>
      </c>
      <c r="C16" s="362">
        <f>'A6-Chin (NEW2)'!C23</f>
        <v>14360</v>
      </c>
      <c r="D16" s="362"/>
      <c r="E16" s="362">
        <f>'A6-Chin (NEW2)'!D23</f>
        <v>11839</v>
      </c>
      <c r="F16" s="362">
        <f>'Bayesian SD Ests (10Feb26rev)'!D18</f>
        <v>2477</v>
      </c>
      <c r="G16" s="362"/>
      <c r="H16" s="362">
        <f>'Bayesian SD Ests (10Feb26rev)'!F18</f>
        <v>2521</v>
      </c>
      <c r="I16" s="362">
        <f>'Bayesian SD Ests (10Feb26rev)'!G18</f>
        <v>998</v>
      </c>
      <c r="J16" s="362"/>
      <c r="K16" s="362">
        <f>'A6-Chin (NEW2)'!L23</f>
        <v>17089</v>
      </c>
      <c r="L16" s="362">
        <f>'Bayesian SD Ests (10Feb26rev)'!V18</f>
        <v>2692</v>
      </c>
      <c r="M16" s="362"/>
      <c r="N16" s="362">
        <f>'A6a-Chin (Upper&amp;MidCU)'!AA23</f>
        <v>6179.597762741374</v>
      </c>
      <c r="O16" s="362">
        <f>'A6a-Chin (Upper&amp;MidCU)'!AE23</f>
        <v>6203.9629448746564</v>
      </c>
      <c r="P16" s="362">
        <f>'A6a-Chin (Upper&amp;MidCU)'!AK23</f>
        <v>1249.1861744692619</v>
      </c>
      <c r="Q16" s="362">
        <f t="shared" si="1"/>
        <v>13632.746882085292</v>
      </c>
      <c r="R16" s="362"/>
      <c r="S16" s="362">
        <f>'A6a-Chin (Upper&amp;MidCU)'!AL23</f>
        <v>27992.746882085292</v>
      </c>
      <c r="T16" s="1045">
        <f t="shared" si="2"/>
        <v>0.48700997224427206</v>
      </c>
      <c r="U16" s="362">
        <f t="shared" si="10"/>
        <v>11239.421332660706</v>
      </c>
      <c r="V16" s="362">
        <f t="shared" si="11"/>
        <v>2393.3255494245832</v>
      </c>
      <c r="X16" s="291">
        <v>2002</v>
      </c>
      <c r="Y16" s="362">
        <f>'A6b-Chin (LN&amp;CoastalCU)'!P23</f>
        <v>2064.7531626832979</v>
      </c>
      <c r="AA16" s="362">
        <f>'A6b-Chin (LN&amp;CoastalCU)'!AA23</f>
        <v>271.95084662294477</v>
      </c>
      <c r="AB16" s="362">
        <f>'A6b-Chin (LN&amp;CoastalCU)'!AE23</f>
        <v>892.0370551253435</v>
      </c>
      <c r="AC16" s="362">
        <f>'A6b-Chin (LN&amp;CoastalCU)'!AL23</f>
        <v>150.81382553073809</v>
      </c>
      <c r="AD16" s="362">
        <f t="shared" si="3"/>
        <v>1314.8017272790264</v>
      </c>
      <c r="AF16" s="362">
        <f>'A6b-Chin (LN&amp;CoastalCU)'!AM23</f>
        <v>3379.6626141234178</v>
      </c>
      <c r="AH16" s="291">
        <v>2002</v>
      </c>
      <c r="AI16" s="362">
        <f t="shared" si="4"/>
        <v>16424.753162683297</v>
      </c>
      <c r="AK16" s="362">
        <f t="shared" si="5"/>
        <v>6451.5486093643185</v>
      </c>
      <c r="AL16" s="362">
        <f t="shared" si="6"/>
        <v>7096</v>
      </c>
      <c r="AM16" s="362">
        <f t="shared" si="7"/>
        <v>1400</v>
      </c>
      <c r="AN16" s="362">
        <f t="shared" si="8"/>
        <v>14947.548609364318</v>
      </c>
      <c r="AP16" s="362">
        <f t="shared" si="9"/>
        <v>31372.409496208711</v>
      </c>
    </row>
    <row r="17" spans="1:42" x14ac:dyDescent="0.2">
      <c r="A17" s="362"/>
      <c r="B17" s="291">
        <v>2003</v>
      </c>
      <c r="C17" s="362">
        <f>'A6-Chin (NEW2)'!C24</f>
        <v>30740</v>
      </c>
      <c r="D17" s="362"/>
      <c r="E17" s="362">
        <f>'A6-Chin (NEW2)'!D24</f>
        <v>25724</v>
      </c>
      <c r="F17" s="362">
        <f>'Bayesian SD Ests (10Feb26rev)'!D19</f>
        <v>5259</v>
      </c>
      <c r="G17" s="362"/>
      <c r="H17" s="362">
        <f>'Bayesian SD Ests (10Feb26rev)'!F19</f>
        <v>5016</v>
      </c>
      <c r="I17" s="362">
        <f>'Bayesian SD Ests (10Feb26rev)'!G19</f>
        <v>1912</v>
      </c>
      <c r="J17" s="362"/>
      <c r="K17" s="362">
        <f>'A6-Chin (NEW2)'!L24</f>
        <v>34354</v>
      </c>
      <c r="L17" s="362">
        <f>'Bayesian SD Ests (10Feb26rev)'!V19</f>
        <v>5642</v>
      </c>
      <c r="M17" s="362"/>
      <c r="N17" s="362">
        <f>'A6a-Chin (Upper&amp;MidCU)'!AA24</f>
        <v>7824.9265767919096</v>
      </c>
      <c r="O17" s="362">
        <f>'A6a-Chin (Upper&amp;MidCU)'!AE24</f>
        <v>6605.0676461602334</v>
      </c>
      <c r="P17" s="362">
        <f>'A6a-Chin (Upper&amp;MidCU)'!AK24</f>
        <v>2118.8422519578617</v>
      </c>
      <c r="Q17" s="362">
        <f t="shared" si="1"/>
        <v>16548.836474910007</v>
      </c>
      <c r="R17" s="362"/>
      <c r="S17" s="362">
        <f>'A6a-Chin (Upper&amp;MidCU)'!AL24</f>
        <v>47288.836474910007</v>
      </c>
      <c r="T17" s="1045">
        <f t="shared" si="2"/>
        <v>0.34995228702000963</v>
      </c>
      <c r="U17" s="362">
        <f t="shared" si="10"/>
        <v>13848.479813942258</v>
      </c>
      <c r="V17" s="362">
        <f t="shared" si="11"/>
        <v>2700.3566609677487</v>
      </c>
      <c r="X17" s="291">
        <v>2003</v>
      </c>
      <c r="Y17" s="362">
        <f>'A6b-Chin (LN&amp;CoastalCU)'!P24</f>
        <v>2968.938640383868</v>
      </c>
      <c r="AA17" s="362">
        <f>'A6b-Chin (LN&amp;CoastalCU)'!AA24</f>
        <v>255.0939184286417</v>
      </c>
      <c r="AB17" s="362">
        <f>'A6b-Chin (LN&amp;CoastalCU)'!AE24</f>
        <v>637.93235383976707</v>
      </c>
      <c r="AC17" s="362">
        <f>'A6b-Chin (LN&amp;CoastalCU)'!AL24</f>
        <v>181.15774804213811</v>
      </c>
      <c r="AD17" s="362">
        <f t="shared" si="3"/>
        <v>1074.1840203105469</v>
      </c>
      <c r="AF17" s="362">
        <f>'A6b-Chin (LN&amp;CoastalCU)'!AM24</f>
        <v>4043.201424932694</v>
      </c>
      <c r="AH17" s="291">
        <v>2003</v>
      </c>
      <c r="AI17" s="362">
        <f t="shared" si="4"/>
        <v>33708.938640383865</v>
      </c>
      <c r="AK17" s="362">
        <f t="shared" si="5"/>
        <v>8080.0204952205513</v>
      </c>
      <c r="AL17" s="362">
        <f t="shared" si="6"/>
        <v>7243</v>
      </c>
      <c r="AM17" s="362">
        <f t="shared" si="7"/>
        <v>2300</v>
      </c>
      <c r="AN17" s="362">
        <f t="shared" si="8"/>
        <v>17623.020495220553</v>
      </c>
      <c r="AP17" s="362">
        <f t="shared" si="9"/>
        <v>51332.037899842704</v>
      </c>
    </row>
    <row r="18" spans="1:42" x14ac:dyDescent="0.2">
      <c r="A18" s="362"/>
      <c r="B18" s="291">
        <v>2004</v>
      </c>
      <c r="C18" s="362">
        <f>'A6-Chin (NEW2)'!C25</f>
        <v>13736.6</v>
      </c>
      <c r="D18" s="362"/>
      <c r="E18" s="362">
        <f>'A6-Chin (NEW2)'!D25</f>
        <v>11335.6</v>
      </c>
      <c r="F18" s="362">
        <f>'Bayesian SD Ests (10Feb26rev)'!D20</f>
        <v>2864</v>
      </c>
      <c r="G18" s="362"/>
      <c r="H18" s="362">
        <f>'Bayesian SD Ests (10Feb26rev)'!F20</f>
        <v>2401</v>
      </c>
      <c r="I18" s="362">
        <f>'Bayesian SD Ests (10Feb26rev)'!G20</f>
        <v>864</v>
      </c>
      <c r="J18" s="362"/>
      <c r="K18" s="362">
        <f>'A6-Chin (NEW2)'!L25</f>
        <v>16604</v>
      </c>
      <c r="L18" s="362">
        <f>'Bayesian SD Ests (10Feb26rev)'!V20</f>
        <v>3003</v>
      </c>
      <c r="M18" s="362"/>
      <c r="N18" s="362">
        <f>'A6a-Chin (Upper&amp;MidCU)'!AA25</f>
        <v>6678.7579860256183</v>
      </c>
      <c r="O18" s="362">
        <f>'A6a-Chin (Upper&amp;MidCU)'!AE25</f>
        <v>8033.3278104409237</v>
      </c>
      <c r="P18" s="362">
        <f>'A6a-Chin (Upper&amp;MidCU)'!AK25</f>
        <v>534.41127636259068</v>
      </c>
      <c r="Q18" s="362">
        <f t="shared" si="1"/>
        <v>15246.497072829132</v>
      </c>
      <c r="R18" s="362"/>
      <c r="S18" s="362">
        <f>'A6a-Chin (Upper&amp;MidCU)'!AL25</f>
        <v>28983.097072829129</v>
      </c>
      <c r="T18" s="1045">
        <f t="shared" si="2"/>
        <v>0.52604789041411004</v>
      </c>
      <c r="U18" s="362">
        <f t="shared" si="10"/>
        <v>12581.584396339846</v>
      </c>
      <c r="V18" s="362">
        <f t="shared" si="11"/>
        <v>2664.9126764892881</v>
      </c>
      <c r="X18" s="291">
        <v>2004</v>
      </c>
      <c r="Y18" s="362">
        <f>'A6b-Chin (LN&amp;CoastalCU)'!P25</f>
        <v>1841.9325947418361</v>
      </c>
      <c r="AA18" s="362">
        <f>'A6b-Chin (LN&amp;CoastalCU)'!AA25</f>
        <v>465.94580508129991</v>
      </c>
      <c r="AB18" s="362">
        <f>'A6b-Chin (LN&amp;CoastalCU)'!AE25</f>
        <v>1077.184189559076</v>
      </c>
      <c r="AC18" s="362">
        <f>'A6b-Chin (LN&amp;CoastalCU)'!AL25</f>
        <v>63.588723637409366</v>
      </c>
      <c r="AD18" s="362">
        <f t="shared" si="3"/>
        <v>1606.7187182777855</v>
      </c>
      <c r="AF18" s="362">
        <f>'A6b-Chin (LN&amp;CoastalCU)'!AM25</f>
        <v>3448.757648677878</v>
      </c>
      <c r="AH18" s="291">
        <v>2004</v>
      </c>
      <c r="AI18" s="362">
        <f t="shared" si="4"/>
        <v>15578.532594741837</v>
      </c>
      <c r="AK18" s="362">
        <f t="shared" si="5"/>
        <v>7144.7037911069183</v>
      </c>
      <c r="AL18" s="362">
        <f t="shared" si="6"/>
        <v>9110.5119999999988</v>
      </c>
      <c r="AM18" s="362">
        <f t="shared" si="7"/>
        <v>598</v>
      </c>
      <c r="AN18" s="362">
        <f t="shared" si="8"/>
        <v>16853.215791106919</v>
      </c>
      <c r="AP18" s="362">
        <f t="shared" si="9"/>
        <v>32431.854721507007</v>
      </c>
    </row>
    <row r="19" spans="1:42" x14ac:dyDescent="0.2">
      <c r="A19" s="362"/>
      <c r="B19" s="291">
        <v>2005</v>
      </c>
      <c r="C19" s="362">
        <f>'A6-Chin (NEW2)'!C26</f>
        <v>13109.8</v>
      </c>
      <c r="D19" s="362"/>
      <c r="E19" s="362">
        <f>'A6-Chin (NEW2)'!D26</f>
        <v>10776.8</v>
      </c>
      <c r="F19" s="362">
        <f>'Bayesian SD Ests (10Feb26rev)'!D21</f>
        <v>2392</v>
      </c>
      <c r="G19" s="362"/>
      <c r="H19" s="362">
        <f>'Bayesian SD Ests (10Feb26rev)'!F21</f>
        <v>2333</v>
      </c>
      <c r="I19" s="362">
        <f>'Bayesian SD Ests (10Feb26rev)'!G21</f>
        <v>804</v>
      </c>
      <c r="J19" s="362"/>
      <c r="K19" s="362">
        <f>'A6-Chin (NEW2)'!L26</f>
        <v>16178.999999999998</v>
      </c>
      <c r="L19" s="362">
        <f>'Bayesian SD Ests (10Feb26rev)'!V21</f>
        <v>2404</v>
      </c>
      <c r="M19" s="362"/>
      <c r="N19" s="362">
        <f>'A6a-Chin (Upper&amp;MidCU)'!AA26</f>
        <v>7276.1398124981761</v>
      </c>
      <c r="O19" s="362">
        <f>'A6a-Chin (Upper&amp;MidCU)'!AE26</f>
        <v>4178.8795043855116</v>
      </c>
      <c r="P19" s="362">
        <f>'A6a-Chin (Upper&amp;MidCU)'!AK26</f>
        <v>218.77131215675843</v>
      </c>
      <c r="Q19" s="362">
        <f t="shared" si="1"/>
        <v>11673.790629040446</v>
      </c>
      <c r="R19" s="362"/>
      <c r="S19" s="362">
        <f>'A6a-Chin (Upper&amp;MidCU)'!AL26</f>
        <v>24783.590629040445</v>
      </c>
      <c r="T19" s="1045">
        <f t="shared" si="2"/>
        <v>0.47102902899636961</v>
      </c>
      <c r="U19" s="362">
        <f t="shared" si="10"/>
        <v>9596.340665078269</v>
      </c>
      <c r="V19" s="362">
        <f t="shared" si="11"/>
        <v>2077.4499639621786</v>
      </c>
      <c r="X19" s="291">
        <v>2005</v>
      </c>
      <c r="Y19" s="362">
        <f>'A6b-Chin (LN&amp;CoastalCU)'!P26</f>
        <v>2546.645006786744</v>
      </c>
      <c r="AA19" s="362">
        <f>'A6b-Chin (LN&amp;CoastalCU)'!AA26</f>
        <v>260.39687033263004</v>
      </c>
      <c r="AB19" s="362">
        <f>'A6b-Chin (LN&amp;CoastalCU)'!AE26</f>
        <v>811.76849561448876</v>
      </c>
      <c r="AC19" s="362">
        <f>'A6b-Chin (LN&amp;CoastalCU)'!AL26</f>
        <v>32.228687843241573</v>
      </c>
      <c r="AD19" s="362">
        <f t="shared" si="3"/>
        <v>1104.3940537903604</v>
      </c>
      <c r="AF19" s="362">
        <f>'A6b-Chin (LN&amp;CoastalCU)'!AM26</f>
        <v>3651.1674617238905</v>
      </c>
      <c r="AH19" s="291">
        <v>2005</v>
      </c>
      <c r="AI19" s="362">
        <f t="shared" si="4"/>
        <v>15656.445006786744</v>
      </c>
      <c r="AK19" s="362">
        <f t="shared" si="5"/>
        <v>7536.5366828308061</v>
      </c>
      <c r="AL19" s="362">
        <f t="shared" si="6"/>
        <v>4990.6480000000001</v>
      </c>
      <c r="AM19" s="362">
        <f t="shared" si="7"/>
        <v>251</v>
      </c>
      <c r="AN19" s="362">
        <f t="shared" si="8"/>
        <v>12778.184682830806</v>
      </c>
      <c r="AP19" s="362">
        <f t="shared" si="9"/>
        <v>28434.758090764335</v>
      </c>
    </row>
    <row r="20" spans="1:42" x14ac:dyDescent="0.2">
      <c r="A20" s="362"/>
      <c r="B20" s="291">
        <v>2006</v>
      </c>
      <c r="C20" s="362">
        <f>'A6-Chin (NEW2)'!C27</f>
        <v>22580.6</v>
      </c>
      <c r="D20" s="362"/>
      <c r="E20" s="362">
        <f>'A6-Chin (NEW2)'!D27</f>
        <v>18518.599999999999</v>
      </c>
      <c r="F20" s="362">
        <f>'Bayesian SD Ests (10Feb26rev)'!D22</f>
        <v>3527</v>
      </c>
      <c r="G20" s="362"/>
      <c r="H20" s="362">
        <f>'Bayesian SD Ests (10Feb26rev)'!F22</f>
        <v>4062</v>
      </c>
      <c r="I20" s="362">
        <f>'Bayesian SD Ests (10Feb26rev)'!G22</f>
        <v>1480</v>
      </c>
      <c r="J20" s="362"/>
      <c r="K20" s="362">
        <f>'A6-Chin (NEW2)'!L27</f>
        <v>27633</v>
      </c>
      <c r="L20" s="362">
        <f>'Bayesian SD Ests (10Feb26rev)'!V22</f>
        <v>3483</v>
      </c>
      <c r="M20" s="362"/>
      <c r="N20" s="362">
        <f>'A6a-Chin (Upper&amp;MidCU)'!AA27</f>
        <v>9089.656730145256</v>
      </c>
      <c r="O20" s="362">
        <f>'A6a-Chin (Upper&amp;MidCU)'!AE27</f>
        <v>4749.5582518521824</v>
      </c>
      <c r="P20" s="362">
        <f>'A6a-Chin (Upper&amp;MidCU)'!AK27</f>
        <v>1461.0032911726178</v>
      </c>
      <c r="Q20" s="362">
        <f t="shared" si="1"/>
        <v>15300.218273170056</v>
      </c>
      <c r="R20" s="362"/>
      <c r="S20" s="362">
        <f>'A6a-Chin (Upper&amp;MidCU)'!AL27</f>
        <v>37880.818273170051</v>
      </c>
      <c r="T20" s="1045">
        <f t="shared" si="2"/>
        <v>0.40390411217718553</v>
      </c>
      <c r="U20" s="362">
        <f t="shared" si="10"/>
        <v>12547.878360784349</v>
      </c>
      <c r="V20" s="362">
        <f t="shared" si="11"/>
        <v>2752.3399123857112</v>
      </c>
      <c r="X20" s="291">
        <v>2006</v>
      </c>
      <c r="Y20" s="362">
        <f>'A6b-Chin (LN&amp;CoastalCU)'!P27</f>
        <v>5575.3394342094998</v>
      </c>
      <c r="AA20" s="362">
        <f>'A6b-Chin (LN&amp;CoastalCU)'!AA27</f>
        <v>456.04992782672565</v>
      </c>
      <c r="AB20" s="362">
        <f>'A6b-Chin (LN&amp;CoastalCU)'!AE27</f>
        <v>1172.7057481478178</v>
      </c>
      <c r="AC20" s="362">
        <f>'A6b-Chin (LN&amp;CoastalCU)'!AL27</f>
        <v>288.99670882738224</v>
      </c>
      <c r="AD20" s="362">
        <f t="shared" si="3"/>
        <v>1917.7523848019257</v>
      </c>
      <c r="AF20" s="362">
        <f>'A6b-Chin (LN&amp;CoastalCU)'!AM27</f>
        <v>7493.256959987898</v>
      </c>
      <c r="AH20" s="291">
        <v>2006</v>
      </c>
      <c r="AI20" s="362">
        <f t="shared" si="4"/>
        <v>28155.939434209497</v>
      </c>
      <c r="AK20" s="362">
        <f t="shared" si="5"/>
        <v>9545.7066579719813</v>
      </c>
      <c r="AL20" s="362">
        <f t="shared" si="6"/>
        <v>5922.2640000000001</v>
      </c>
      <c r="AM20" s="362">
        <f t="shared" si="7"/>
        <v>1750</v>
      </c>
      <c r="AN20" s="362">
        <f t="shared" si="8"/>
        <v>17217.970657971982</v>
      </c>
      <c r="AP20" s="362">
        <f t="shared" si="9"/>
        <v>45374.07523315795</v>
      </c>
    </row>
    <row r="21" spans="1:42" x14ac:dyDescent="0.2">
      <c r="A21" s="362"/>
      <c r="B21" s="291">
        <v>2007</v>
      </c>
      <c r="C21" s="362">
        <f>'A6-Chin (NEW2)'!C28</f>
        <v>20640.400000000001</v>
      </c>
      <c r="D21" s="362"/>
      <c r="E21" s="362">
        <f>'A6-Chin (NEW2)'!D28</f>
        <v>16385.400000000001</v>
      </c>
      <c r="F21" s="362">
        <f>'Bayesian SD Ests (10Feb26rev)'!D23</f>
        <v>3225</v>
      </c>
      <c r="G21" s="362"/>
      <c r="H21" s="362">
        <f>'Bayesian SD Ests (10Feb26rev)'!F23</f>
        <v>4255</v>
      </c>
      <c r="I21" s="362">
        <f>'Bayesian SD Ests (10Feb26rev)'!G23</f>
        <v>906</v>
      </c>
      <c r="J21" s="362"/>
      <c r="K21" s="362">
        <f>'A6-Chin (NEW2)'!L28</f>
        <v>25722</v>
      </c>
      <c r="L21" s="362">
        <f>'Bayesian SD Ests (10Feb26rev)'!V23</f>
        <v>3575</v>
      </c>
      <c r="M21" s="362"/>
      <c r="N21" s="362">
        <f>'A6a-Chin (Upper&amp;MidCU)'!AA28</f>
        <v>7907.0572015091902</v>
      </c>
      <c r="O21" s="362">
        <f>'A6a-Chin (Upper&amp;MidCU)'!AE28</f>
        <v>5316.0396690113039</v>
      </c>
      <c r="P21" s="362">
        <f>'A6a-Chin (Upper&amp;MidCU)'!AK28</f>
        <v>1147.4213759572112</v>
      </c>
      <c r="Q21" s="362">
        <f t="shared" si="1"/>
        <v>14370.518246477706</v>
      </c>
      <c r="R21" s="362"/>
      <c r="S21" s="362">
        <f>'A6a-Chin (Upper&amp;MidCU)'!AL28</f>
        <v>35010.918246477704</v>
      </c>
      <c r="T21" s="1045">
        <f t="shared" si="2"/>
        <v>0.41045819322158056</v>
      </c>
      <c r="U21" s="362">
        <f t="shared" si="10"/>
        <v>11408.04876241913</v>
      </c>
      <c r="V21" s="362">
        <f t="shared" si="11"/>
        <v>2962.4694840585762</v>
      </c>
      <c r="X21" s="291">
        <v>2007</v>
      </c>
      <c r="Y21" s="362">
        <f>'A6b-Chin (LN&amp;CoastalCU)'!P28</f>
        <v>3762.334519723192</v>
      </c>
      <c r="AA21" s="362">
        <f>'A6b-Chin (LN&amp;CoastalCU)'!AA28</f>
        <v>420.94279849080954</v>
      </c>
      <c r="AB21" s="362">
        <f>'A6b-Chin (LN&amp;CoastalCU)'!AE28</f>
        <v>969.00833098869612</v>
      </c>
      <c r="AC21" s="362">
        <f>'A6b-Chin (LN&amp;CoastalCU)'!AL28</f>
        <v>174.57862404278879</v>
      </c>
      <c r="AD21" s="362">
        <f t="shared" si="3"/>
        <v>1564.5297535222944</v>
      </c>
      <c r="AF21" s="362">
        <f>'A6b-Chin (LN&amp;CoastalCU)'!AM28</f>
        <v>5326.9963296933247</v>
      </c>
      <c r="AH21" s="291">
        <v>2007</v>
      </c>
      <c r="AI21" s="362">
        <f t="shared" si="4"/>
        <v>24402.734519723192</v>
      </c>
      <c r="AK21" s="362">
        <f t="shared" si="5"/>
        <v>8328</v>
      </c>
      <c r="AL21" s="362">
        <f t="shared" si="6"/>
        <v>6285.0479999999998</v>
      </c>
      <c r="AM21" s="362">
        <f t="shared" si="7"/>
        <v>1322</v>
      </c>
      <c r="AN21" s="362">
        <f t="shared" si="8"/>
        <v>15935.048000000001</v>
      </c>
      <c r="AP21" s="362">
        <f t="shared" si="9"/>
        <v>40337.914576171032</v>
      </c>
    </row>
    <row r="22" spans="1:42" x14ac:dyDescent="0.2">
      <c r="A22" s="362"/>
      <c r="B22" s="291">
        <v>2008</v>
      </c>
      <c r="C22" s="362">
        <f>'A6-Chin (NEW2)'!C29</f>
        <v>21046.799999999999</v>
      </c>
      <c r="D22" s="362"/>
      <c r="E22" s="362">
        <f>'A6-Chin (NEW2)'!D29</f>
        <v>17645.8</v>
      </c>
      <c r="F22" s="362">
        <f>'Bayesian SD Ests (10Feb26rev)'!D24</f>
        <v>4073.0000000000005</v>
      </c>
      <c r="G22" s="362"/>
      <c r="H22" s="362">
        <f>'Bayesian SD Ests (10Feb26rev)'!F24</f>
        <v>3401</v>
      </c>
      <c r="I22" s="362">
        <f>'Bayesian SD Ests (10Feb26rev)'!G24</f>
        <v>1408</v>
      </c>
      <c r="J22" s="362"/>
      <c r="K22" s="362">
        <f>'A6-Chin (NEW2)'!L29</f>
        <v>23088</v>
      </c>
      <c r="L22" s="362">
        <f>'Bayesian SD Ests (10Feb26rev)'!V24</f>
        <v>4523</v>
      </c>
      <c r="M22" s="362"/>
      <c r="N22" s="362">
        <f>'A6a-Chin (Upper&amp;MidCU)'!AA29</f>
        <v>5260.5555535868625</v>
      </c>
      <c r="O22" s="362">
        <f>'A6a-Chin (Upper&amp;MidCU)'!AE29</f>
        <v>1826.7229338104685</v>
      </c>
      <c r="P22" s="362">
        <f>'A6a-Chin (Upper&amp;MidCU)'!AK29</f>
        <v>321.07010235592168</v>
      </c>
      <c r="Q22" s="362">
        <f t="shared" si="1"/>
        <v>7408.3485897532519</v>
      </c>
      <c r="R22" s="362"/>
      <c r="S22" s="362">
        <f>'A6a-Chin (Upper&amp;MidCU)'!AL29</f>
        <v>28455.148589753255</v>
      </c>
      <c r="T22" s="1045">
        <f t="shared" si="2"/>
        <v>0.26035178014923493</v>
      </c>
      <c r="U22" s="362">
        <f t="shared" si="10"/>
        <v>6211.2167904416783</v>
      </c>
      <c r="V22" s="362">
        <f t="shared" si="11"/>
        <v>1197.1317993115726</v>
      </c>
      <c r="X22" s="291">
        <v>2008</v>
      </c>
      <c r="Y22" s="362">
        <f>'A6b-Chin (LN&amp;CoastalCU)'!P29</f>
        <v>2994.4802567663951</v>
      </c>
      <c r="AA22" s="362">
        <f>'A6b-Chin (LN&amp;CoastalCU)'!AA29</f>
        <v>682.64444641313764</v>
      </c>
      <c r="AB22" s="362">
        <f>'A6b-Chin (LN&amp;CoastalCU)'!AE29</f>
        <v>259.90106618953166</v>
      </c>
      <c r="AC22" s="362">
        <f>'A6b-Chin (LN&amp;CoastalCU)'!AL29</f>
        <v>44.929897644078295</v>
      </c>
      <c r="AD22" s="362">
        <f t="shared" si="3"/>
        <v>987.47541024674763</v>
      </c>
      <c r="AF22" s="362">
        <f>'A6b-Chin (LN&amp;CoastalCU)'!AM29</f>
        <v>3982.0784262963234</v>
      </c>
      <c r="AH22" s="291">
        <v>2008</v>
      </c>
      <c r="AI22" s="362">
        <f t="shared" si="4"/>
        <v>24041.280256766393</v>
      </c>
      <c r="AK22" s="362">
        <f t="shared" si="5"/>
        <v>5943.2</v>
      </c>
      <c r="AL22" s="362">
        <f t="shared" si="6"/>
        <v>2086.6240000000003</v>
      </c>
      <c r="AM22" s="362">
        <f t="shared" si="7"/>
        <v>366</v>
      </c>
      <c r="AN22" s="362">
        <f t="shared" si="8"/>
        <v>8395.8239999999987</v>
      </c>
      <c r="AP22" s="362">
        <f t="shared" si="9"/>
        <v>32437.227016049579</v>
      </c>
    </row>
    <row r="23" spans="1:42" x14ac:dyDescent="0.2">
      <c r="A23" s="362"/>
      <c r="B23" s="291">
        <v>2009</v>
      </c>
      <c r="C23" s="362">
        <f>'A6-Chin (NEW2)'!C30</f>
        <v>26500.400000000001</v>
      </c>
      <c r="D23" s="362"/>
      <c r="E23" s="362">
        <f>'A6-Chin (NEW2)'!D30</f>
        <v>22049.4</v>
      </c>
      <c r="F23" s="362">
        <f>'Bayesian SD Ests (10Feb26rev)'!D25</f>
        <v>3933</v>
      </c>
      <c r="G23" s="362"/>
      <c r="H23" s="362">
        <f>'Bayesian SD Ests (10Feb26rev)'!F25</f>
        <v>4451</v>
      </c>
      <c r="I23" s="362">
        <f>'Bayesian SD Ests (10Feb26rev)'!G25</f>
        <v>1618</v>
      </c>
      <c r="J23" s="362"/>
      <c r="K23" s="362">
        <f>'A6-Chin (NEW2)'!L30</f>
        <v>30523</v>
      </c>
      <c r="L23" s="362">
        <f>'Bayesian SD Ests (10Feb26rev)'!V25</f>
        <v>4049.0000000000005</v>
      </c>
      <c r="M23" s="362"/>
      <c r="N23" s="362">
        <f>'A6a-Chin (Upper&amp;MidCU)'!AA30</f>
        <v>6683.6655964873562</v>
      </c>
      <c r="O23" s="362">
        <f>'A6a-Chin (Upper&amp;MidCU)'!AE30</f>
        <v>2324.447527989832</v>
      </c>
      <c r="P23" s="362">
        <f>'A6a-Chin (Upper&amp;MidCU)'!AK30</f>
        <v>1017.8092544606259</v>
      </c>
      <c r="Q23" s="362">
        <f t="shared" si="1"/>
        <v>10025.922378937814</v>
      </c>
      <c r="R23" s="362"/>
      <c r="S23" s="362">
        <f>'A6a-Chin (Upper&amp;MidCU)'!AL30</f>
        <v>36526.322378937817</v>
      </c>
      <c r="T23" s="1045">
        <f t="shared" si="2"/>
        <v>0.27448485711003484</v>
      </c>
      <c r="U23" s="362">
        <f t="shared" si="10"/>
        <v>8341.9711741012015</v>
      </c>
      <c r="V23" s="362">
        <f t="shared" si="11"/>
        <v>1683.9512048366144</v>
      </c>
      <c r="X23" s="291">
        <v>2009</v>
      </c>
      <c r="Y23" s="362">
        <f>'A6b-Chin (LN&amp;CoastalCU)'!P30</f>
        <v>4077.180252055025</v>
      </c>
      <c r="AA23" s="362">
        <f>'A6b-Chin (LN&amp;CoastalCU)'!AA30</f>
        <v>246.73440351264338</v>
      </c>
      <c r="AB23" s="362">
        <f>'A6b-Chin (LN&amp;CoastalCU)'!AE30</f>
        <v>357.62447201016818</v>
      </c>
      <c r="AC23" s="362">
        <f>'A6b-Chin (LN&amp;CoastalCU)'!AL30</f>
        <v>134.19074553937415</v>
      </c>
      <c r="AD23" s="362">
        <f t="shared" si="3"/>
        <v>738.54962106218568</v>
      </c>
      <c r="AF23" s="362">
        <f>'A6b-Chin (LN&amp;CoastalCU)'!AM30</f>
        <v>4815.8463581393798</v>
      </c>
      <c r="AH23" s="291">
        <v>2009</v>
      </c>
      <c r="AI23" s="362">
        <f t="shared" si="4"/>
        <v>30577.580252055028</v>
      </c>
      <c r="AK23" s="362">
        <f t="shared" si="5"/>
        <v>6930.4</v>
      </c>
      <c r="AL23" s="362">
        <f t="shared" si="6"/>
        <v>2682.0720000000001</v>
      </c>
      <c r="AM23" s="362">
        <f t="shared" si="7"/>
        <v>1152</v>
      </c>
      <c r="AN23" s="362">
        <f t="shared" si="8"/>
        <v>10764.472</v>
      </c>
      <c r="AP23" s="362">
        <f t="shared" si="9"/>
        <v>41342.168737077198</v>
      </c>
    </row>
    <row r="24" spans="1:42" x14ac:dyDescent="0.2">
      <c r="A24" s="362"/>
      <c r="B24" s="291">
        <v>2010</v>
      </c>
      <c r="C24" s="362">
        <f>'A6-Chin (NEW2)'!C31</f>
        <v>17801.2</v>
      </c>
      <c r="D24" s="362"/>
      <c r="E24" s="362">
        <f>'A6-Chin (NEW2)'!D31</f>
        <v>15566.2</v>
      </c>
      <c r="F24" s="362">
        <f>'Bayesian SD Ests (10Feb26rev)'!D26</f>
        <v>6033</v>
      </c>
      <c r="G24" s="362"/>
      <c r="H24" s="362">
        <f>'Bayesian SD Ests (10Feb26rev)'!F26</f>
        <v>2235</v>
      </c>
      <c r="I24" s="362">
        <f>'Bayesian SD Ests (10Feb26rev)'!G26</f>
        <v>1005</v>
      </c>
      <c r="J24" s="362"/>
      <c r="K24" s="362">
        <f>'A6-Chin (NEW2)'!L31</f>
        <v>20143</v>
      </c>
      <c r="L24" s="362">
        <f>'Bayesian SD Ests (10Feb26rev)'!V26</f>
        <v>6708</v>
      </c>
      <c r="M24" s="362"/>
      <c r="N24" s="362">
        <f>'A6a-Chin (Upper&amp;MidCU)'!AA31</f>
        <v>5184.2850993538423</v>
      </c>
      <c r="O24" s="362">
        <f>'A6a-Chin (Upper&amp;MidCU)'!AE31</f>
        <v>1212.4024265587927</v>
      </c>
      <c r="P24" s="362">
        <f>'A6a-Chin (Upper&amp;MidCU)'!AK31</f>
        <v>726.85788944364913</v>
      </c>
      <c r="Q24" s="362">
        <f t="shared" si="1"/>
        <v>7123.5454153562841</v>
      </c>
      <c r="R24" s="362"/>
      <c r="S24" s="362">
        <f>'A6a-Chin (Upper&amp;MidCU)'!AL31</f>
        <v>24924.745415356287</v>
      </c>
      <c r="T24" s="1045">
        <f t="shared" si="2"/>
        <v>0.2858021334479679</v>
      </c>
      <c r="U24" s="362">
        <f t="shared" si="10"/>
        <v>6229.1605422397915</v>
      </c>
      <c r="V24" s="362">
        <f t="shared" si="11"/>
        <v>894.38487311649169</v>
      </c>
      <c r="X24" s="291">
        <v>2010</v>
      </c>
      <c r="Y24" s="362">
        <f>'A6b-Chin (LN&amp;CoastalCU)'!P31</f>
        <v>2348.0031431655766</v>
      </c>
      <c r="AA24" s="362">
        <f>'A6b-Chin (LN&amp;CoastalCU)'!AA31</f>
        <v>93.514900646158111</v>
      </c>
      <c r="AB24" s="362">
        <f>'A6b-Chin (LN&amp;CoastalCU)'!AE31</f>
        <v>159.9175734412072</v>
      </c>
      <c r="AC24" s="362">
        <f>'A6b-Chin (LN&amp;CoastalCU)'!AL31</f>
        <v>78.1421105563509</v>
      </c>
      <c r="AD24" s="362">
        <f t="shared" si="3"/>
        <v>331.57458464371621</v>
      </c>
      <c r="AF24" s="362">
        <f>'A6b-Chin (LN&amp;CoastalCU)'!AM31</f>
        <v>2679.674798754083</v>
      </c>
      <c r="AH24" s="291">
        <v>2010</v>
      </c>
      <c r="AI24" s="362">
        <f t="shared" si="4"/>
        <v>20149.203143165578</v>
      </c>
      <c r="AK24" s="362">
        <f t="shared" si="5"/>
        <v>5277.8</v>
      </c>
      <c r="AL24" s="362">
        <f t="shared" si="6"/>
        <v>1372.32</v>
      </c>
      <c r="AM24" s="362">
        <f t="shared" si="7"/>
        <v>805</v>
      </c>
      <c r="AN24" s="362">
        <f t="shared" si="8"/>
        <v>7455.1200000000008</v>
      </c>
      <c r="AP24" s="362">
        <f t="shared" si="9"/>
        <v>27604.420214110371</v>
      </c>
    </row>
    <row r="25" spans="1:42" x14ac:dyDescent="0.2">
      <c r="A25" s="362"/>
      <c r="B25" s="291">
        <v>2011</v>
      </c>
      <c r="C25" s="362">
        <f>'A6-Chin (NEW2)'!C32</f>
        <v>10555.2</v>
      </c>
      <c r="D25" s="362"/>
      <c r="E25" s="362">
        <f>'A6-Chin (NEW2)'!D32</f>
        <v>9282.2000000000007</v>
      </c>
      <c r="F25" s="362">
        <f>'Bayesian SD Ests (10Feb26rev)'!D27</f>
        <v>1085</v>
      </c>
      <c r="G25" s="362"/>
      <c r="H25" s="362">
        <f>'Bayesian SD Ests (10Feb26rev)'!F27</f>
        <v>1273</v>
      </c>
      <c r="I25" s="362">
        <f>'Bayesian SD Ests (10Feb26rev)'!G27</f>
        <v>524</v>
      </c>
      <c r="J25" s="362"/>
      <c r="K25" s="362">
        <f>'A6-Chin (NEW2)'!L32</f>
        <v>12437</v>
      </c>
      <c r="L25" s="362">
        <f>'Bayesian SD Ests (10Feb26rev)'!V27</f>
        <v>1234</v>
      </c>
      <c r="M25" s="362"/>
      <c r="N25" s="362">
        <f>'A6a-Chin (Upper&amp;MidCU)'!AA32</f>
        <v>5202.3998502857958</v>
      </c>
      <c r="O25" s="362">
        <f>'A6a-Chin (Upper&amp;MidCU)'!AE32</f>
        <v>1966.6551505087939</v>
      </c>
      <c r="P25" s="362">
        <f>'A6a-Chin (Upper&amp;MidCU)'!AK32</f>
        <v>1376.5792718511193</v>
      </c>
      <c r="Q25" s="362">
        <f t="shared" si="1"/>
        <v>8545.6342726457078</v>
      </c>
      <c r="R25" s="362"/>
      <c r="S25" s="362">
        <f>'A6a-Chin (Upper&amp;MidCU)'!AL32</f>
        <v>19100.834272645709</v>
      </c>
      <c r="T25" s="1045">
        <f t="shared" si="2"/>
        <v>0.44739586505307283</v>
      </c>
      <c r="U25" s="362">
        <f t="shared" si="10"/>
        <v>7514.9960631302092</v>
      </c>
      <c r="V25" s="362">
        <f t="shared" si="11"/>
        <v>1030.6382095154981</v>
      </c>
      <c r="X25" s="291">
        <v>2011</v>
      </c>
      <c r="Y25" s="362">
        <f>'A6b-Chin (LN&amp;CoastalCU)'!P32</f>
        <v>1623.9548458321838</v>
      </c>
      <c r="AA25" s="362">
        <f>'A6b-Chin (LN&amp;CoastalCU)'!AA32</f>
        <v>74.600149714203994</v>
      </c>
      <c r="AB25" s="362">
        <f>'A6b-Chin (LN&amp;CoastalCU)'!AE32</f>
        <v>302.57684949120608</v>
      </c>
      <c r="AC25" s="362">
        <f>'A6b-Chin (LN&amp;CoastalCU)'!AL32</f>
        <v>155.42072814888081</v>
      </c>
      <c r="AD25" s="362">
        <f t="shared" si="3"/>
        <v>532.5977273542909</v>
      </c>
      <c r="AF25" s="362">
        <f>'A6b-Chin (LN&amp;CoastalCU)'!AM32</f>
        <v>2156.6540227479295</v>
      </c>
      <c r="AH25" s="291">
        <v>2011</v>
      </c>
      <c r="AI25" s="362">
        <f t="shared" si="4"/>
        <v>12179.154845832185</v>
      </c>
      <c r="AK25" s="362">
        <f t="shared" si="5"/>
        <v>5277</v>
      </c>
      <c r="AL25" s="362">
        <f t="shared" si="6"/>
        <v>2269.232</v>
      </c>
      <c r="AM25" s="362">
        <f t="shared" si="7"/>
        <v>1532</v>
      </c>
      <c r="AN25" s="362">
        <f t="shared" si="8"/>
        <v>9078.2319999999982</v>
      </c>
      <c r="AP25" s="362">
        <f t="shared" si="9"/>
        <v>21257.488295393639</v>
      </c>
    </row>
    <row r="26" spans="1:42" x14ac:dyDescent="0.2">
      <c r="A26" s="362"/>
      <c r="B26" s="291">
        <v>2012</v>
      </c>
      <c r="C26" s="362">
        <f>'A6-Chin (NEW2)'!C33</f>
        <v>9380.7999999999993</v>
      </c>
      <c r="D26" s="362"/>
      <c r="E26" s="362">
        <f>'A6-Chin (NEW2)'!D33</f>
        <v>8178.7999999999993</v>
      </c>
      <c r="F26" s="362">
        <f>'Bayesian SD Ests (10Feb26rev)'!D28</f>
        <v>637</v>
      </c>
      <c r="G26" s="362"/>
      <c r="H26" s="362">
        <f>'Bayesian SD Ests (10Feb26rev)'!F28</f>
        <v>1202</v>
      </c>
      <c r="I26" s="362">
        <f>'Bayesian SD Ests (10Feb26rev)'!G28</f>
        <v>413</v>
      </c>
      <c r="J26" s="362"/>
      <c r="K26" s="362">
        <f>'A6-Chin (NEW2)'!L33</f>
        <v>11485</v>
      </c>
      <c r="L26" s="362">
        <f>'Bayesian SD Ests (10Feb26rev)'!V28</f>
        <v>740</v>
      </c>
      <c r="M26" s="362"/>
      <c r="N26" s="362">
        <f>'A6a-Chin (Upper&amp;MidCU)'!AA33</f>
        <v>4148.6411794141222</v>
      </c>
      <c r="O26" s="362">
        <f>'A6a-Chin (Upper&amp;MidCU)'!AE33</f>
        <v>1455.2976155182369</v>
      </c>
      <c r="P26" s="362">
        <f>'A6a-Chin (Upper&amp;MidCU)'!AK33</f>
        <v>1030.2035831825199</v>
      </c>
      <c r="Q26" s="362">
        <f t="shared" si="1"/>
        <v>6634.1423781148787</v>
      </c>
      <c r="R26" s="362"/>
      <c r="S26" s="362">
        <f>'A6a-Chin (Upper&amp;MidCU)'!AL33</f>
        <v>16014.942378114878</v>
      </c>
      <c r="T26" s="1045">
        <f t="shared" si="2"/>
        <v>0.41424703389384188</v>
      </c>
      <c r="U26" s="362">
        <f t="shared" si="10"/>
        <v>5784.0827735508665</v>
      </c>
      <c r="V26" s="362">
        <f t="shared" si="11"/>
        <v>850.05960456401215</v>
      </c>
      <c r="X26" s="291">
        <v>2012</v>
      </c>
      <c r="Y26" s="362">
        <f>'A6b-Chin (LN&amp;CoastalCU)'!P33</f>
        <v>1845.3409395508429</v>
      </c>
      <c r="AA26" s="362">
        <f>'A6b-Chin (LN&amp;CoastalCU)'!AA33</f>
        <v>119.95882058587839</v>
      </c>
      <c r="AB26" s="362">
        <f>'A6b-Chin (LN&amp;CoastalCU)'!AE33</f>
        <v>286.27838448176328</v>
      </c>
      <c r="AC26" s="362">
        <f>'A6b-Chin (LN&amp;CoastalCU)'!AL33</f>
        <v>154.79641681748006</v>
      </c>
      <c r="AD26" s="362">
        <f t="shared" si="3"/>
        <v>561.03362188512165</v>
      </c>
      <c r="AF26" s="362">
        <f>'A6b-Chin (LN&amp;CoastalCU)'!AM33</f>
        <v>2406.5051913235743</v>
      </c>
      <c r="AH26" s="291">
        <v>2012</v>
      </c>
      <c r="AI26" s="362">
        <f t="shared" si="4"/>
        <v>11226.140939550842</v>
      </c>
      <c r="AK26" s="362">
        <f t="shared" si="5"/>
        <v>4268.6000000000004</v>
      </c>
      <c r="AL26" s="362">
        <f t="shared" si="6"/>
        <v>1741.576</v>
      </c>
      <c r="AM26" s="362">
        <f t="shared" si="7"/>
        <v>1185</v>
      </c>
      <c r="AN26" s="362">
        <f t="shared" si="8"/>
        <v>7195.1760000000004</v>
      </c>
      <c r="AP26" s="362">
        <f t="shared" si="9"/>
        <v>18421.447569438453</v>
      </c>
    </row>
    <row r="27" spans="1:42" x14ac:dyDescent="0.2">
      <c r="A27" s="362"/>
      <c r="B27" s="291">
        <v>2013</v>
      </c>
      <c r="C27" s="362">
        <f>'A6-Chin (NEW2)'!C34</f>
        <v>9342.4</v>
      </c>
      <c r="D27" s="362"/>
      <c r="E27" s="362">
        <f>'A6-Chin (NEW2)'!D34</f>
        <v>7746.4</v>
      </c>
      <c r="F27" s="362">
        <f>'Bayesian SD Ests (10Feb26rev)'!D29</f>
        <v>844</v>
      </c>
      <c r="G27" s="362"/>
      <c r="H27" s="362">
        <f>'Bayesian SD Ests (10Feb26rev)'!F29</f>
        <v>1596</v>
      </c>
      <c r="I27" s="362">
        <f>'Bayesian SD Ests (10Feb26rev)'!G29</f>
        <v>349</v>
      </c>
      <c r="J27" s="362"/>
      <c r="K27" s="362">
        <f>'A6-Chin (NEW2)'!L34</f>
        <v>11596</v>
      </c>
      <c r="L27" s="362">
        <f>'Bayesian SD Ests (10Feb26rev)'!V29</f>
        <v>987</v>
      </c>
      <c r="M27" s="362"/>
      <c r="N27" s="362">
        <f>'A6a-Chin (Upper&amp;MidCU)'!AA34</f>
        <v>4917.7791631421524</v>
      </c>
      <c r="O27" s="362">
        <f>'A6a-Chin (Upper&amp;MidCU)'!AE34</f>
        <v>1986.7458436769289</v>
      </c>
      <c r="P27" s="362">
        <f>'A6a-Chin (Upper&amp;MidCU)'!AK34</f>
        <v>162.16699679781513</v>
      </c>
      <c r="Q27" s="362">
        <f t="shared" si="1"/>
        <v>7066.6920036168967</v>
      </c>
      <c r="R27" s="362"/>
      <c r="S27" s="362">
        <f>'A6a-Chin (Upper&amp;MidCU)'!AL34</f>
        <v>16409.092003616894</v>
      </c>
      <c r="T27" s="1045">
        <f t="shared" si="2"/>
        <v>0.43065710168845756</v>
      </c>
      <c r="U27" s="362">
        <f t="shared" si="10"/>
        <v>5859.4604102605254</v>
      </c>
      <c r="V27" s="362">
        <f t="shared" si="11"/>
        <v>1207.2315933563718</v>
      </c>
      <c r="X27" s="291">
        <v>2013</v>
      </c>
      <c r="Y27" s="362">
        <f>'A6b-Chin (LN&amp;CoastalCU)'!P34</f>
        <v>1915.3954165520681</v>
      </c>
      <c r="AA27" s="362">
        <f>'A6b-Chin (LN&amp;CoastalCU)'!AA34</f>
        <v>65.020836857846561</v>
      </c>
      <c r="AB27" s="362">
        <f>'A6b-Chin (LN&amp;CoastalCU)'!AE34</f>
        <v>407.3261563230713</v>
      </c>
      <c r="AC27" s="362">
        <f>'A6b-Chin (LN&amp;CoastalCU)'!AL34</f>
        <v>23.833003202184866</v>
      </c>
      <c r="AD27" s="362">
        <f t="shared" si="3"/>
        <v>496.17999638310272</v>
      </c>
      <c r="AF27" s="362">
        <f>'A6b-Chin (LN&amp;CoastalCU)'!AM34</f>
        <v>2411.703547360989</v>
      </c>
      <c r="AH27" s="291">
        <v>2013</v>
      </c>
      <c r="AI27" s="362">
        <f t="shared" si="4"/>
        <v>11257.795416552068</v>
      </c>
      <c r="AK27" s="362">
        <f t="shared" si="5"/>
        <v>4982.7999999999993</v>
      </c>
      <c r="AL27" s="362">
        <f t="shared" si="6"/>
        <v>2394.0720000000001</v>
      </c>
      <c r="AM27" s="362">
        <f t="shared" si="7"/>
        <v>186</v>
      </c>
      <c r="AN27" s="362">
        <f t="shared" si="8"/>
        <v>7562.8719999999994</v>
      </c>
      <c r="AP27" s="362">
        <f t="shared" si="9"/>
        <v>18820.795550977884</v>
      </c>
    </row>
    <row r="28" spans="1:42" x14ac:dyDescent="0.2">
      <c r="A28" s="362"/>
      <c r="B28" s="291">
        <v>2014</v>
      </c>
      <c r="C28" s="362">
        <f>'A6-Chin (NEW2)'!C35</f>
        <v>13909.2</v>
      </c>
      <c r="D28" s="362"/>
      <c r="E28" s="362">
        <f>'A6-Chin (NEW2)'!D35</f>
        <v>11354.2</v>
      </c>
      <c r="F28" s="362">
        <f>'Bayesian SD Ests (10Feb26rev)'!D30</f>
        <v>1993</v>
      </c>
      <c r="G28" s="362"/>
      <c r="H28" s="362">
        <f>'Bayesian SD Ests (10Feb26rev)'!F30</f>
        <v>2555</v>
      </c>
      <c r="I28" s="362">
        <f>'Bayesian SD Ests (10Feb26rev)'!G30</f>
        <v>661</v>
      </c>
      <c r="J28" s="362"/>
      <c r="K28" s="362">
        <f>'A6-Chin (NEW2)'!L35</f>
        <v>16790</v>
      </c>
      <c r="L28" s="362">
        <f>'Bayesian SD Ests (10Feb26rev)'!V30</f>
        <v>2370</v>
      </c>
      <c r="M28" s="362"/>
      <c r="N28" s="362">
        <f>'A6a-Chin (Upper&amp;MidCU)'!AA35</f>
        <v>6952.0624208316858</v>
      </c>
      <c r="O28" s="362">
        <f>'A6a-Chin (Upper&amp;MidCU)'!AE35</f>
        <v>2397.9162766159907</v>
      </c>
      <c r="P28" s="362">
        <f>'A6a-Chin (Upper&amp;MidCU)'!AK35</f>
        <v>1424.8346931071114</v>
      </c>
      <c r="Q28" s="362">
        <f t="shared" si="1"/>
        <v>10774.813390554789</v>
      </c>
      <c r="R28" s="362"/>
      <c r="S28" s="362">
        <f>'A6a-Chin (Upper&amp;MidCU)'!AL35</f>
        <v>24684.013390554785</v>
      </c>
      <c r="T28" s="1045">
        <f t="shared" si="2"/>
        <v>0.43650978550666797</v>
      </c>
      <c r="U28" s="362">
        <f t="shared" si="10"/>
        <v>8795.5731601412899</v>
      </c>
      <c r="V28" s="362">
        <f t="shared" si="11"/>
        <v>1979.240230413503</v>
      </c>
      <c r="X28" s="291">
        <v>2014</v>
      </c>
      <c r="Y28" s="362">
        <f>'A6b-Chin (LN&amp;CoastalCU)'!P35</f>
        <v>2218.8890824835671</v>
      </c>
      <c r="AA28" s="362">
        <f>'A6b-Chin (LN&amp;CoastalCU)'!AA35</f>
        <v>13.137579168315325</v>
      </c>
      <c r="AB28" s="362">
        <f>'A6b-Chin (LN&amp;CoastalCU)'!AE35</f>
        <v>382.53172338400964</v>
      </c>
      <c r="AC28" s="362">
        <f>'A6b-Chin (LN&amp;CoastalCU)'!AL35</f>
        <v>160.16530689288845</v>
      </c>
      <c r="AD28" s="362">
        <f t="shared" si="3"/>
        <v>555.83460944521335</v>
      </c>
      <c r="AF28" s="362">
        <f>'A6b-Chin (LN&amp;CoastalCU)'!AM35</f>
        <v>2774.8247425955901</v>
      </c>
      <c r="AH28" s="291">
        <v>2014</v>
      </c>
      <c r="AI28" s="362">
        <f t="shared" si="4"/>
        <v>16128.089082483568</v>
      </c>
      <c r="AK28" s="362">
        <f t="shared" si="5"/>
        <v>6965.2000000000007</v>
      </c>
      <c r="AL28" s="362">
        <f t="shared" si="6"/>
        <v>2780.4480000000003</v>
      </c>
      <c r="AM28" s="362">
        <f t="shared" si="7"/>
        <v>1585</v>
      </c>
      <c r="AN28" s="362">
        <f t="shared" si="8"/>
        <v>11330.648000000003</v>
      </c>
      <c r="AP28" s="362">
        <f t="shared" si="9"/>
        <v>27458.838133150373</v>
      </c>
    </row>
    <row r="29" spans="1:42" x14ac:dyDescent="0.2">
      <c r="A29" s="362"/>
      <c r="B29" s="291">
        <v>2015</v>
      </c>
      <c r="C29" s="362">
        <f>'A6-Chin (NEW2)'!C36</f>
        <v>19532.2</v>
      </c>
      <c r="D29" s="362"/>
      <c r="E29" s="362">
        <f>'A6-Chin (NEW2)'!D36</f>
        <v>16035.2</v>
      </c>
      <c r="F29" s="362">
        <f>'Bayesian SD Ests (10Feb26rev)'!D31</f>
        <v>2094</v>
      </c>
      <c r="G29" s="362"/>
      <c r="H29" s="362">
        <f>'Bayesian SD Ests (10Feb26rev)'!F31</f>
        <v>3497</v>
      </c>
      <c r="I29" s="362">
        <f>'Bayesian SD Ests (10Feb26rev)'!G31</f>
        <v>1581</v>
      </c>
      <c r="J29" s="362"/>
      <c r="K29" s="362">
        <f>'A6-Chin (NEW2)'!L36</f>
        <v>23555</v>
      </c>
      <c r="L29" s="362">
        <f>'Bayesian SD Ests (10Feb26rev)'!V31</f>
        <v>2481</v>
      </c>
      <c r="M29" s="362"/>
      <c r="N29" s="362">
        <f>'A6a-Chin (Upper&amp;MidCU)'!AA36</f>
        <v>9104.5271209688253</v>
      </c>
      <c r="O29" s="362">
        <f>'A6a-Chin (Upper&amp;MidCU)'!AE36</f>
        <v>2768.3904313216717</v>
      </c>
      <c r="P29" s="362">
        <f>'A6a-Chin (Upper&amp;MidCU)'!AK36</f>
        <v>1961.0585304986105</v>
      </c>
      <c r="Q29" s="362">
        <f t="shared" si="1"/>
        <v>13833.976082789108</v>
      </c>
      <c r="R29" s="362"/>
      <c r="S29" s="362">
        <f>'A6a-Chin (Upper&amp;MidCU)'!AL36</f>
        <v>33366.176082789105</v>
      </c>
      <c r="T29" s="1045">
        <f t="shared" si="2"/>
        <v>0.41461077375075445</v>
      </c>
      <c r="U29" s="362">
        <f t="shared" si="10"/>
        <v>11357.172939184524</v>
      </c>
      <c r="V29" s="362">
        <f t="shared" si="11"/>
        <v>2476.8031436045871</v>
      </c>
      <c r="X29" s="291">
        <v>2015</v>
      </c>
      <c r="Y29" s="362">
        <f>'A6b-Chin (LN&amp;CoastalCU)'!P36</f>
        <v>2952.569696549815</v>
      </c>
      <c r="AA29" s="362">
        <f>'A6b-Chin (LN&amp;CoastalCU)'!AA36</f>
        <v>71.101027307922394</v>
      </c>
      <c r="AB29" s="362">
        <f>'A6b-Chin (LN&amp;CoastalCU)'!AE36</f>
        <v>418.48156867832813</v>
      </c>
      <c r="AC29" s="362">
        <f>'A6b-Chin (LN&amp;CoastalCU)'!AL36</f>
        <v>214.94146950138946</v>
      </c>
      <c r="AD29" s="362">
        <f t="shared" si="3"/>
        <v>704.52406548763997</v>
      </c>
      <c r="AF29" s="362">
        <f>'A6b-Chin (LN&amp;CoastalCU)'!AM36</f>
        <v>3657.1925402863067</v>
      </c>
      <c r="AH29" s="291">
        <v>2015</v>
      </c>
      <c r="AI29" s="362">
        <f t="shared" si="4"/>
        <v>22484.769696549814</v>
      </c>
      <c r="AK29" s="362">
        <f t="shared" si="5"/>
        <v>9175.6281482767481</v>
      </c>
      <c r="AL29" s="362">
        <f t="shared" si="6"/>
        <v>3186.8719999999998</v>
      </c>
      <c r="AM29" s="362">
        <f t="shared" si="7"/>
        <v>2176</v>
      </c>
      <c r="AN29" s="362">
        <f t="shared" si="8"/>
        <v>14538.500148276747</v>
      </c>
      <c r="AP29" s="362">
        <f t="shared" si="9"/>
        <v>37023.36862307541</v>
      </c>
    </row>
    <row r="30" spans="1:42" x14ac:dyDescent="0.2">
      <c r="A30" s="362"/>
      <c r="B30" s="291">
        <v>2016</v>
      </c>
      <c r="C30" s="362">
        <f>'A6-Chin (NEW2)'!C37</f>
        <v>11020.6</v>
      </c>
      <c r="D30" s="362"/>
      <c r="E30" s="362">
        <f>'A6-Chin (NEW2)'!D37</f>
        <v>9067.6</v>
      </c>
      <c r="F30" s="362">
        <f>'Bayesian SD Ests (10Feb26rev)'!D32</f>
        <v>1227</v>
      </c>
      <c r="G30" s="362"/>
      <c r="H30" s="362">
        <f>'Bayesian SD Ests (10Feb26rev)'!F32</f>
        <v>1953</v>
      </c>
      <c r="I30" s="362">
        <f>'Bayesian SD Ests (10Feb26rev)'!G32</f>
        <v>999</v>
      </c>
      <c r="J30" s="362"/>
      <c r="K30" s="362">
        <f>'A6-Chin (NEW2)'!L37</f>
        <v>12998</v>
      </c>
      <c r="L30" s="362">
        <f>'Bayesian SD Ests (10Feb26rev)'!V32</f>
        <v>1622</v>
      </c>
      <c r="M30" s="362"/>
      <c r="N30" s="362">
        <f>'A6a-Chin (Upper&amp;MidCU)'!AA37</f>
        <v>5836.333322243393</v>
      </c>
      <c r="O30" s="362">
        <f>'A6a-Chin (Upper&amp;MidCU)'!AE37</f>
        <v>1404.3238150184914</v>
      </c>
      <c r="P30" s="362">
        <f>'A6a-Chin (Upper&amp;MidCU)'!AK37</f>
        <v>1521.6854129995977</v>
      </c>
      <c r="Q30" s="362">
        <f t="shared" si="1"/>
        <v>8762.3425502614828</v>
      </c>
      <c r="R30" s="362"/>
      <c r="S30" s="362">
        <f>'A6a-Chin (Upper&amp;MidCU)'!AL37</f>
        <v>19782.942550261483</v>
      </c>
      <c r="T30" s="1045">
        <f t="shared" si="2"/>
        <v>0.44292412658023239</v>
      </c>
      <c r="U30" s="362">
        <f t="shared" si="10"/>
        <v>7209.5364416412012</v>
      </c>
      <c r="V30" s="362">
        <f t="shared" si="11"/>
        <v>1552.8061086202815</v>
      </c>
      <c r="X30" s="291">
        <v>2016</v>
      </c>
      <c r="Y30" s="362">
        <f>'A6b-Chin (LN&amp;CoastalCU)'!P37</f>
        <v>1695.5582816032083</v>
      </c>
      <c r="AA30" s="362">
        <f>'A6b-Chin (LN&amp;CoastalCU)'!AA37</f>
        <v>36.266677756607706</v>
      </c>
      <c r="AB30" s="362">
        <f>'A6b-Chin (LN&amp;CoastalCU)'!AE37</f>
        <v>216.06018498150868</v>
      </c>
      <c r="AC30" s="362">
        <f>'A6b-Chin (LN&amp;CoastalCU)'!AL37</f>
        <v>162.31458700040224</v>
      </c>
      <c r="AD30" s="362">
        <f t="shared" si="3"/>
        <v>414.64144973851865</v>
      </c>
      <c r="AF30" s="362">
        <f>'A6b-Chin (LN&amp;CoastalCU)'!AM37</f>
        <v>2110.2961176760505</v>
      </c>
      <c r="AH30" s="291">
        <v>2016</v>
      </c>
      <c r="AI30" s="362">
        <f t="shared" si="4"/>
        <v>12716.15828160321</v>
      </c>
      <c r="AK30" s="362">
        <f t="shared" si="5"/>
        <v>5872.6</v>
      </c>
      <c r="AL30" s="362">
        <f t="shared" si="6"/>
        <v>1620.384</v>
      </c>
      <c r="AM30" s="362">
        <f t="shared" si="7"/>
        <v>1684</v>
      </c>
      <c r="AN30" s="362">
        <f t="shared" si="8"/>
        <v>9176.9840000000022</v>
      </c>
      <c r="AP30" s="362">
        <f t="shared" si="9"/>
        <v>21893.238667937534</v>
      </c>
    </row>
    <row r="31" spans="1:42" x14ac:dyDescent="0.2">
      <c r="A31" s="362"/>
      <c r="B31" s="291">
        <v>2017</v>
      </c>
      <c r="C31" s="362">
        <f>'A6-Chin (NEW2)'!C38</f>
        <v>5793.8</v>
      </c>
      <c r="D31" s="362"/>
      <c r="E31" s="362">
        <f>'A6-Chin (NEW2)'!D38</f>
        <v>4591.8</v>
      </c>
      <c r="F31" s="362">
        <f>'Bayesian SD Ests (10Feb26rev)'!D33</f>
        <v>1240</v>
      </c>
      <c r="G31" s="362"/>
      <c r="H31" s="362">
        <f>'Bayesian SD Ests (10Feb26rev)'!F33</f>
        <v>1202</v>
      </c>
      <c r="I31" s="362">
        <f>'Bayesian SD Ests (10Feb26rev)'!G33</f>
        <v>449</v>
      </c>
      <c r="J31" s="362"/>
      <c r="K31" s="362">
        <f>'A6-Chin (NEW2)'!L38</f>
        <v>7070</v>
      </c>
      <c r="L31" s="362">
        <f>'Bayesian SD Ests (10Feb26rev)'!V33</f>
        <v>1514</v>
      </c>
      <c r="M31" s="362"/>
      <c r="N31" s="362">
        <f>'A6a-Chin (Upper&amp;MidCU)'!AA38</f>
        <v>3941.9330394498957</v>
      </c>
      <c r="O31" s="362">
        <f>'A6a-Chin (Upper&amp;MidCU)'!AE38</f>
        <v>1846.9935161139631</v>
      </c>
      <c r="P31" s="362">
        <f>'A6a-Chin (Upper&amp;MidCU)'!AK38</f>
        <v>618.13906183390327</v>
      </c>
      <c r="Q31" s="362">
        <f t="shared" si="1"/>
        <v>6407.0656173977623</v>
      </c>
      <c r="R31" s="362"/>
      <c r="S31" s="362">
        <f>'A6a-Chin (Upper&amp;MidCU)'!AL38</f>
        <v>12200.865617397763</v>
      </c>
      <c r="T31" s="1045">
        <f t="shared" si="2"/>
        <v>0.52513205360295412</v>
      </c>
      <c r="U31" s="362">
        <f t="shared" si="10"/>
        <v>5077.8356004637781</v>
      </c>
      <c r="V31" s="362">
        <f t="shared" si="11"/>
        <v>1329.2300169339828</v>
      </c>
      <c r="X31" s="291">
        <v>2017</v>
      </c>
      <c r="Y31" s="362">
        <f>'A6b-Chin (LN&amp;CoastalCU)'!P38</f>
        <v>891.39661832864556</v>
      </c>
      <c r="AA31" s="362">
        <f>'A6b-Chin (LN&amp;CoastalCU)'!AA38</f>
        <v>21.066960550104152</v>
      </c>
      <c r="AB31" s="362">
        <f>'A6b-Chin (LN&amp;CoastalCU)'!AE38</f>
        <v>284.16648388603704</v>
      </c>
      <c r="AC31" s="362">
        <f>'A6b-Chin (LN&amp;CoastalCU)'!AL38</f>
        <v>63.860938166096723</v>
      </c>
      <c r="AD31" s="362">
        <f t="shared" si="3"/>
        <v>369.09438260223794</v>
      </c>
      <c r="AF31" s="362">
        <f>'A6b-Chin (LN&amp;CoastalCU)'!AM38</f>
        <v>1260.5846386701301</v>
      </c>
      <c r="AH31" s="291">
        <v>2017</v>
      </c>
      <c r="AI31" s="362">
        <f t="shared" si="4"/>
        <v>6685.1966183286459</v>
      </c>
      <c r="AK31" s="362">
        <f t="shared" si="5"/>
        <v>3963</v>
      </c>
      <c r="AL31" s="362">
        <f t="shared" si="6"/>
        <v>2131.1600000000003</v>
      </c>
      <c r="AM31" s="362">
        <f t="shared" si="7"/>
        <v>682</v>
      </c>
      <c r="AN31" s="362">
        <f t="shared" si="8"/>
        <v>6776.16</v>
      </c>
      <c r="AP31" s="362">
        <f t="shared" si="9"/>
        <v>13461.450256067894</v>
      </c>
    </row>
    <row r="32" spans="1:42" x14ac:dyDescent="0.2">
      <c r="A32" s="362"/>
      <c r="B32" s="291">
        <v>2018</v>
      </c>
      <c r="C32" s="362">
        <f>'A6-Chin (NEW2)'!C39</f>
        <v>17886.500664740754</v>
      </c>
      <c r="D32" s="362"/>
      <c r="E32" s="362">
        <f>'A6-Chin (NEW2)'!D39</f>
        <v>14639.500664740754</v>
      </c>
      <c r="F32" s="362">
        <f>'Bayesian SD Ests (10Feb26rev)'!D34</f>
        <v>3468</v>
      </c>
      <c r="G32" s="362"/>
      <c r="H32" s="362">
        <f>'Bayesian SD Ests (10Feb26rev)'!F34</f>
        <v>3247</v>
      </c>
      <c r="I32" s="362">
        <f>'Bayesian SD Ests (10Feb26rev)'!G34</f>
        <v>1027</v>
      </c>
      <c r="J32" s="362"/>
      <c r="K32" s="362">
        <f>'A6-Chin (NEW2)'!L39</f>
        <v>20083</v>
      </c>
      <c r="L32" s="362">
        <f>'Bayesian SD Ests (10Feb26rev)'!V34</f>
        <v>4154</v>
      </c>
      <c r="M32" s="362"/>
      <c r="N32" s="362">
        <f>'A6a-Chin (Upper&amp;MidCU)'!AA39</f>
        <v>5856.4999126865177</v>
      </c>
      <c r="O32" s="362">
        <f>'A6a-Chin (Upper&amp;MidCU)'!AE39</f>
        <v>511.88472491861307</v>
      </c>
      <c r="P32" s="362">
        <f>'A6a-Chin (Upper&amp;MidCU)'!AK39</f>
        <v>1134.3028363194046</v>
      </c>
      <c r="Q32" s="362">
        <f t="shared" si="1"/>
        <v>7502.687473924535</v>
      </c>
      <c r="R32" s="362"/>
      <c r="S32" s="362">
        <f>'A6a-Chin (Upper&amp;MidCU)'!AL39</f>
        <v>25389.188138665293</v>
      </c>
      <c r="T32" s="1045">
        <f t="shared" si="2"/>
        <v>0.29550718333126469</v>
      </c>
      <c r="U32" s="362">
        <f t="shared" si="10"/>
        <v>6140.6979666166189</v>
      </c>
      <c r="V32" s="362">
        <f t="shared" si="11"/>
        <v>1361.9895073079153</v>
      </c>
      <c r="X32" s="291">
        <v>2018</v>
      </c>
      <c r="Y32" s="362">
        <f>'A6b-Chin (LN&amp;CoastalCU)'!P39</f>
        <v>2751.9013784188164</v>
      </c>
      <c r="AA32" s="362">
        <f>'A6b-Chin (LN&amp;CoastalCU)'!AA39</f>
        <v>50.204326154028429</v>
      </c>
      <c r="AB32" s="362">
        <f>'A6b-Chin (LN&amp;CoastalCU)'!AE39</f>
        <v>78.755275081386912</v>
      </c>
      <c r="AC32" s="362">
        <f>'A6b-Chin (LN&amp;CoastalCU)'!AL39</f>
        <v>134.72621039142336</v>
      </c>
      <c r="AD32" s="362">
        <f t="shared" si="3"/>
        <v>263.6858116268387</v>
      </c>
      <c r="AF32" s="362">
        <f>'A6b-Chin (LN&amp;CoastalCU)'!AM39</f>
        <v>3015.693354842072</v>
      </c>
      <c r="AH32" s="291">
        <v>2018</v>
      </c>
      <c r="AI32" s="362">
        <f t="shared" si="4"/>
        <v>20638.402043159571</v>
      </c>
      <c r="AK32" s="362">
        <f t="shared" si="5"/>
        <v>5906.7042388405462</v>
      </c>
      <c r="AL32" s="362">
        <f t="shared" si="6"/>
        <v>590.64</v>
      </c>
      <c r="AM32" s="362">
        <f t="shared" si="7"/>
        <v>1269.029046710828</v>
      </c>
      <c r="AN32" s="362">
        <f t="shared" si="8"/>
        <v>7766.3732855513736</v>
      </c>
      <c r="AP32" s="362">
        <f t="shared" si="9"/>
        <v>28404.881493507364</v>
      </c>
    </row>
    <row r="33" spans="1:42" x14ac:dyDescent="0.2">
      <c r="A33" s="362"/>
      <c r="B33" s="291">
        <v>2019</v>
      </c>
      <c r="C33" s="362">
        <f>'A6-Chin (NEW2)'!C40</f>
        <v>11713.507023075654</v>
      </c>
      <c r="D33" s="362"/>
      <c r="E33" s="362">
        <f>'A6-Chin (NEW2)'!D40</f>
        <v>9264.5070230756537</v>
      </c>
      <c r="F33" s="362">
        <f>'Bayesian SD Ests (10Feb26rev)'!D35</f>
        <v>1209</v>
      </c>
      <c r="G33" s="362"/>
      <c r="H33" s="362">
        <f>'Bayesian SD Ests (10Feb26rev)'!F35</f>
        <v>2449</v>
      </c>
      <c r="I33" s="362">
        <f>'Bayesian SD Ests (10Feb26rev)'!G35</f>
        <v>582</v>
      </c>
      <c r="J33" s="362"/>
      <c r="K33" s="362">
        <f>'A6-Chin (NEW2)'!L40</f>
        <v>14318</v>
      </c>
      <c r="L33" s="362">
        <f>'Bayesian SD Ests (10Feb26rev)'!V35</f>
        <v>1471</v>
      </c>
      <c r="M33" s="362"/>
      <c r="N33" s="362">
        <f>'A6a-Chin (Upper&amp;MidCU)'!AA40</f>
        <v>6994.0234883870653</v>
      </c>
      <c r="O33" s="362">
        <f>'A6a-Chin (Upper&amp;MidCU)'!AE40</f>
        <v>997.65517797165649</v>
      </c>
      <c r="P33" s="362">
        <f>'A6a-Chin (Upper&amp;MidCU)'!AK40</f>
        <v>921.53179613527732</v>
      </c>
      <c r="Q33" s="362">
        <f t="shared" si="1"/>
        <v>8913.2104624939984</v>
      </c>
      <c r="R33" s="362"/>
      <c r="S33" s="362">
        <f>'A6a-Chin (Upper&amp;MidCU)'!AL40</f>
        <v>20626.717485569654</v>
      </c>
      <c r="T33" s="1045">
        <f t="shared" si="2"/>
        <v>0.43211967530605078</v>
      </c>
      <c r="U33" s="362">
        <f t="shared" si="10"/>
        <v>7049.682111877426</v>
      </c>
      <c r="V33" s="362">
        <f t="shared" si="11"/>
        <v>1863.5283506165715</v>
      </c>
      <c r="X33" s="291">
        <v>2019</v>
      </c>
      <c r="Y33" s="362">
        <f>'A6b-Chin (LN&amp;CoastalCU)'!P40</f>
        <v>2890.8409816425637</v>
      </c>
      <c r="AA33" s="362">
        <f>'A6b-Chin (LN&amp;CoastalCU)'!AA40</f>
        <v>77.416205113171117</v>
      </c>
      <c r="AB33" s="362">
        <f>'A6b-Chin (LN&amp;CoastalCU)'!AE40</f>
        <v>246.21682202834353</v>
      </c>
      <c r="AC33" s="362">
        <f>'A6b-Chin (LN&amp;CoastalCU)'!AL40</f>
        <v>150.32794177287383</v>
      </c>
      <c r="AD33" s="362">
        <f t="shared" si="3"/>
        <v>473.96096891438845</v>
      </c>
      <c r="AF33" s="362">
        <f>'A6b-Chin (LN&amp;CoastalCU)'!AM40</f>
        <v>3364.9422001963931</v>
      </c>
      <c r="AH33" s="291">
        <v>2019</v>
      </c>
      <c r="AI33" s="362">
        <f t="shared" si="4"/>
        <v>14604.348004718217</v>
      </c>
      <c r="AK33" s="362">
        <f t="shared" si="5"/>
        <v>7071.439693500236</v>
      </c>
      <c r="AL33" s="362">
        <f t="shared" si="6"/>
        <v>1243.8720000000001</v>
      </c>
      <c r="AM33" s="362">
        <f t="shared" si="7"/>
        <v>1071.8597379081511</v>
      </c>
      <c r="AN33" s="362">
        <f t="shared" si="8"/>
        <v>9387.1714314083874</v>
      </c>
      <c r="AP33" s="362">
        <f t="shared" si="9"/>
        <v>23991.659685766048</v>
      </c>
    </row>
    <row r="34" spans="1:42" x14ac:dyDescent="0.2">
      <c r="A34" s="362"/>
      <c r="B34" s="291">
        <v>2020</v>
      </c>
      <c r="C34" s="362">
        <f>'A6-Chin (NEW2)'!C41</f>
        <v>12828.597538855378</v>
      </c>
      <c r="D34" s="362"/>
      <c r="E34" s="362">
        <f>'A6-Chin (NEW2)'!D41</f>
        <v>10238.597538855378</v>
      </c>
      <c r="F34" s="362">
        <f>'Bayesian SD Ests (10Feb26rev)'!D36</f>
        <v>1086</v>
      </c>
      <c r="G34" s="362"/>
      <c r="H34" s="362">
        <f>'Bayesian SD Ests (10Feb26rev)'!F36</f>
        <v>2590</v>
      </c>
      <c r="I34" s="362">
        <f>'Bayesian SD Ests (10Feb26rev)'!G36</f>
        <v>669</v>
      </c>
      <c r="J34" s="362"/>
      <c r="K34" s="362">
        <f>'A6-Chin (NEW2)'!L41</f>
        <v>15309</v>
      </c>
      <c r="L34" s="362">
        <f>'Bayesian SD Ests (10Feb26rev)'!V36</f>
        <v>1406</v>
      </c>
      <c r="M34" s="362"/>
      <c r="N34" s="362">
        <f>'A6a-Chin (Upper&amp;MidCU)'!AA41</f>
        <v>6032.0094783109134</v>
      </c>
      <c r="O34" s="362">
        <f>'A6a-Chin (Upper&amp;MidCU)'!AE41</f>
        <v>405.84007006787238</v>
      </c>
      <c r="P34" s="362">
        <f>'A6a-Chin (Upper&amp;MidCU)'!AK41</f>
        <v>901.01376710009765</v>
      </c>
      <c r="Q34" s="362">
        <f t="shared" si="1"/>
        <v>7338.8633154788831</v>
      </c>
      <c r="R34" s="362"/>
      <c r="S34" s="362">
        <f>'A6a-Chin (Upper&amp;MidCU)'!AL41</f>
        <v>20167.460854334262</v>
      </c>
      <c r="T34" s="1045">
        <f t="shared" si="2"/>
        <v>0.36389624695374884</v>
      </c>
      <c r="U34" s="362">
        <f t="shared" si="10"/>
        <v>5857.2004969580157</v>
      </c>
      <c r="V34" s="362">
        <f t="shared" si="11"/>
        <v>1481.662818520866</v>
      </c>
      <c r="X34" s="291">
        <v>2020</v>
      </c>
      <c r="Y34" s="362">
        <f>'A6b-Chin (LN&amp;CoastalCU)'!P41</f>
        <v>1973.7250964884604</v>
      </c>
      <c r="AA34" s="362">
        <f>'A6b-Chin (LN&amp;CoastalCU)'!AA41</f>
        <v>61.770443268359074</v>
      </c>
      <c r="AB34" s="362">
        <f>'A6b-Chin (LN&amp;CoastalCU)'!AE41</f>
        <v>62.43992993212764</v>
      </c>
      <c r="AC34" s="362">
        <f>'A6b-Chin (LN&amp;CoastalCU)'!AL41</f>
        <v>98.111952459041191</v>
      </c>
      <c r="AD34" s="362">
        <f t="shared" si="3"/>
        <v>222.32232565952791</v>
      </c>
      <c r="AF34" s="362">
        <f>'A6b-Chin (LN&amp;CoastalCU)'!AM41</f>
        <v>2196.1456199528675</v>
      </c>
      <c r="AH34" s="291">
        <v>2020</v>
      </c>
      <c r="AI34" s="362">
        <f t="shared" si="4"/>
        <v>14802.322635343839</v>
      </c>
      <c r="AK34" s="362">
        <f t="shared" si="5"/>
        <v>6093.7799215792729</v>
      </c>
      <c r="AL34" s="362">
        <f t="shared" si="6"/>
        <v>468.28000000000003</v>
      </c>
      <c r="AM34" s="362">
        <f t="shared" si="7"/>
        <v>999.12571955913882</v>
      </c>
      <c r="AN34" s="362">
        <f t="shared" si="8"/>
        <v>7561.1856411384106</v>
      </c>
      <c r="AP34" s="362">
        <f t="shared" si="9"/>
        <v>22363.606474287131</v>
      </c>
    </row>
    <row r="35" spans="1:42" x14ac:dyDescent="0.2">
      <c r="A35" s="362"/>
      <c r="B35" s="291">
        <v>2021</v>
      </c>
      <c r="C35" s="362">
        <f>'A6-Chin (NEW2)'!C42</f>
        <v>11766.207465205587</v>
      </c>
      <c r="D35" s="362"/>
      <c r="E35" s="362">
        <f>'A6-Chin (NEW2)'!D42</f>
        <v>10134.207465205587</v>
      </c>
      <c r="F35" s="362">
        <f>'Bayesian SD Ests (10Feb26rev)'!D37</f>
        <v>904</v>
      </c>
      <c r="G35" s="362"/>
      <c r="H35" s="362">
        <f>'Bayesian SD Ests (10Feb26rev)'!F37</f>
        <v>1632</v>
      </c>
      <c r="I35" s="362">
        <f>'Bayesian SD Ests (10Feb26rev)'!G37</f>
        <v>495</v>
      </c>
      <c r="J35" s="362"/>
      <c r="K35" s="362">
        <f>'A6-Chin (NEW2)'!L42</f>
        <v>13380</v>
      </c>
      <c r="L35" s="362">
        <f>'Bayesian SD Ests (10Feb26rev)'!V37</f>
        <v>1101</v>
      </c>
      <c r="M35" s="362"/>
      <c r="N35" s="362">
        <f>'A6a-Chin (Upper&amp;MidCU)'!AA42</f>
        <v>6055.8748083576147</v>
      </c>
      <c r="O35" s="362">
        <f>'A6a-Chin (Upper&amp;MidCU)'!AE42</f>
        <v>355.68013682077316</v>
      </c>
      <c r="P35" s="362">
        <f>'A6a-Chin (Upper&amp;MidCU)'!AK42</f>
        <v>850.10039021065211</v>
      </c>
      <c r="Q35" s="362">
        <f t="shared" si="1"/>
        <v>7261.6553353890404</v>
      </c>
      <c r="R35" s="362"/>
      <c r="S35" s="362">
        <f>'A6a-Chin (Upper&amp;MidCU)'!AL42</f>
        <v>19027.86280059463</v>
      </c>
      <c r="T35" s="1045">
        <f t="shared" si="2"/>
        <v>0.38163273571439194</v>
      </c>
      <c r="U35" s="362">
        <f t="shared" si="10"/>
        <v>6254.4470618310434</v>
      </c>
      <c r="V35" s="362">
        <f t="shared" si="11"/>
        <v>1007.2082735579949</v>
      </c>
      <c r="X35" s="291">
        <v>2021</v>
      </c>
      <c r="Y35" s="362">
        <f>'A6b-Chin (LN&amp;CoastalCU)'!P42</f>
        <v>1487.8405688427433</v>
      </c>
      <c r="AA35" s="362">
        <f>'A6b-Chin (LN&amp;CoastalCU)'!AA42</f>
        <v>92.514119634184411</v>
      </c>
      <c r="AB35" s="362">
        <f>'A6b-Chin (LN&amp;CoastalCU)'!AE42</f>
        <v>44.975863179226842</v>
      </c>
      <c r="AC35" s="362">
        <f>'A6b-Chin (LN&amp;CoastalCU)'!AL42</f>
        <v>76.010132875039901</v>
      </c>
      <c r="AD35" s="362">
        <f t="shared" si="3"/>
        <v>213.50011568845116</v>
      </c>
      <c r="AF35" s="362">
        <f>'A6b-Chin (LN&amp;CoastalCU)'!AM42</f>
        <v>1701.4227591119063</v>
      </c>
      <c r="AH35" s="291">
        <v>2021</v>
      </c>
      <c r="AI35" s="362">
        <f t="shared" si="4"/>
        <v>13254.04803404833</v>
      </c>
      <c r="AK35" s="362">
        <f t="shared" si="5"/>
        <v>6148.3889279917994</v>
      </c>
      <c r="AL35" s="362">
        <f t="shared" si="6"/>
        <v>400.65600000000001</v>
      </c>
      <c r="AM35" s="362">
        <f t="shared" si="7"/>
        <v>926.11052308569197</v>
      </c>
      <c r="AN35" s="362">
        <f t="shared" si="8"/>
        <v>7475.1554510774913</v>
      </c>
      <c r="AP35" s="362">
        <f t="shared" si="9"/>
        <v>20729.285559706535</v>
      </c>
    </row>
    <row r="36" spans="1:42" x14ac:dyDescent="0.2">
      <c r="A36" s="362"/>
      <c r="B36" s="291">
        <v>2022</v>
      </c>
      <c r="C36" s="362">
        <f>'A6-Chin (NEW2)'!C43</f>
        <v>14410.16048847821</v>
      </c>
      <c r="D36" s="362"/>
      <c r="E36" s="362">
        <f>'A6-Chin (NEW2)'!D43</f>
        <v>12027.16048847821</v>
      </c>
      <c r="F36" s="362">
        <f>'Bayesian SD Ests (10Feb26rev)'!D38</f>
        <v>1667</v>
      </c>
      <c r="G36" s="362"/>
      <c r="H36" s="362">
        <f>'Bayesian SD Ests (10Feb26rev)'!F38</f>
        <v>2383</v>
      </c>
      <c r="I36" s="362">
        <f>'Bayesian SD Ests (10Feb26rev)'!G38</f>
        <v>666</v>
      </c>
      <c r="J36" s="362"/>
      <c r="K36" s="362">
        <f>'A6-Chin (NEW2)'!L43</f>
        <v>16061</v>
      </c>
      <c r="L36" s="362">
        <f>'Bayesian SD Ests (10Feb26rev)'!V38</f>
        <v>2048</v>
      </c>
      <c r="M36" s="362"/>
      <c r="N36" s="362">
        <f>'A6a-Chin (Upper&amp;MidCU)'!AA43</f>
        <v>4128.5024352683213</v>
      </c>
      <c r="O36" s="362">
        <f>'A6a-Chin (Upper&amp;MidCU)'!AE43</f>
        <v>266.54999863647078</v>
      </c>
      <c r="P36" s="362">
        <f>'A6a-Chin (Upper&amp;MidCU)'!AK43</f>
        <v>879.44371162976859</v>
      </c>
      <c r="Q36" s="362">
        <f t="shared" si="1"/>
        <v>5274.496145534561</v>
      </c>
      <c r="R36" s="362"/>
      <c r="S36" s="362">
        <f>'A6a-Chin (Upper&amp;MidCU)'!AL43</f>
        <v>19684.656634012768</v>
      </c>
      <c r="T36" s="1045">
        <f t="shared" si="2"/>
        <v>0.2679496139353964</v>
      </c>
      <c r="U36" s="362">
        <f t="shared" si="10"/>
        <v>4402.2557339958685</v>
      </c>
      <c r="V36" s="362">
        <f t="shared" si="11"/>
        <v>872.24041153869393</v>
      </c>
      <c r="X36" s="291">
        <v>2022</v>
      </c>
      <c r="Y36" s="362">
        <f>'A6b-Chin (LN&amp;CoastalCU)'!P43</f>
        <v>5258.8031445336183</v>
      </c>
      <c r="AA36" s="362">
        <f>'A6b-Chin (LN&amp;CoastalCU)'!AA43</f>
        <v>67.759631153979129</v>
      </c>
      <c r="AB36" s="362">
        <f>'A6b-Chin (LN&amp;CoastalCU)'!AE43</f>
        <v>97.274001363529209</v>
      </c>
      <c r="AC36" s="362">
        <f>'A6b-Chin (LN&amp;CoastalCU)'!AL43</f>
        <v>253.6508980872222</v>
      </c>
      <c r="AD36" s="362">
        <f t="shared" si="3"/>
        <v>418.68453060473053</v>
      </c>
      <c r="AF36" s="362">
        <f>'A6b-Chin (LN&amp;CoastalCU)'!AM43</f>
        <v>5677.711531907159</v>
      </c>
      <c r="AH36" s="291">
        <v>2022</v>
      </c>
      <c r="AI36" s="362">
        <f t="shared" si="4"/>
        <v>19668.96363301183</v>
      </c>
      <c r="AK36" s="362">
        <f t="shared" si="5"/>
        <v>4196.2620664223004</v>
      </c>
      <c r="AL36" s="362">
        <f t="shared" si="6"/>
        <v>363.82399999999996</v>
      </c>
      <c r="AM36" s="362">
        <f t="shared" si="7"/>
        <v>1133.0946097169908</v>
      </c>
      <c r="AN36" s="362">
        <f t="shared" si="8"/>
        <v>5693.1806761392918</v>
      </c>
      <c r="AP36" s="362">
        <f t="shared" si="9"/>
        <v>25362.368165919928</v>
      </c>
    </row>
    <row r="37" spans="1:42" x14ac:dyDescent="0.2">
      <c r="A37" s="362"/>
      <c r="B37" s="291">
        <v>2023</v>
      </c>
      <c r="C37" s="362">
        <f>'A6-Chin (NEW2)'!C44</f>
        <v>9758.9535295539172</v>
      </c>
      <c r="D37" s="362"/>
      <c r="E37" s="362">
        <f>'A6-Chin (NEW2)'!D44</f>
        <v>7850.9535295539172</v>
      </c>
      <c r="F37" s="362">
        <f>'Bayesian SD Ests (10Feb26rev)'!D39</f>
        <v>981</v>
      </c>
      <c r="G37" s="362"/>
      <c r="H37" s="362">
        <f>'Bayesian SD Ests (10Feb26rev)'!F39</f>
        <v>1908</v>
      </c>
      <c r="I37" s="362">
        <f>'Bayesian SD Ests (10Feb26rev)'!G39</f>
        <v>504</v>
      </c>
      <c r="J37" s="362"/>
      <c r="K37" s="362">
        <f>'A6-Chin (NEW2)'!L44</f>
        <v>11606</v>
      </c>
      <c r="L37" s="362">
        <f>'Bayesian SD Ests (10Feb26rev)'!V39</f>
        <v>1236</v>
      </c>
      <c r="M37" s="362"/>
      <c r="N37" s="362">
        <f>'A6a-Chin (Upper&amp;MidCU)'!AA44</f>
        <v>3477.5562032691605</v>
      </c>
      <c r="O37" s="362">
        <f>'A6a-Chin (Upper&amp;MidCU)'!AE44</f>
        <v>267.0969816597983</v>
      </c>
      <c r="P37" s="362">
        <f>'A6a-Chin (Upper&amp;MidCU)'!AK44</f>
        <v>631.50904264627684</v>
      </c>
      <c r="Q37" s="362">
        <f t="shared" si="1"/>
        <v>4376.1622275752352</v>
      </c>
      <c r="R37" s="362"/>
      <c r="S37" s="362">
        <f>'A6a-Chin (Upper&amp;MidCU)'!AL44</f>
        <v>14135.115757129153</v>
      </c>
      <c r="T37" s="1045">
        <f t="shared" si="2"/>
        <v>0.30959507532636121</v>
      </c>
      <c r="U37" s="362">
        <f t="shared" si="10"/>
        <v>3520.5666450235458</v>
      </c>
      <c r="V37" s="362">
        <f t="shared" si="11"/>
        <v>855.5955825516894</v>
      </c>
      <c r="X37" s="291">
        <v>2023</v>
      </c>
      <c r="Y37" s="362">
        <f>'A6b-Chin (LN&amp;CoastalCU)'!P44</f>
        <v>2396.5066769396999</v>
      </c>
      <c r="AA37" s="362">
        <f>'A6b-Chin (LN&amp;CoastalCU)'!AA44</f>
        <v>28.973787658540878</v>
      </c>
      <c r="AB37" s="362">
        <f>'A6b-Chin (LN&amp;CoastalCU)'!AE44</f>
        <v>65.591018340201714</v>
      </c>
      <c r="AC37" s="362">
        <f>'A6b-Chin (LN&amp;CoastalCU)'!AL44</f>
        <v>116.49733294340395</v>
      </c>
      <c r="AD37" s="362">
        <f t="shared" si="3"/>
        <v>211.06213894214653</v>
      </c>
      <c r="AF37" s="362">
        <f>'A6b-Chin (LN&amp;CoastalCU)'!AM44</f>
        <v>2607.7245596518796</v>
      </c>
      <c r="AH37" s="291">
        <v>2023</v>
      </c>
      <c r="AI37" s="362">
        <f t="shared" si="4"/>
        <v>12155.460206493617</v>
      </c>
      <c r="AK37" s="362">
        <f t="shared" si="5"/>
        <v>3506.5299909277014</v>
      </c>
      <c r="AL37" s="362">
        <f t="shared" si="6"/>
        <v>332.68799999999999</v>
      </c>
      <c r="AM37" s="362">
        <f t="shared" si="7"/>
        <v>748.00637558968083</v>
      </c>
      <c r="AN37" s="362">
        <f t="shared" si="8"/>
        <v>4587.2243665173819</v>
      </c>
      <c r="AP37" s="362">
        <f t="shared" si="9"/>
        <v>16742.840316781032</v>
      </c>
    </row>
    <row r="38" spans="1:42" x14ac:dyDescent="0.2">
      <c r="A38" s="362"/>
      <c r="B38" s="291">
        <v>2024</v>
      </c>
      <c r="C38" s="362">
        <f>'A6-Chin (NEW2)'!C45</f>
        <v>12477.710267528219</v>
      </c>
      <c r="D38" s="362"/>
      <c r="E38" s="362">
        <f>'A6-Chin (NEW2)'!D45</f>
        <v>10196.710267528219</v>
      </c>
      <c r="F38" s="362">
        <f>'Bayesian SD Ests (10Feb26rev)'!D40</f>
        <v>1394</v>
      </c>
      <c r="G38" s="362"/>
      <c r="H38" s="362">
        <f>'Bayesian SD Ests (10Feb26rev)'!F40</f>
        <v>2281</v>
      </c>
      <c r="I38" s="362">
        <f>'Bayesian SD Ests (10Feb26rev)'!G40</f>
        <v>534</v>
      </c>
      <c r="J38" s="362"/>
      <c r="K38" s="362">
        <f>'A6-Chin (NEW2)'!L45</f>
        <v>15199</v>
      </c>
      <c r="L38" s="362">
        <f>'Bayesian SD Ests (10Feb26rev)'!V40</f>
        <v>1675</v>
      </c>
      <c r="M38" s="362"/>
      <c r="N38" s="362">
        <f>'A6a-Chin (Upper&amp;MidCU)'!AA45</f>
        <v>6185.349179517867</v>
      </c>
      <c r="O38" s="362">
        <f>'A6a-Chin (Upper&amp;MidCU)'!AE45</f>
        <v>333.61891511331226</v>
      </c>
      <c r="P38" s="362">
        <f>'A6a-Chin (Upper&amp;MidCU)'!AK45</f>
        <v>888.39777546838491</v>
      </c>
      <c r="Q38" s="362">
        <f t="shared" si="1"/>
        <v>7407.3658700995638</v>
      </c>
      <c r="R38" s="362"/>
      <c r="S38" s="362">
        <f>'A6a-Chin (Upper&amp;MidCU)'!AL45</f>
        <v>19885.076137627781</v>
      </c>
      <c r="T38" s="1045">
        <f t="shared" si="2"/>
        <v>0.37250880101398681</v>
      </c>
      <c r="U38" s="362">
        <f t="shared" si="10"/>
        <v>6053.2551248238478</v>
      </c>
      <c r="V38" s="362">
        <f t="shared" si="11"/>
        <v>1354.1107452757176</v>
      </c>
      <c r="X38" s="291">
        <v>2024</v>
      </c>
      <c r="Y38" s="362">
        <f>'A6b-Chin (LN&amp;CoastalCU)'!P45</f>
        <v>5507.4255264926142</v>
      </c>
      <c r="AA38" s="362">
        <f>'A6b-Chin (LN&amp;CoastalCU)'!AA45</f>
        <v>62.40861193795913</v>
      </c>
      <c r="AB38" s="362">
        <f>'A6b-Chin (LN&amp;CoastalCU)'!AE45</f>
        <v>147.25308488668776</v>
      </c>
      <c r="AC38" s="362">
        <f>'A6b-Chin (LN&amp;CoastalCU)'!AL45</f>
        <v>267.36503479845373</v>
      </c>
      <c r="AD38" s="362">
        <f t="shared" si="3"/>
        <v>477.02673162310066</v>
      </c>
      <c r="AF38" s="362">
        <f>'A6b-Chin (LN&amp;CoastalCU)'!AM45</f>
        <v>5984.6835902129442</v>
      </c>
      <c r="AH38" s="291">
        <v>2024</v>
      </c>
      <c r="AI38" s="362">
        <f t="shared" si="4"/>
        <v>17985.135794020833</v>
      </c>
      <c r="AK38" s="362">
        <f t="shared" si="5"/>
        <v>6247.757791455826</v>
      </c>
      <c r="AL38" s="362">
        <f t="shared" si="6"/>
        <v>480.87200000000001</v>
      </c>
      <c r="AM38" s="362">
        <f t="shared" si="7"/>
        <v>1155.7628102668386</v>
      </c>
      <c r="AN38" s="362">
        <f t="shared" si="8"/>
        <v>7884.392601722664</v>
      </c>
      <c r="AP38" s="362">
        <f t="shared" si="9"/>
        <v>25869.759727840727</v>
      </c>
    </row>
    <row r="39" spans="1:42" x14ac:dyDescent="0.2">
      <c r="A39" s="362"/>
      <c r="B39" s="291">
        <v>2025</v>
      </c>
      <c r="C39" s="362">
        <f>'A6-Chin (NEW2)'!C46</f>
        <v>10359.972690145158</v>
      </c>
      <c r="D39" s="362"/>
      <c r="E39" s="362">
        <f>'A6-Chin (NEW2)'!D46</f>
        <v>8529.9726901451577</v>
      </c>
      <c r="F39" s="362">
        <f>'Bayesian SD Ests (10Feb26rev)'!D41</f>
        <v>880</v>
      </c>
      <c r="G39" s="362"/>
      <c r="H39" s="362">
        <f>'Bayesian SD Ests (10Feb26rev)'!F41</f>
        <v>1830</v>
      </c>
      <c r="I39" s="362">
        <f>'Bayesian SD Ests (10Feb26rev)'!G41</f>
        <v>811</v>
      </c>
      <c r="J39" s="362"/>
      <c r="K39" s="362">
        <f>'A6-Chin (NEW2)'!L46</f>
        <v>12326</v>
      </c>
      <c r="L39" s="362">
        <f>'Bayesian SD Ests (10Feb26rev)'!V41</f>
        <v>1119</v>
      </c>
      <c r="M39" s="362"/>
      <c r="N39" s="362">
        <f>'A6a-Chin (Upper&amp;MidCU)'!AA46</f>
        <v>5199.8264540763666</v>
      </c>
      <c r="O39" s="362">
        <f>'A6a-Chin (Upper&amp;MidCU)'!AE46</f>
        <v>298.44376135666403</v>
      </c>
      <c r="P39" s="362">
        <f>'A6a-Chin (Upper&amp;MidCU)'!AK46</f>
        <v>741.62584908614986</v>
      </c>
      <c r="Q39" s="362">
        <f t="shared" si="1"/>
        <v>6239.896064519181</v>
      </c>
      <c r="R39" s="362"/>
      <c r="S39" s="362">
        <f>'A6a-Chin (Upper&amp;MidCU)'!AL46</f>
        <v>16599.868754664338</v>
      </c>
      <c r="T39" s="1045">
        <f t="shared" si="2"/>
        <v>0.37590032528214146</v>
      </c>
      <c r="U39" s="362">
        <f t="shared" si="10"/>
        <v>5137.6721359819621</v>
      </c>
      <c r="V39" s="362">
        <f t="shared" si="11"/>
        <v>1102.2239285372195</v>
      </c>
      <c r="X39" s="291">
        <v>2025</v>
      </c>
      <c r="Y39" s="362">
        <f>'A6b-Chin (LN&amp;CoastalCU)'!P46</f>
        <v>15029.315747871828</v>
      </c>
      <c r="AA39" s="362">
        <f>'A6b-Chin (LN&amp;CoastalCU)'!AA46</f>
        <v>95.41405035217349</v>
      </c>
      <c r="AB39" s="362">
        <f>'A6b-Chin (LN&amp;CoastalCU)'!AE46</f>
        <v>432.95534231268005</v>
      </c>
      <c r="AC39" s="362">
        <f>'A6b-Chin (LN&amp;CoastalCU)'!AL46</f>
        <v>727.56997864542541</v>
      </c>
      <c r="AD39" s="362">
        <f t="shared" si="3"/>
        <v>1255.9393713102791</v>
      </c>
      <c r="AF39" s="362">
        <f>'A6b-Chin (LN&amp;CoastalCU)'!AM46</f>
        <v>16285.750335656938</v>
      </c>
      <c r="AH39" s="291">
        <v>2025</v>
      </c>
      <c r="AI39" s="362">
        <f t="shared" si="4"/>
        <v>25389.288438016985</v>
      </c>
      <c r="AK39" s="362">
        <f t="shared" si="5"/>
        <v>5295.2405044285406</v>
      </c>
      <c r="AL39" s="362">
        <f t="shared" si="6"/>
        <v>731.39910366934407</v>
      </c>
      <c r="AM39" s="362">
        <f t="shared" si="7"/>
        <v>1469.1958277315753</v>
      </c>
      <c r="AN39" s="362">
        <f t="shared" si="8"/>
        <v>7495.83543582946</v>
      </c>
      <c r="AP39" s="362">
        <f t="shared" si="9"/>
        <v>32885.619090321277</v>
      </c>
    </row>
  </sheetData>
  <mergeCells count="9">
    <mergeCell ref="AK4:AN4"/>
    <mergeCell ref="AH3:AP3"/>
    <mergeCell ref="N4:Q4"/>
    <mergeCell ref="E4:F4"/>
    <mergeCell ref="H4:I4"/>
    <mergeCell ref="K4:L4"/>
    <mergeCell ref="C3:S3"/>
    <mergeCell ref="AA4:AD4"/>
    <mergeCell ref="X3:AF3"/>
  </mergeCells>
  <pageMargins left="0.7" right="0.7" top="0.75" bottom="0.75" header="0.3" footer="0.3"/>
  <headerFooter>
    <oddHeader>&amp;R&amp;"Calibri"&amp;12&amp;K000000 Unclassified - Non-Classifié&amp;1#_x000D_</oddHeader>
  </headerFooter>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DA6BB-9553-4CF3-B209-4CE273DF3785}">
  <sheetPr>
    <tabColor rgb="FF00FF00"/>
    <pageSetUpPr fitToPage="1"/>
  </sheetPr>
  <dimension ref="A1:FE93"/>
  <sheetViews>
    <sheetView showGridLines="0" zoomScale="110" zoomScaleNormal="110" workbookViewId="0">
      <pane xSplit="6" ySplit="6" topLeftCell="G13" activePane="bottomRight" state="frozen"/>
      <selection activeCell="C49" sqref="C49:E49"/>
      <selection pane="topRight" activeCell="C49" sqref="C49:E49"/>
      <selection pane="bottomLeft" activeCell="C49" sqref="C49:E49"/>
      <selection pane="bottomRight" activeCell="D15" sqref="D15"/>
    </sheetView>
  </sheetViews>
  <sheetFormatPr defaultColWidth="9.140625" defaultRowHeight="12.75" x14ac:dyDescent="0.2"/>
  <cols>
    <col min="1" max="1" width="1.42578125" style="3" customWidth="1"/>
    <col min="2" max="2" width="12.7109375" style="3" customWidth="1"/>
    <col min="3" max="4" width="7" style="3" customWidth="1"/>
    <col min="5" max="5" width="7.42578125" style="3" bestFit="1" customWidth="1"/>
    <col min="6" max="6" width="1.5703125" style="3" customWidth="1"/>
    <col min="7" max="7" width="6" style="3" customWidth="1"/>
    <col min="8" max="8" width="6.5703125" style="3" customWidth="1"/>
    <col min="9" max="9" width="7.85546875" style="3" customWidth="1"/>
    <col min="10" max="10" width="6.5703125" style="3" customWidth="1"/>
    <col min="11" max="11" width="1.42578125" style="3" customWidth="1"/>
    <col min="12" max="12" width="7.42578125" style="3" customWidth="1"/>
    <col min="13" max="13" width="5.85546875" style="3" customWidth="1"/>
    <col min="14" max="14" width="7.85546875" style="3" customWidth="1"/>
    <col min="15" max="15" width="6.42578125" style="3" customWidth="1"/>
    <col min="16" max="16" width="8.85546875" style="3" customWidth="1"/>
    <col min="17" max="17" width="2.42578125" style="3" customWidth="1"/>
    <col min="18" max="18" width="6.42578125" style="3" bestFit="1" customWidth="1"/>
    <col min="19" max="19" width="8" style="3" customWidth="1"/>
    <col min="20" max="20" width="7.140625" style="3" customWidth="1"/>
    <col min="21" max="21" width="6" style="3" bestFit="1" customWidth="1"/>
    <col min="22" max="22" width="8.85546875" style="3" bestFit="1" customWidth="1"/>
    <col min="23" max="23" width="2" style="3" customWidth="1"/>
    <col min="24" max="24" width="5.5703125" style="3" bestFit="1" customWidth="1"/>
    <col min="25" max="25" width="6.5703125" style="3" customWidth="1"/>
    <col min="26" max="26" width="7.42578125" style="3" customWidth="1"/>
    <col min="27" max="27" width="7.140625" style="3" bestFit="1" customWidth="1"/>
    <col min="28" max="28" width="2.85546875" style="3" customWidth="1"/>
    <col min="29" max="29" width="7.42578125" style="3" customWidth="1"/>
    <col min="30" max="30" width="7.42578125" style="3" bestFit="1" customWidth="1"/>
    <col min="31" max="31" width="7.140625" style="3" bestFit="1" customWidth="1"/>
    <col min="32" max="32" width="2.42578125" style="3" customWidth="1"/>
    <col min="33" max="33" width="7.42578125" style="3" hidden="1" customWidth="1"/>
    <col min="34" max="34" width="6" style="3" hidden="1" customWidth="1"/>
    <col min="35" max="35" width="7.5703125" style="3" hidden="1" customWidth="1"/>
    <col min="36" max="36" width="8.85546875" style="3" customWidth="1"/>
    <col min="37" max="37" width="7.85546875" style="3" customWidth="1"/>
    <col min="38" max="38" width="8" style="3" customWidth="1"/>
    <col min="39" max="39" width="5.5703125" style="3" customWidth="1"/>
    <col min="40" max="40" width="9.42578125" style="3" customWidth="1"/>
    <col min="41" max="41" width="8.5703125" style="3" customWidth="1"/>
    <col min="42" max="42" width="8.5703125" style="4" customWidth="1"/>
    <col min="43" max="43" width="8.5703125" style="3" customWidth="1"/>
    <col min="44" max="44" width="7.85546875" style="3" customWidth="1"/>
    <col min="45" max="45" width="9.140625" style="3" customWidth="1"/>
    <col min="46" max="46" width="7.5703125" style="3" customWidth="1"/>
    <col min="47" max="48" width="9.140625" style="3" customWidth="1"/>
    <col min="49" max="49" width="6.85546875" style="3" customWidth="1"/>
    <col min="50" max="50" width="7.42578125" style="3" customWidth="1"/>
    <col min="51" max="53" width="6.5703125" style="3" customWidth="1"/>
    <col min="54" max="54" width="6.42578125" style="3" customWidth="1"/>
    <col min="55" max="57" width="7.42578125" style="3" customWidth="1"/>
    <col min="58" max="58" width="7.42578125" style="3" hidden="1" customWidth="1"/>
    <col min="59" max="59" width="11" style="5" hidden="1" customWidth="1"/>
    <col min="60" max="60" width="7.42578125" style="5" hidden="1" customWidth="1"/>
    <col min="61" max="61" width="7.42578125" style="6" hidden="1" customWidth="1"/>
    <col min="62" max="62" width="7.42578125" style="3" hidden="1" customWidth="1"/>
    <col min="63" max="63" width="11" style="6" hidden="1" customWidth="1"/>
    <col min="64" max="65" width="7.42578125" style="6" hidden="1" customWidth="1"/>
    <col min="66" max="66" width="5.5703125" style="3" hidden="1" customWidth="1"/>
    <col min="67" max="70" width="7.42578125" style="3" hidden="1" customWidth="1"/>
    <col min="71" max="71" width="10.140625" style="3" hidden="1" customWidth="1"/>
    <col min="72" max="78" width="0" style="3" hidden="1" customWidth="1"/>
    <col min="79" max="79" width="9.42578125" style="3" hidden="1" customWidth="1"/>
    <col min="80" max="83" width="0" style="3" hidden="1" customWidth="1"/>
    <col min="84" max="85" width="9.140625" style="7"/>
    <col min="86" max="89" width="9.140625" style="8"/>
    <col min="90" max="91" width="9.140625" style="3"/>
    <col min="92" max="94" width="7.5703125" style="18" customWidth="1"/>
    <col min="95" max="95" width="9.140625" style="3"/>
    <col min="96" max="96" width="11.42578125" style="3" customWidth="1"/>
    <col min="97" max="98" width="9.140625" style="3"/>
    <col min="99" max="99" width="13.42578125" style="3" customWidth="1"/>
    <col min="100" max="101" width="11.5703125" style="3" customWidth="1"/>
    <col min="102" max="105" width="9.140625" style="3"/>
    <col min="106" max="107" width="11.140625" style="3" customWidth="1"/>
    <col min="108" max="116" width="9.140625" style="3"/>
    <col min="117" max="117" width="2.85546875" style="3" customWidth="1"/>
    <col min="118" max="138" width="9.140625" style="3"/>
    <col min="139" max="139" width="8.42578125" style="3" bestFit="1" customWidth="1"/>
    <col min="140" max="142" width="9.140625" style="3"/>
    <col min="143" max="143" width="12.140625" style="3" customWidth="1"/>
    <col min="144" max="144" width="9.140625" style="3"/>
    <col min="145" max="145" width="12.140625" style="3" customWidth="1"/>
    <col min="146" max="16384" width="9.140625" style="3"/>
  </cols>
  <sheetData>
    <row r="1" spans="1:161" ht="26.25" customHeight="1" x14ac:dyDescent="0.25">
      <c r="A1" s="1" t="s">
        <v>0</v>
      </c>
      <c r="B1" s="1"/>
      <c r="C1" s="2" t="s">
        <v>624</v>
      </c>
      <c r="D1" s="2"/>
      <c r="E1" s="2"/>
      <c r="AN1" s="3">
        <v>0.25</v>
      </c>
      <c r="AO1" s="3">
        <f>AN1*V39</f>
        <v>5008.6873249424898</v>
      </c>
      <c r="AX1" s="3" t="s">
        <v>1</v>
      </c>
      <c r="BS1" s="970" t="s">
        <v>2</v>
      </c>
      <c r="BT1" s="970" t="s">
        <v>3</v>
      </c>
      <c r="BU1" s="970" t="s">
        <v>4</v>
      </c>
      <c r="BV1" s="970" t="s">
        <v>5</v>
      </c>
      <c r="BW1" s="970" t="s">
        <v>6</v>
      </c>
      <c r="BX1" s="970" t="s">
        <v>7</v>
      </c>
      <c r="BY1" s="970" t="s">
        <v>8</v>
      </c>
      <c r="BZ1" s="970" t="s">
        <v>9</v>
      </c>
      <c r="CA1" s="970" t="s">
        <v>10</v>
      </c>
      <c r="CB1" s="970" t="s">
        <v>11</v>
      </c>
      <c r="CC1" s="970" t="s">
        <v>12</v>
      </c>
      <c r="CD1" s="970" t="s">
        <v>13</v>
      </c>
      <c r="CM1" s="9" t="s">
        <v>14</v>
      </c>
      <c r="CN1" s="10"/>
      <c r="CO1" s="10"/>
      <c r="CP1" s="10"/>
      <c r="CQ1" s="9"/>
      <c r="CR1" s="9"/>
      <c r="CS1" s="11"/>
      <c r="CT1" s="11"/>
      <c r="CU1" s="11"/>
      <c r="CV1" s="11"/>
      <c r="CW1" s="11"/>
      <c r="CX1" s="11"/>
      <c r="DA1" s="12" t="s">
        <v>15</v>
      </c>
      <c r="DB1" s="12">
        <v>0.21</v>
      </c>
      <c r="DC1" s="12"/>
      <c r="DD1" s="12" t="s">
        <v>16</v>
      </c>
      <c r="DE1" s="11">
        <v>12600</v>
      </c>
      <c r="DF1" s="11"/>
    </row>
    <row r="2" spans="1:161" x14ac:dyDescent="0.2">
      <c r="A2" s="13"/>
      <c r="B2" s="13"/>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X2" s="14">
        <f>AVERAGE(Z27:Z38)</f>
        <v>5450.5856790230619</v>
      </c>
      <c r="AY2" s="14">
        <f>AVERAGE(AC27:AC38)</f>
        <v>1956.1726666666664</v>
      </c>
      <c r="AZ2" s="14">
        <f>AVERAGE(AD27:AD38,Y27:Y38)</f>
        <v>852.37111074883262</v>
      </c>
      <c r="BA2" s="14">
        <f>AVERAGE(X27:X38)</f>
        <v>138.66666666666666</v>
      </c>
      <c r="BB2" s="14">
        <f>SUM(AX2:BA2)</f>
        <v>8397.7961231052268</v>
      </c>
      <c r="BC2" s="5">
        <f>AVERAGE(AK27:AK38)</f>
        <v>1202.0833333333333</v>
      </c>
      <c r="BS2" s="971"/>
      <c r="BT2" s="971"/>
      <c r="BU2" s="971"/>
      <c r="BV2" s="971"/>
      <c r="BW2" s="971"/>
      <c r="BX2" s="971"/>
      <c r="BY2" s="971"/>
      <c r="BZ2" s="971"/>
      <c r="CA2" s="971"/>
      <c r="CB2" s="971"/>
      <c r="CC2" s="971"/>
      <c r="CD2" s="971"/>
      <c r="CM2" s="11"/>
      <c r="CN2" s="15"/>
      <c r="CO2" s="15"/>
      <c r="CP2" s="15"/>
      <c r="CQ2" s="11"/>
      <c r="CR2" s="11"/>
      <c r="CS2" s="11"/>
      <c r="CT2" s="11"/>
      <c r="CU2" s="11"/>
      <c r="CV2" s="11"/>
      <c r="CW2" s="11"/>
      <c r="CX2" s="11"/>
      <c r="DA2" s="12"/>
      <c r="DB2" s="12"/>
      <c r="DC2" s="12"/>
      <c r="DD2" s="12" t="s">
        <v>17</v>
      </c>
      <c r="DE2" s="11">
        <v>15000</v>
      </c>
      <c r="DF2" s="11"/>
    </row>
    <row r="3" spans="1:161" ht="14.25" customHeight="1" x14ac:dyDescent="0.25">
      <c r="C3" s="974" t="s">
        <v>18</v>
      </c>
      <c r="D3" s="974"/>
      <c r="E3" s="974"/>
      <c r="F3" s="974"/>
      <c r="G3" s="974"/>
      <c r="H3" s="974"/>
      <c r="I3" s="974"/>
      <c r="J3" s="974"/>
      <c r="K3" s="974"/>
      <c r="L3" s="974"/>
      <c r="P3" s="974" t="s">
        <v>19</v>
      </c>
      <c r="Q3" s="974"/>
      <c r="R3" s="974"/>
      <c r="S3" s="974"/>
      <c r="T3" s="974"/>
      <c r="V3" s="974" t="s">
        <v>20</v>
      </c>
      <c r="W3" s="974"/>
      <c r="X3" s="974"/>
      <c r="Y3" s="974"/>
      <c r="Z3" s="974"/>
      <c r="AA3" s="974"/>
      <c r="AB3" s="974"/>
      <c r="AC3" s="974"/>
      <c r="AD3" s="974"/>
      <c r="AE3" s="974"/>
      <c r="AF3" s="974"/>
      <c r="AG3" s="974"/>
      <c r="AH3" s="974"/>
      <c r="AI3" s="974"/>
      <c r="AJ3" s="974"/>
      <c r="AK3" s="975" t="s">
        <v>21</v>
      </c>
      <c r="AL3" s="978" t="s">
        <v>22</v>
      </c>
      <c r="AX3" s="17">
        <f t="shared" ref="AX3:BC3" si="0">AVERAGE(AX27:AX38)</f>
        <v>0.20442026083081577</v>
      </c>
      <c r="AY3" s="17">
        <f t="shared" si="0"/>
        <v>6.9835168176721155E-2</v>
      </c>
      <c r="AZ3" s="17">
        <f t="shared" si="0"/>
        <v>6.0743361305033015E-2</v>
      </c>
      <c r="BA3" s="17">
        <f t="shared" si="0"/>
        <v>4.8083772293908795E-3</v>
      </c>
      <c r="BB3" s="17">
        <f t="shared" si="0"/>
        <v>0.33980716754196078</v>
      </c>
      <c r="BC3" s="17">
        <f t="shared" si="0"/>
        <v>4.5164017584569192E-2</v>
      </c>
      <c r="BD3" s="17">
        <f>BC3+AZ3+AY3</f>
        <v>0.17574254706632336</v>
      </c>
      <c r="BE3" s="17"/>
      <c r="BF3" s="17"/>
      <c r="BJ3" s="17"/>
      <c r="BS3" s="971"/>
      <c r="BT3" s="971"/>
      <c r="BU3" s="971"/>
      <c r="BV3" s="971"/>
      <c r="BW3" s="971"/>
      <c r="BX3" s="971"/>
      <c r="BY3" s="971"/>
      <c r="BZ3" s="971"/>
      <c r="CA3" s="971"/>
      <c r="CB3" s="971"/>
      <c r="CC3" s="971"/>
      <c r="CD3" s="971"/>
      <c r="DD3" s="3" t="s">
        <v>23</v>
      </c>
      <c r="DE3" s="19">
        <v>10000</v>
      </c>
    </row>
    <row r="4" spans="1:161" ht="15.75" customHeight="1" x14ac:dyDescent="0.2">
      <c r="A4" s="18"/>
      <c r="B4" s="18"/>
      <c r="C4" s="981" t="s">
        <v>24</v>
      </c>
      <c r="D4" s="981"/>
      <c r="E4" s="981"/>
      <c r="F4" s="18"/>
      <c r="G4" s="974" t="s">
        <v>25</v>
      </c>
      <c r="H4" s="974"/>
      <c r="I4" s="974"/>
      <c r="J4" s="974"/>
      <c r="K4" s="18"/>
      <c r="L4" s="982" t="s">
        <v>26</v>
      </c>
      <c r="M4" s="18"/>
      <c r="N4" s="18"/>
      <c r="O4" s="18"/>
      <c r="P4" s="18"/>
      <c r="Q4" s="18"/>
      <c r="R4" s="984" t="s">
        <v>25</v>
      </c>
      <c r="S4" s="984"/>
      <c r="T4" s="984"/>
      <c r="U4" s="18"/>
      <c r="V4" s="975" t="s">
        <v>27</v>
      </c>
      <c r="W4" s="18"/>
      <c r="X4" s="984" t="s">
        <v>25</v>
      </c>
      <c r="Y4" s="984"/>
      <c r="Z4" s="984"/>
      <c r="AA4" s="984"/>
      <c r="AB4" s="18"/>
      <c r="AC4" s="984" t="s">
        <v>28</v>
      </c>
      <c r="AD4" s="984"/>
      <c r="AE4" s="984"/>
      <c r="AF4" s="18"/>
      <c r="AG4" s="984" t="s">
        <v>29</v>
      </c>
      <c r="AH4" s="984"/>
      <c r="AI4" s="984"/>
      <c r="AJ4" s="975" t="s">
        <v>30</v>
      </c>
      <c r="AK4" s="976"/>
      <c r="AL4" s="979"/>
      <c r="AS4" s="3" t="s">
        <v>31</v>
      </c>
      <c r="BG4" s="973" t="s">
        <v>32</v>
      </c>
      <c r="BH4" s="973"/>
      <c r="BI4" s="973"/>
      <c r="BK4" s="973" t="s">
        <v>32</v>
      </c>
      <c r="BL4" s="973"/>
      <c r="BM4" s="973"/>
      <c r="BS4" s="971"/>
      <c r="BT4" s="971"/>
      <c r="BU4" s="971"/>
      <c r="BV4" s="971"/>
      <c r="BW4" s="971"/>
      <c r="BX4" s="971"/>
      <c r="BY4" s="971"/>
      <c r="BZ4" s="971"/>
      <c r="CA4" s="971"/>
      <c r="CB4" s="971"/>
      <c r="CC4" s="971"/>
      <c r="CD4" s="971"/>
      <c r="CF4" s="986" t="s">
        <v>33</v>
      </c>
      <c r="CG4" s="986"/>
      <c r="CH4" s="986"/>
      <c r="CI4" s="986"/>
      <c r="CJ4" s="24"/>
      <c r="CK4" s="24"/>
      <c r="DA4" s="987" t="s">
        <v>34</v>
      </c>
      <c r="DB4" s="988" t="s">
        <v>35</v>
      </c>
      <c r="DC4" s="26"/>
    </row>
    <row r="5" spans="1:161" ht="43.5" customHeight="1" thickBot="1" x14ac:dyDescent="0.25">
      <c r="A5" s="13"/>
      <c r="B5" s="16" t="s">
        <v>36</v>
      </c>
      <c r="C5" s="27" t="s">
        <v>37</v>
      </c>
      <c r="D5" s="27" t="s">
        <v>38</v>
      </c>
      <c r="E5" s="27" t="s">
        <v>39</v>
      </c>
      <c r="F5" s="28"/>
      <c r="G5" s="28" t="s">
        <v>40</v>
      </c>
      <c r="H5" s="28" t="s">
        <v>41</v>
      </c>
      <c r="I5" s="29" t="s">
        <v>42</v>
      </c>
      <c r="J5" s="29" t="s">
        <v>43</v>
      </c>
      <c r="K5" s="29"/>
      <c r="L5" s="983"/>
      <c r="M5" s="29" t="s">
        <v>44</v>
      </c>
      <c r="N5" s="30" t="s">
        <v>45</v>
      </c>
      <c r="O5" s="31" t="s">
        <v>46</v>
      </c>
      <c r="P5" s="29" t="s">
        <v>47</v>
      </c>
      <c r="Q5" s="29"/>
      <c r="R5" s="28" t="s">
        <v>41</v>
      </c>
      <c r="S5" s="29" t="s">
        <v>42</v>
      </c>
      <c r="T5" s="29" t="s">
        <v>43</v>
      </c>
      <c r="U5" s="29" t="s">
        <v>44</v>
      </c>
      <c r="V5" s="977"/>
      <c r="W5" s="29"/>
      <c r="X5" s="28" t="s">
        <v>40</v>
      </c>
      <c r="Y5" s="28" t="s">
        <v>41</v>
      </c>
      <c r="Z5" s="29" t="s">
        <v>42</v>
      </c>
      <c r="AA5" s="29" t="s">
        <v>43</v>
      </c>
      <c r="AB5" s="29"/>
      <c r="AC5" s="29" t="s">
        <v>48</v>
      </c>
      <c r="AD5" s="29" t="s">
        <v>49</v>
      </c>
      <c r="AE5" s="29" t="s">
        <v>43</v>
      </c>
      <c r="AF5" s="29"/>
      <c r="AG5" s="29" t="s">
        <v>50</v>
      </c>
      <c r="AH5" s="29" t="s">
        <v>49</v>
      </c>
      <c r="AI5" s="29" t="s">
        <v>51</v>
      </c>
      <c r="AJ5" s="977"/>
      <c r="AK5" s="977"/>
      <c r="AL5" s="980"/>
      <c r="AM5" s="21" t="s">
        <v>52</v>
      </c>
      <c r="AN5" s="20" t="s">
        <v>53</v>
      </c>
      <c r="AO5" s="20" t="s">
        <v>54</v>
      </c>
      <c r="AP5" s="21" t="s">
        <v>55</v>
      </c>
      <c r="AQ5" s="32"/>
      <c r="AR5" s="33" t="s">
        <v>56</v>
      </c>
      <c r="AS5" s="33" t="s">
        <v>51</v>
      </c>
      <c r="AT5" s="33" t="s">
        <v>57</v>
      </c>
      <c r="AU5" s="33" t="s">
        <v>43</v>
      </c>
      <c r="AV5" s="33"/>
      <c r="AW5" s="33"/>
      <c r="AX5" s="33" t="s">
        <v>51</v>
      </c>
      <c r="AY5" s="33" t="s">
        <v>58</v>
      </c>
      <c r="AZ5" s="33" t="s">
        <v>57</v>
      </c>
      <c r="BA5" s="33" t="s">
        <v>59</v>
      </c>
      <c r="BB5" s="33" t="s">
        <v>43</v>
      </c>
      <c r="BC5" s="33" t="s">
        <v>60</v>
      </c>
      <c r="BG5" s="34" t="s">
        <v>61</v>
      </c>
      <c r="BH5" s="34" t="s">
        <v>62</v>
      </c>
      <c r="BI5" s="22" t="s">
        <v>63</v>
      </c>
      <c r="BK5" s="34" t="s">
        <v>61</v>
      </c>
      <c r="BL5" s="22" t="s">
        <v>62</v>
      </c>
      <c r="BM5" s="22" t="s">
        <v>63</v>
      </c>
      <c r="BO5" s="35" t="s">
        <v>64</v>
      </c>
      <c r="BP5" s="33" t="s">
        <v>65</v>
      </c>
      <c r="BQ5" s="33" t="s">
        <v>66</v>
      </c>
      <c r="BS5" s="972"/>
      <c r="BT5" s="972"/>
      <c r="BU5" s="972"/>
      <c r="BV5" s="972"/>
      <c r="BW5" s="972"/>
      <c r="BX5" s="972"/>
      <c r="BY5" s="972"/>
      <c r="BZ5" s="972"/>
      <c r="CA5" s="972"/>
      <c r="CB5" s="972"/>
      <c r="CC5" s="972"/>
      <c r="CD5" s="972"/>
      <c r="CF5" s="36" t="s">
        <v>62</v>
      </c>
      <c r="CG5" s="36" t="s">
        <v>67</v>
      </c>
      <c r="CH5" s="37" t="s">
        <v>68</v>
      </c>
      <c r="CI5" s="23" t="s">
        <v>69</v>
      </c>
      <c r="CJ5" s="23" t="s">
        <v>70</v>
      </c>
      <c r="CK5" s="37" t="s">
        <v>71</v>
      </c>
      <c r="CM5" s="38" t="s">
        <v>36</v>
      </c>
      <c r="CN5" s="39" t="s">
        <v>62</v>
      </c>
      <c r="CO5" s="39" t="s">
        <v>72</v>
      </c>
      <c r="CP5" s="39" t="s">
        <v>73</v>
      </c>
      <c r="CQ5" s="40" t="s">
        <v>74</v>
      </c>
      <c r="CR5" s="25" t="s">
        <v>75</v>
      </c>
      <c r="CS5" s="25" t="s">
        <v>76</v>
      </c>
      <c r="CT5" s="41" t="s">
        <v>77</v>
      </c>
      <c r="CU5" s="40" t="s">
        <v>78</v>
      </c>
      <c r="CV5" s="987" t="s">
        <v>79</v>
      </c>
      <c r="CW5" s="987" t="s">
        <v>80</v>
      </c>
      <c r="CX5" s="42" t="s">
        <v>81</v>
      </c>
      <c r="CY5" s="42" t="s">
        <v>82</v>
      </c>
      <c r="CZ5" s="43" t="s">
        <v>83</v>
      </c>
      <c r="DA5" s="987"/>
      <c r="DB5" s="989"/>
      <c r="DC5" s="44" t="s">
        <v>84</v>
      </c>
      <c r="DD5" s="40" t="s">
        <v>85</v>
      </c>
      <c r="DE5" s="45" t="s">
        <v>86</v>
      </c>
      <c r="DF5" s="40" t="s">
        <v>87</v>
      </c>
      <c r="DH5" s="3" t="s">
        <v>88</v>
      </c>
      <c r="DK5" s="3" t="s">
        <v>89</v>
      </c>
      <c r="DL5" s="3" t="s">
        <v>57</v>
      </c>
      <c r="DS5" s="3" t="s">
        <v>90</v>
      </c>
      <c r="DT5" s="3" t="s">
        <v>91</v>
      </c>
      <c r="DW5" s="3" t="s">
        <v>92</v>
      </c>
      <c r="DX5" s="3" t="s">
        <v>93</v>
      </c>
      <c r="DY5" s="3" t="s">
        <v>94</v>
      </c>
      <c r="EG5" s="3" t="s">
        <v>95</v>
      </c>
      <c r="EI5" s="20" t="s">
        <v>96</v>
      </c>
      <c r="EJ5" s="20" t="s">
        <v>97</v>
      </c>
      <c r="EL5" s="32" t="s">
        <v>98</v>
      </c>
      <c r="EM5" s="3" t="s">
        <v>99</v>
      </c>
      <c r="EN5" s="3" t="s">
        <v>51</v>
      </c>
      <c r="EO5" s="3" t="s">
        <v>100</v>
      </c>
      <c r="EP5" s="3" t="s">
        <v>60</v>
      </c>
      <c r="ET5" s="3" t="s">
        <v>101</v>
      </c>
      <c r="EW5" s="3" t="s">
        <v>102</v>
      </c>
      <c r="FB5" s="3" t="s">
        <v>103</v>
      </c>
      <c r="FC5" s="3" t="s">
        <v>104</v>
      </c>
      <c r="FE5" s="3" t="s">
        <v>105</v>
      </c>
    </row>
    <row r="6" spans="1:161" ht="6" customHeight="1" thickBot="1" x14ac:dyDescent="0.25">
      <c r="B6" s="4"/>
      <c r="C6" s="4"/>
      <c r="D6" s="4"/>
      <c r="E6" s="4"/>
      <c r="L6" s="46"/>
      <c r="N6" s="47"/>
      <c r="O6" s="47"/>
      <c r="AR6" s="33"/>
      <c r="AS6" s="33"/>
      <c r="AT6" s="33"/>
      <c r="AU6" s="33"/>
      <c r="AV6" s="33"/>
      <c r="AW6" s="33"/>
      <c r="AX6" s="33"/>
      <c r="AY6" s="33"/>
      <c r="AZ6" s="33"/>
      <c r="BA6" s="33"/>
      <c r="BB6" s="33"/>
      <c r="BC6" s="33"/>
      <c r="BI6" s="5"/>
      <c r="CF6" s="48"/>
      <c r="CG6" s="48"/>
      <c r="CH6" s="49"/>
      <c r="CI6" s="48"/>
      <c r="CJ6" s="48"/>
      <c r="CK6" s="49"/>
      <c r="CT6" s="50"/>
      <c r="CU6" s="26"/>
      <c r="CV6" s="987"/>
      <c r="CW6" s="987"/>
      <c r="CX6" s="51"/>
      <c r="CY6" s="51"/>
      <c r="DC6" s="33"/>
    </row>
    <row r="7" spans="1:161" ht="12.75" hidden="1" customHeight="1" x14ac:dyDescent="0.2">
      <c r="B7" s="52">
        <v>1986</v>
      </c>
      <c r="C7" s="53">
        <v>36523.343017812847</v>
      </c>
      <c r="D7" s="53"/>
      <c r="E7" s="53"/>
      <c r="F7" s="47"/>
      <c r="G7" s="54">
        <v>166</v>
      </c>
      <c r="H7" s="54">
        <v>331</v>
      </c>
      <c r="I7" s="54">
        <v>939</v>
      </c>
      <c r="J7" s="54">
        <v>1436</v>
      </c>
      <c r="K7" s="47"/>
      <c r="L7" s="55">
        <f t="shared" ref="L7:L12" si="1">C7+J7</f>
        <v>37959.343017812847</v>
      </c>
      <c r="M7" s="47"/>
      <c r="N7" s="47"/>
      <c r="O7" s="47"/>
      <c r="P7" s="56">
        <v>2137.5</v>
      </c>
      <c r="Q7" s="47"/>
      <c r="R7" s="54">
        <v>0</v>
      </c>
      <c r="S7" s="54">
        <v>3038</v>
      </c>
      <c r="T7" s="54">
        <f t="shared" ref="T7:T13" si="2">SUM(R7:S7)</f>
        <v>3038</v>
      </c>
      <c r="U7" s="47"/>
      <c r="V7" s="56">
        <f t="shared" ref="V7:V45" si="3">SUM(P7,C7)</f>
        <v>38660.843017812847</v>
      </c>
      <c r="W7" s="47"/>
      <c r="X7" s="54">
        <v>166</v>
      </c>
      <c r="Y7" s="54">
        <v>331</v>
      </c>
      <c r="Z7" s="54">
        <v>3977</v>
      </c>
      <c r="AA7" s="54">
        <f t="shared" ref="AA7:AA46" si="4">SUM(X7:Z7)</f>
        <v>4474</v>
      </c>
      <c r="AB7" s="47"/>
      <c r="AC7" s="54">
        <v>3259</v>
      </c>
      <c r="AD7" s="54">
        <v>1933</v>
      </c>
      <c r="AE7" s="54">
        <f t="shared" ref="AE7:AE13" si="5">SUM(AC7:AD7)</f>
        <v>5192</v>
      </c>
      <c r="AF7" s="47"/>
      <c r="AG7" s="47"/>
      <c r="AH7" s="47"/>
      <c r="AI7" s="47"/>
      <c r="AJ7" s="56">
        <f t="shared" ref="AJ7:AJ12" si="6">SUM(V7,AA7,AE7,SUM(AG7:AI7))</f>
        <v>48326.843017812847</v>
      </c>
      <c r="AK7" s="57">
        <f t="shared" ref="AK7:AK24" si="7">ROUND(AJ7/(1-BC$53)-AJ7,-2)</f>
        <v>2300</v>
      </c>
      <c r="AL7" s="56">
        <f t="shared" ref="AL7:AL12" si="8">SUM(AJ7:AK7)</f>
        <v>50626.843017812847</v>
      </c>
      <c r="AN7" s="58">
        <v>9665.2107544532118</v>
      </c>
      <c r="AO7" s="59"/>
      <c r="AP7" s="60"/>
      <c r="AQ7" s="59"/>
      <c r="AR7" s="61"/>
      <c r="AS7" s="61"/>
      <c r="AT7" s="33"/>
      <c r="AU7" s="61"/>
      <c r="AV7" s="61"/>
      <c r="AW7" s="61"/>
      <c r="AX7" s="61"/>
      <c r="AY7" s="61"/>
      <c r="AZ7" s="61"/>
      <c r="BA7" s="61"/>
      <c r="BB7" s="62"/>
      <c r="BC7" s="33"/>
      <c r="BI7" s="5"/>
      <c r="BS7" s="63">
        <f t="shared" ref="BS7:BS12" si="9">AC7</f>
        <v>3259</v>
      </c>
      <c r="BT7" s="63">
        <f t="shared" ref="BT7:BT46" si="10">Z7</f>
        <v>3977</v>
      </c>
      <c r="BU7" s="63">
        <f t="shared" ref="BU7:BU46" si="11">X7</f>
        <v>166</v>
      </c>
      <c r="BV7" s="63">
        <f t="shared" ref="BV7:BV46" si="12">AD7</f>
        <v>1933</v>
      </c>
      <c r="BW7" s="63">
        <f t="shared" ref="BW7:BW46" si="13">Y7</f>
        <v>331</v>
      </c>
      <c r="BX7" s="63">
        <f t="shared" ref="BX7:BX13" si="14">SUM(BS7:BW7)</f>
        <v>9666</v>
      </c>
      <c r="BY7" s="63">
        <f t="shared" ref="BY7:BY46" si="15">AJ7</f>
        <v>48326.843017812847</v>
      </c>
      <c r="BZ7" s="64">
        <f t="shared" ref="BZ7:BZ12" si="16">BX7/BY7</f>
        <v>0.20001306512898429</v>
      </c>
      <c r="CA7" s="64">
        <f t="shared" ref="CA7:CA12" si="17">SUM(BV7,BS7)/BX7</f>
        <v>0.53714049244775497</v>
      </c>
      <c r="CB7" s="64">
        <f t="shared" ref="CB7:CB12" si="18">SUM(BT7:BU7,BW7)/BX7</f>
        <v>0.46285950755224498</v>
      </c>
      <c r="CC7" s="64">
        <f t="shared" ref="CC7:CC46" si="19">AK7/(BX7+AK7)</f>
        <v>0.19221126525154605</v>
      </c>
      <c r="CF7" s="48"/>
      <c r="CG7" s="48"/>
      <c r="CH7" s="49"/>
      <c r="CI7" s="48"/>
      <c r="CJ7" s="48"/>
      <c r="CK7" s="49"/>
      <c r="CT7" s="50"/>
      <c r="CU7" s="26"/>
      <c r="CV7" s="26"/>
      <c r="CW7" s="26"/>
      <c r="CX7" s="65"/>
      <c r="CY7" s="65"/>
      <c r="CZ7" s="26"/>
      <c r="DA7" s="26"/>
      <c r="DB7" s="26"/>
      <c r="DC7" s="26"/>
      <c r="DD7" s="26"/>
      <c r="DE7" s="26"/>
      <c r="DF7" s="26"/>
      <c r="DH7" s="66">
        <f t="shared" ref="DH7:DH39" si="20">P7/V7</f>
        <v>5.5288499503623197E-2</v>
      </c>
      <c r="EL7" s="67">
        <f t="shared" ref="EL7:EL12" si="21">V7/1000</f>
        <v>38.660843017812844</v>
      </c>
      <c r="EM7" s="67"/>
      <c r="EN7" s="67">
        <f t="shared" ref="EN7:EN39" si="22">Z7/1000</f>
        <v>3.9769999999999999</v>
      </c>
      <c r="EO7" s="67">
        <f t="shared" ref="EO7:EO39" si="23">SUM(X7:Y7,AE7)/1000</f>
        <v>5.6890000000000001</v>
      </c>
      <c r="EP7" s="67">
        <f t="shared" ref="EP7:EP39" si="24">AK7/1000</f>
        <v>2.2999999999999998</v>
      </c>
      <c r="ET7" s="66">
        <f t="shared" ref="ET7:ET39" si="25">J7/L7</f>
        <v>3.7829948725038282E-2</v>
      </c>
      <c r="EW7" s="14">
        <f>BX7-BT7</f>
        <v>5689</v>
      </c>
      <c r="FE7" s="14">
        <f t="shared" ref="FE7:FE39" si="26">ROUND(L7,-3)</f>
        <v>38000</v>
      </c>
    </row>
    <row r="8" spans="1:161" ht="12.75" hidden="1" customHeight="1" x14ac:dyDescent="0.2">
      <c r="B8" s="52">
        <v>1987</v>
      </c>
      <c r="C8" s="53">
        <v>19539.879048015755</v>
      </c>
      <c r="D8" s="53"/>
      <c r="E8" s="53"/>
      <c r="F8" s="47"/>
      <c r="G8" s="54">
        <v>92</v>
      </c>
      <c r="H8" s="54">
        <v>184</v>
      </c>
      <c r="I8" s="54">
        <v>521</v>
      </c>
      <c r="J8" s="54">
        <v>797</v>
      </c>
      <c r="K8" s="47"/>
      <c r="L8" s="55">
        <f t="shared" si="1"/>
        <v>20336.879048015755</v>
      </c>
      <c r="M8" s="47"/>
      <c r="N8" s="47"/>
      <c r="O8" s="47"/>
      <c r="P8" s="56">
        <v>1930.4060531632531</v>
      </c>
      <c r="Q8" s="47"/>
      <c r="R8" s="54">
        <v>0</v>
      </c>
      <c r="S8" s="54">
        <v>1687</v>
      </c>
      <c r="T8" s="54">
        <f t="shared" si="2"/>
        <v>1687</v>
      </c>
      <c r="U8" s="47"/>
      <c r="V8" s="56">
        <f t="shared" si="3"/>
        <v>21470.285101179008</v>
      </c>
      <c r="W8" s="47"/>
      <c r="X8" s="54">
        <v>92</v>
      </c>
      <c r="Y8" s="54">
        <v>184</v>
      </c>
      <c r="Z8" s="54">
        <v>2208</v>
      </c>
      <c r="AA8" s="54">
        <f t="shared" si="4"/>
        <v>2484</v>
      </c>
      <c r="AB8" s="47"/>
      <c r="AC8" s="54">
        <v>1810</v>
      </c>
      <c r="AD8" s="54">
        <v>1074</v>
      </c>
      <c r="AE8" s="54">
        <f t="shared" si="5"/>
        <v>2884</v>
      </c>
      <c r="AF8" s="47"/>
      <c r="AG8" s="47"/>
      <c r="AH8" s="47"/>
      <c r="AI8" s="47"/>
      <c r="AJ8" s="56">
        <f t="shared" si="6"/>
        <v>26838.285101179008</v>
      </c>
      <c r="AK8" s="47">
        <f t="shared" si="7"/>
        <v>1300</v>
      </c>
      <c r="AL8" s="56">
        <f t="shared" si="8"/>
        <v>28138.285101179008</v>
      </c>
      <c r="AN8" s="68">
        <v>5367.5712752947511</v>
      </c>
      <c r="AO8" s="59"/>
      <c r="AP8" s="60"/>
      <c r="AQ8" s="59"/>
      <c r="AR8" s="61"/>
      <c r="AS8" s="61"/>
      <c r="AT8" s="33"/>
      <c r="AU8" s="61"/>
      <c r="AV8" s="61"/>
      <c r="AW8" s="61"/>
      <c r="AX8" s="61"/>
      <c r="AY8" s="61"/>
      <c r="AZ8" s="61"/>
      <c r="BA8" s="61"/>
      <c r="BB8" s="62"/>
      <c r="BC8" s="33"/>
      <c r="BI8" s="5"/>
      <c r="BS8" s="63">
        <f t="shared" si="9"/>
        <v>1810</v>
      </c>
      <c r="BT8" s="63">
        <f t="shared" si="10"/>
        <v>2208</v>
      </c>
      <c r="BU8" s="63">
        <f t="shared" si="11"/>
        <v>92</v>
      </c>
      <c r="BV8" s="63">
        <f t="shared" si="12"/>
        <v>1074</v>
      </c>
      <c r="BW8" s="63">
        <f t="shared" si="13"/>
        <v>184</v>
      </c>
      <c r="BX8" s="63">
        <f t="shared" si="14"/>
        <v>5368</v>
      </c>
      <c r="BY8" s="63">
        <f t="shared" si="15"/>
        <v>26838.285101179008</v>
      </c>
      <c r="BZ8" s="64">
        <f t="shared" si="16"/>
        <v>0.20001277949626459</v>
      </c>
      <c r="CA8" s="64">
        <f t="shared" si="17"/>
        <v>0.53725782414307</v>
      </c>
      <c r="CB8" s="64">
        <f t="shared" si="18"/>
        <v>0.46274217585692995</v>
      </c>
      <c r="CC8" s="64">
        <f t="shared" si="19"/>
        <v>0.19496100779844031</v>
      </c>
      <c r="CF8" s="48"/>
      <c r="CG8" s="48"/>
      <c r="CH8" s="49"/>
      <c r="CI8" s="48"/>
      <c r="CJ8" s="48"/>
      <c r="CK8" s="49"/>
      <c r="CT8" s="50"/>
      <c r="CU8" s="26"/>
      <c r="CV8" s="26"/>
      <c r="CW8" s="26"/>
      <c r="CX8" s="65"/>
      <c r="CY8" s="65"/>
      <c r="CZ8" s="26"/>
      <c r="DA8" s="26"/>
      <c r="DB8" s="26"/>
      <c r="DC8" s="26"/>
      <c r="DD8" s="26"/>
      <c r="DE8" s="26"/>
      <c r="DF8" s="26"/>
      <c r="DH8" s="66">
        <f t="shared" si="20"/>
        <v>8.991059243350466E-2</v>
      </c>
      <c r="EL8" s="67">
        <f t="shared" si="21"/>
        <v>21.470285101179009</v>
      </c>
      <c r="EM8" s="67"/>
      <c r="EN8" s="67">
        <f t="shared" si="22"/>
        <v>2.2080000000000002</v>
      </c>
      <c r="EO8" s="67">
        <f t="shared" si="23"/>
        <v>3.16</v>
      </c>
      <c r="EP8" s="67">
        <f t="shared" si="24"/>
        <v>1.3</v>
      </c>
      <c r="ET8" s="66">
        <f t="shared" si="25"/>
        <v>3.9189887402008343E-2</v>
      </c>
      <c r="EW8" s="14">
        <f t="shared" ref="EW8:EW47" si="27">BX8-BT8</f>
        <v>3160</v>
      </c>
      <c r="FE8" s="14">
        <f t="shared" si="26"/>
        <v>20000</v>
      </c>
    </row>
    <row r="9" spans="1:161" ht="12.75" hidden="1" customHeight="1" x14ac:dyDescent="0.2">
      <c r="B9" s="52">
        <v>1988</v>
      </c>
      <c r="C9" s="53">
        <v>15345.106912202675</v>
      </c>
      <c r="D9" s="53"/>
      <c r="E9" s="53"/>
      <c r="F9" s="47"/>
      <c r="G9" s="54">
        <v>72</v>
      </c>
      <c r="H9" s="54">
        <v>144</v>
      </c>
      <c r="I9" s="54">
        <v>409</v>
      </c>
      <c r="J9" s="54">
        <v>625</v>
      </c>
      <c r="K9" s="47"/>
      <c r="L9" s="55">
        <f t="shared" si="1"/>
        <v>15970.106912202675</v>
      </c>
      <c r="M9" s="47"/>
      <c r="N9" s="47"/>
      <c r="O9" s="47"/>
      <c r="P9" s="56">
        <v>1503.1850413976154</v>
      </c>
      <c r="Q9" s="47"/>
      <c r="R9" s="54">
        <v>0</v>
      </c>
      <c r="S9" s="54">
        <v>1324</v>
      </c>
      <c r="T9" s="54">
        <f t="shared" si="2"/>
        <v>1324</v>
      </c>
      <c r="U9" s="47"/>
      <c r="V9" s="56">
        <f t="shared" si="3"/>
        <v>16848.291953600288</v>
      </c>
      <c r="W9" s="47"/>
      <c r="X9" s="54">
        <v>72</v>
      </c>
      <c r="Y9" s="54">
        <v>144</v>
      </c>
      <c r="Z9" s="54">
        <v>1733</v>
      </c>
      <c r="AA9" s="54">
        <f t="shared" si="4"/>
        <v>1949</v>
      </c>
      <c r="AB9" s="47"/>
      <c r="AC9" s="54">
        <v>1420</v>
      </c>
      <c r="AD9" s="54">
        <v>842</v>
      </c>
      <c r="AE9" s="54">
        <f t="shared" si="5"/>
        <v>2262</v>
      </c>
      <c r="AF9" s="47"/>
      <c r="AG9" s="47"/>
      <c r="AH9" s="47"/>
      <c r="AI9" s="47"/>
      <c r="AJ9" s="56">
        <f t="shared" si="6"/>
        <v>21059.291953600288</v>
      </c>
      <c r="AK9" s="47">
        <f t="shared" si="7"/>
        <v>1000</v>
      </c>
      <c r="AL9" s="56">
        <f t="shared" si="8"/>
        <v>22059.291953600288</v>
      </c>
      <c r="AN9" s="68">
        <v>4212.0729884000721</v>
      </c>
      <c r="AO9" s="59"/>
      <c r="AP9" s="60"/>
      <c r="AQ9" s="59"/>
      <c r="AR9" s="61"/>
      <c r="AS9" s="61"/>
      <c r="AT9" s="33"/>
      <c r="AU9" s="61"/>
      <c r="AV9" s="61"/>
      <c r="AW9" s="61"/>
      <c r="AX9" s="61"/>
      <c r="AY9" s="61"/>
      <c r="AZ9" s="61"/>
      <c r="BA9" s="61"/>
      <c r="BB9" s="62"/>
      <c r="BC9" s="33"/>
      <c r="BI9" s="5"/>
      <c r="BS9" s="63">
        <f t="shared" si="9"/>
        <v>1420</v>
      </c>
      <c r="BT9" s="63">
        <f t="shared" si="10"/>
        <v>1733</v>
      </c>
      <c r="BU9" s="63">
        <f t="shared" si="11"/>
        <v>72</v>
      </c>
      <c r="BV9" s="63">
        <f t="shared" si="12"/>
        <v>842</v>
      </c>
      <c r="BW9" s="63">
        <f t="shared" si="13"/>
        <v>144</v>
      </c>
      <c r="BX9" s="63">
        <f t="shared" si="14"/>
        <v>4211</v>
      </c>
      <c r="BY9" s="63">
        <f t="shared" si="15"/>
        <v>21059.291953600288</v>
      </c>
      <c r="BZ9" s="64">
        <f t="shared" si="16"/>
        <v>0.19995923933615864</v>
      </c>
      <c r="CA9" s="64">
        <f t="shared" si="17"/>
        <v>0.53716456898598908</v>
      </c>
      <c r="CB9" s="64">
        <f t="shared" si="18"/>
        <v>0.46283543101401092</v>
      </c>
      <c r="CC9" s="64">
        <f t="shared" si="19"/>
        <v>0.19190174630589138</v>
      </c>
      <c r="CF9" s="48"/>
      <c r="CG9" s="48"/>
      <c r="CH9" s="49"/>
      <c r="CI9" s="48"/>
      <c r="CJ9" s="48"/>
      <c r="CK9" s="49"/>
      <c r="CT9" s="50"/>
      <c r="CU9" s="26"/>
      <c r="CV9" s="26"/>
      <c r="CW9" s="26"/>
      <c r="CX9" s="65"/>
      <c r="CY9" s="65"/>
      <c r="CZ9" s="26"/>
      <c r="DA9" s="26"/>
      <c r="DB9" s="26"/>
      <c r="DC9" s="26"/>
      <c r="DD9" s="26"/>
      <c r="DE9" s="26"/>
      <c r="DF9" s="26"/>
      <c r="DH9" s="66">
        <f t="shared" si="20"/>
        <v>8.9218838653635849E-2</v>
      </c>
      <c r="EL9" s="67">
        <f t="shared" si="21"/>
        <v>16.848291953600288</v>
      </c>
      <c r="EM9" s="67"/>
      <c r="EN9" s="67">
        <f t="shared" si="22"/>
        <v>1.7330000000000001</v>
      </c>
      <c r="EO9" s="67">
        <f t="shared" si="23"/>
        <v>2.4780000000000002</v>
      </c>
      <c r="EP9" s="67">
        <f t="shared" si="24"/>
        <v>1</v>
      </c>
      <c r="ET9" s="66">
        <f t="shared" si="25"/>
        <v>3.9135617778641218E-2</v>
      </c>
      <c r="EW9" s="14">
        <f t="shared" si="27"/>
        <v>2478</v>
      </c>
      <c r="FE9" s="14">
        <f t="shared" si="26"/>
        <v>16000</v>
      </c>
    </row>
    <row r="10" spans="1:161" ht="12.75" hidden="1" customHeight="1" x14ac:dyDescent="0.2">
      <c r="B10" s="52">
        <v>1989</v>
      </c>
      <c r="C10" s="53">
        <v>28133.120913134495</v>
      </c>
      <c r="D10" s="53"/>
      <c r="E10" s="53"/>
      <c r="F10" s="47"/>
      <c r="G10" s="54">
        <v>125</v>
      </c>
      <c r="H10" s="54">
        <v>250</v>
      </c>
      <c r="I10" s="54">
        <v>709</v>
      </c>
      <c r="J10" s="54">
        <v>1084</v>
      </c>
      <c r="K10" s="47"/>
      <c r="L10" s="55">
        <f t="shared" si="1"/>
        <v>29217.120913134495</v>
      </c>
      <c r="M10" s="47"/>
      <c r="N10" s="47"/>
      <c r="O10" s="47"/>
      <c r="P10" s="56">
        <v>1068.0525294140948</v>
      </c>
      <c r="Q10" s="47"/>
      <c r="R10" s="54">
        <v>0</v>
      </c>
      <c r="S10" s="54">
        <v>2295</v>
      </c>
      <c r="T10" s="54">
        <f t="shared" si="2"/>
        <v>2295</v>
      </c>
      <c r="U10" s="47"/>
      <c r="V10" s="56">
        <f t="shared" si="3"/>
        <v>29201.173442548588</v>
      </c>
      <c r="W10" s="47"/>
      <c r="X10" s="54">
        <v>125</v>
      </c>
      <c r="Y10" s="54">
        <v>250</v>
      </c>
      <c r="Z10" s="54">
        <v>3004</v>
      </c>
      <c r="AA10" s="54">
        <f t="shared" si="4"/>
        <v>3379</v>
      </c>
      <c r="AB10" s="47"/>
      <c r="AC10" s="54">
        <v>2461</v>
      </c>
      <c r="AD10" s="54">
        <v>1460</v>
      </c>
      <c r="AE10" s="54">
        <f t="shared" si="5"/>
        <v>3921</v>
      </c>
      <c r="AF10" s="47"/>
      <c r="AG10" s="47"/>
      <c r="AH10" s="47"/>
      <c r="AI10" s="47"/>
      <c r="AJ10" s="56">
        <f t="shared" si="6"/>
        <v>36501.173442548592</v>
      </c>
      <c r="AK10" s="47">
        <f t="shared" si="7"/>
        <v>1700</v>
      </c>
      <c r="AL10" s="56">
        <f t="shared" si="8"/>
        <v>38201.173442548592</v>
      </c>
      <c r="AN10" s="68">
        <v>7300.293360637148</v>
      </c>
      <c r="AO10" s="69"/>
      <c r="AP10" s="60"/>
      <c r="AQ10" s="59"/>
      <c r="AR10" s="61"/>
      <c r="AS10" s="61"/>
      <c r="AT10" s="33"/>
      <c r="AU10" s="61"/>
      <c r="AV10" s="61"/>
      <c r="AW10" s="61"/>
      <c r="AX10" s="61"/>
      <c r="AY10" s="61"/>
      <c r="AZ10" s="61"/>
      <c r="BA10" s="61"/>
      <c r="BB10" s="62"/>
      <c r="BC10" s="33"/>
      <c r="BI10" s="5"/>
      <c r="BS10" s="63">
        <f t="shared" si="9"/>
        <v>2461</v>
      </c>
      <c r="BT10" s="63">
        <f t="shared" si="10"/>
        <v>3004</v>
      </c>
      <c r="BU10" s="63">
        <f t="shared" si="11"/>
        <v>125</v>
      </c>
      <c r="BV10" s="63">
        <f t="shared" si="12"/>
        <v>1460</v>
      </c>
      <c r="BW10" s="63">
        <f t="shared" si="13"/>
        <v>250</v>
      </c>
      <c r="BX10" s="63">
        <f t="shared" si="14"/>
        <v>7300</v>
      </c>
      <c r="BY10" s="63">
        <f t="shared" si="15"/>
        <v>36501.173442548592</v>
      </c>
      <c r="BZ10" s="64">
        <f t="shared" si="16"/>
        <v>0.19999357038452237</v>
      </c>
      <c r="CA10" s="64">
        <f t="shared" si="17"/>
        <v>0.53712328767123285</v>
      </c>
      <c r="CB10" s="64">
        <f t="shared" si="18"/>
        <v>0.46287671232876715</v>
      </c>
      <c r="CC10" s="64">
        <f t="shared" si="19"/>
        <v>0.18888888888888888</v>
      </c>
      <c r="CF10" s="48"/>
      <c r="CG10" s="48"/>
      <c r="CH10" s="49"/>
      <c r="CI10" s="48"/>
      <c r="CJ10" s="48"/>
      <c r="CK10" s="49"/>
      <c r="CT10" s="50"/>
      <c r="CU10" s="26"/>
      <c r="CV10" s="26"/>
      <c r="CW10" s="26"/>
      <c r="CX10" s="65"/>
      <c r="CY10" s="65"/>
      <c r="CZ10" s="26"/>
      <c r="DA10" s="26"/>
      <c r="DB10" s="26"/>
      <c r="DC10" s="26"/>
      <c r="DD10" s="26"/>
      <c r="DE10" s="26"/>
      <c r="DF10" s="26"/>
      <c r="DH10" s="66">
        <f t="shared" si="20"/>
        <v>3.6575671574137894E-2</v>
      </c>
      <c r="EL10" s="67">
        <f t="shared" si="21"/>
        <v>29.201173442548587</v>
      </c>
      <c r="EM10" s="67"/>
      <c r="EN10" s="67">
        <f t="shared" si="22"/>
        <v>3.004</v>
      </c>
      <c r="EO10" s="67">
        <f t="shared" si="23"/>
        <v>4.2960000000000003</v>
      </c>
      <c r="EP10" s="67">
        <f t="shared" si="24"/>
        <v>1.7</v>
      </c>
      <c r="ET10" s="66">
        <f t="shared" si="25"/>
        <v>3.7101533830894685E-2</v>
      </c>
      <c r="EW10" s="14">
        <f t="shared" si="27"/>
        <v>4296</v>
      </c>
      <c r="FE10" s="14">
        <f t="shared" si="26"/>
        <v>29000</v>
      </c>
    </row>
    <row r="11" spans="1:161" ht="12.75" hidden="1" customHeight="1" x14ac:dyDescent="0.2">
      <c r="B11" s="52">
        <v>1990</v>
      </c>
      <c r="C11" s="53">
        <v>24051.46014449577</v>
      </c>
      <c r="D11" s="53"/>
      <c r="E11" s="53"/>
      <c r="F11" s="47"/>
      <c r="G11" s="54">
        <v>114</v>
      </c>
      <c r="H11" s="54">
        <v>227</v>
      </c>
      <c r="I11" s="54">
        <v>644</v>
      </c>
      <c r="J11" s="54">
        <v>985</v>
      </c>
      <c r="K11" s="47"/>
      <c r="L11" s="55">
        <f t="shared" si="1"/>
        <v>25036.46014449577</v>
      </c>
      <c r="M11" s="47"/>
      <c r="N11" s="47"/>
      <c r="O11" s="47"/>
      <c r="P11" s="56">
        <v>2460</v>
      </c>
      <c r="Q11" s="47"/>
      <c r="R11" s="54">
        <v>0</v>
      </c>
      <c r="S11" s="54">
        <v>2083</v>
      </c>
      <c r="T11" s="54">
        <f t="shared" si="2"/>
        <v>2083</v>
      </c>
      <c r="U11" s="47"/>
      <c r="V11" s="56">
        <f t="shared" si="3"/>
        <v>26511.46014449577</v>
      </c>
      <c r="W11" s="47"/>
      <c r="X11" s="54">
        <v>114</v>
      </c>
      <c r="Y11" s="54">
        <v>227</v>
      </c>
      <c r="Z11" s="54">
        <v>2727</v>
      </c>
      <c r="AA11" s="54">
        <f t="shared" si="4"/>
        <v>3068</v>
      </c>
      <c r="AB11" s="47"/>
      <c r="AC11" s="54">
        <v>2235</v>
      </c>
      <c r="AD11" s="54">
        <v>1326</v>
      </c>
      <c r="AE11" s="54">
        <f t="shared" si="5"/>
        <v>3561</v>
      </c>
      <c r="AF11" s="47"/>
      <c r="AG11" s="47"/>
      <c r="AH11" s="47"/>
      <c r="AI11" s="47"/>
      <c r="AJ11" s="56">
        <f t="shared" si="6"/>
        <v>33140.460144495766</v>
      </c>
      <c r="AK11" s="47">
        <f t="shared" si="7"/>
        <v>1600</v>
      </c>
      <c r="AL11" s="56">
        <f t="shared" si="8"/>
        <v>34740.460144495766</v>
      </c>
      <c r="AN11" s="68">
        <v>6627.8650361239379</v>
      </c>
      <c r="AO11" s="69"/>
      <c r="AP11" s="60"/>
      <c r="AQ11" s="59"/>
      <c r="AR11" s="61"/>
      <c r="AS11" s="61"/>
      <c r="AT11" s="33"/>
      <c r="AU11" s="61"/>
      <c r="AV11" s="61"/>
      <c r="AW11" s="61"/>
      <c r="AX11" s="61"/>
      <c r="AY11" s="61"/>
      <c r="AZ11" s="61"/>
      <c r="BA11" s="61"/>
      <c r="BB11" s="62"/>
      <c r="BC11" s="33"/>
      <c r="BI11" s="5"/>
      <c r="BS11" s="63">
        <f t="shared" si="9"/>
        <v>2235</v>
      </c>
      <c r="BT11" s="63">
        <f t="shared" si="10"/>
        <v>2727</v>
      </c>
      <c r="BU11" s="63">
        <f t="shared" si="11"/>
        <v>114</v>
      </c>
      <c r="BV11" s="63">
        <f t="shared" si="12"/>
        <v>1326</v>
      </c>
      <c r="BW11" s="63">
        <f t="shared" si="13"/>
        <v>227</v>
      </c>
      <c r="BX11" s="63">
        <f t="shared" si="14"/>
        <v>6629</v>
      </c>
      <c r="BY11" s="63">
        <f t="shared" si="15"/>
        <v>33140.460144495766</v>
      </c>
      <c r="BZ11" s="64">
        <f t="shared" si="16"/>
        <v>0.20002739766125419</v>
      </c>
      <c r="CA11" s="64">
        <f t="shared" si="17"/>
        <v>0.53718509579122042</v>
      </c>
      <c r="CB11" s="64">
        <f t="shared" si="18"/>
        <v>0.46281490420877963</v>
      </c>
      <c r="CC11" s="64">
        <f t="shared" si="19"/>
        <v>0.19443431765706648</v>
      </c>
      <c r="CF11" s="48"/>
      <c r="CG11" s="48"/>
      <c r="CH11" s="49"/>
      <c r="CI11" s="48"/>
      <c r="CJ11" s="48"/>
      <c r="CK11" s="49"/>
      <c r="CT11" s="50"/>
      <c r="CU11" s="26"/>
      <c r="CV11" s="26"/>
      <c r="CW11" s="26"/>
      <c r="CX11" s="65"/>
      <c r="CY11" s="65"/>
      <c r="CZ11" s="26"/>
      <c r="DA11" s="26"/>
      <c r="DB11" s="26"/>
      <c r="DC11" s="26"/>
      <c r="DD11" s="26"/>
      <c r="DE11" s="26"/>
      <c r="DF11" s="26"/>
      <c r="DH11" s="66">
        <f t="shared" si="20"/>
        <v>9.2790060848864181E-2</v>
      </c>
      <c r="EL11" s="67">
        <f t="shared" si="21"/>
        <v>26.511460144495771</v>
      </c>
      <c r="EM11" s="67"/>
      <c r="EN11" s="67">
        <f t="shared" si="22"/>
        <v>2.7269999999999999</v>
      </c>
      <c r="EO11" s="67">
        <f t="shared" si="23"/>
        <v>3.9020000000000001</v>
      </c>
      <c r="EP11" s="67">
        <f t="shared" si="24"/>
        <v>1.6</v>
      </c>
      <c r="ET11" s="66">
        <f t="shared" si="25"/>
        <v>3.9342622491964019E-2</v>
      </c>
      <c r="EW11" s="14">
        <f t="shared" si="27"/>
        <v>3902</v>
      </c>
      <c r="FE11" s="14">
        <f t="shared" si="26"/>
        <v>25000</v>
      </c>
    </row>
    <row r="12" spans="1:161" ht="12.75" hidden="1" customHeight="1" x14ac:dyDescent="0.2">
      <c r="B12" s="52">
        <v>1991</v>
      </c>
      <c r="C12" s="53">
        <v>6906.5653839090364</v>
      </c>
      <c r="D12" s="53"/>
      <c r="E12" s="53"/>
      <c r="F12" s="47"/>
      <c r="G12" s="54">
        <v>73</v>
      </c>
      <c r="H12" s="54">
        <v>146</v>
      </c>
      <c r="I12" s="54">
        <v>415</v>
      </c>
      <c r="J12" s="54">
        <v>634</v>
      </c>
      <c r="K12" s="47"/>
      <c r="L12" s="55">
        <f t="shared" si="1"/>
        <v>7540.5653839090364</v>
      </c>
      <c r="M12" s="47"/>
      <c r="N12" s="47"/>
      <c r="O12" s="47"/>
      <c r="P12" s="56">
        <v>1019.1178495328635</v>
      </c>
      <c r="Q12" s="47"/>
      <c r="R12" s="54">
        <v>0</v>
      </c>
      <c r="S12" s="54">
        <v>1341</v>
      </c>
      <c r="T12" s="54">
        <f t="shared" si="2"/>
        <v>1341</v>
      </c>
      <c r="U12" s="47"/>
      <c r="V12" s="56">
        <f t="shared" si="3"/>
        <v>7925.6832334418996</v>
      </c>
      <c r="W12" s="47"/>
      <c r="X12" s="54">
        <v>73</v>
      </c>
      <c r="Y12" s="54">
        <v>146</v>
      </c>
      <c r="Z12" s="54">
        <v>1756</v>
      </c>
      <c r="AA12" s="54">
        <f t="shared" si="4"/>
        <v>1975</v>
      </c>
      <c r="AB12" s="47"/>
      <c r="AC12" s="54">
        <v>1439</v>
      </c>
      <c r="AD12" s="54">
        <v>854</v>
      </c>
      <c r="AE12" s="54">
        <f t="shared" si="5"/>
        <v>2293</v>
      </c>
      <c r="AF12" s="47"/>
      <c r="AG12" s="47"/>
      <c r="AH12" s="47"/>
      <c r="AI12" s="47"/>
      <c r="AJ12" s="56">
        <f t="shared" si="6"/>
        <v>12193.6832334419</v>
      </c>
      <c r="AK12" s="47">
        <f t="shared" si="7"/>
        <v>600</v>
      </c>
      <c r="AL12" s="56">
        <f t="shared" si="8"/>
        <v>12793.6832334419</v>
      </c>
      <c r="AN12" s="70">
        <v>4267.6755872379454</v>
      </c>
      <c r="AO12" s="69"/>
      <c r="AP12" s="60"/>
      <c r="AQ12" s="59"/>
      <c r="AR12" s="61"/>
      <c r="AS12" s="61"/>
      <c r="AT12" s="33"/>
      <c r="AU12" s="61"/>
      <c r="AV12" s="61"/>
      <c r="AW12" s="61"/>
      <c r="AX12" s="61"/>
      <c r="AY12" s="61"/>
      <c r="AZ12" s="61"/>
      <c r="BA12" s="61"/>
      <c r="BB12" s="62"/>
      <c r="BC12" s="33"/>
      <c r="BI12" s="5"/>
      <c r="BS12" s="63">
        <f t="shared" si="9"/>
        <v>1439</v>
      </c>
      <c r="BT12" s="63">
        <f t="shared" si="10"/>
        <v>1756</v>
      </c>
      <c r="BU12" s="63">
        <f t="shared" si="11"/>
        <v>73</v>
      </c>
      <c r="BV12" s="63">
        <f t="shared" si="12"/>
        <v>854</v>
      </c>
      <c r="BW12" s="63">
        <f t="shared" si="13"/>
        <v>146</v>
      </c>
      <c r="BX12" s="63">
        <f t="shared" si="14"/>
        <v>4268</v>
      </c>
      <c r="BY12" s="63">
        <f t="shared" si="15"/>
        <v>12193.6832334419</v>
      </c>
      <c r="BZ12" s="64">
        <f t="shared" si="16"/>
        <v>0.35001729324038505</v>
      </c>
      <c r="CA12" s="64">
        <f t="shared" si="17"/>
        <v>0.53725398313027184</v>
      </c>
      <c r="CB12" s="64">
        <f t="shared" si="18"/>
        <v>0.46274601686972822</v>
      </c>
      <c r="CC12" s="64">
        <f t="shared" si="19"/>
        <v>0.12325390304026294</v>
      </c>
      <c r="CF12" s="48"/>
      <c r="CG12" s="48"/>
      <c r="CH12" s="49"/>
      <c r="CI12" s="48"/>
      <c r="CJ12" s="48"/>
      <c r="CK12" s="49"/>
      <c r="CT12" s="50"/>
      <c r="CU12" s="26"/>
      <c r="CV12" s="26"/>
      <c r="CW12" s="26"/>
      <c r="CX12" s="65"/>
      <c r="CY12" s="65"/>
      <c r="CZ12" s="26"/>
      <c r="DA12" s="26"/>
      <c r="DB12" s="26"/>
      <c r="DC12" s="26"/>
      <c r="DD12" s="26"/>
      <c r="DE12" s="26"/>
      <c r="DF12" s="26"/>
      <c r="DH12" s="66">
        <f t="shared" si="20"/>
        <v>0.12858422668632058</v>
      </c>
      <c r="EL12" s="67">
        <f t="shared" si="21"/>
        <v>7.9256832334418998</v>
      </c>
      <c r="EM12" s="67"/>
      <c r="EN12" s="67">
        <f t="shared" si="22"/>
        <v>1.756</v>
      </c>
      <c r="EO12" s="67">
        <f t="shared" si="23"/>
        <v>2.512</v>
      </c>
      <c r="EP12" s="67">
        <f t="shared" si="24"/>
        <v>0.6</v>
      </c>
      <c r="ET12" s="66">
        <f t="shared" si="25"/>
        <v>8.4078576037932826E-2</v>
      </c>
      <c r="EW12" s="14">
        <f t="shared" si="27"/>
        <v>2512</v>
      </c>
      <c r="FE12" s="14">
        <f t="shared" si="26"/>
        <v>8000</v>
      </c>
    </row>
    <row r="13" spans="1:161" ht="12.75" customHeight="1" x14ac:dyDescent="0.2">
      <c r="B13" s="4">
        <v>1992</v>
      </c>
      <c r="C13" s="71">
        <f>L13-J13</f>
        <v>16808</v>
      </c>
      <c r="D13" s="71"/>
      <c r="E13" s="71"/>
      <c r="G13" s="14">
        <f>'[1]Data-Nisgaa &amp; Other FN Catch'!BI5</f>
        <v>612</v>
      </c>
      <c r="H13" s="14">
        <v>1339</v>
      </c>
      <c r="I13" s="14">
        <f>'Data-Chin-Nisga''a'!N7</f>
        <v>1308.1727757851456</v>
      </c>
      <c r="J13" s="14">
        <f>SUM(G13:I13)</f>
        <v>3259.1727757851459</v>
      </c>
      <c r="L13" s="72">
        <f>'Bayesian Sum (10Feb26)'!K8</f>
        <v>20067.172775785148</v>
      </c>
      <c r="M13" s="73">
        <f t="shared" ref="M13:M42" si="28">H13/L13</f>
        <v>6.6725891831447115E-2</v>
      </c>
      <c r="N13" s="56">
        <f>'Data-Coastal-Chin-Esc (new)'!J20</f>
        <v>605</v>
      </c>
      <c r="O13" s="74">
        <f>P13/N13</f>
        <v>2.3333277671039006</v>
      </c>
      <c r="P13" s="14">
        <f>'Data-Coastal-Chin-Esc (new)'!AA20</f>
        <v>1411.6632990978599</v>
      </c>
      <c r="R13" s="18" t="s">
        <v>106</v>
      </c>
      <c r="S13" s="14">
        <f>'Data-Chin-Nisga''a'!P7+'Data-Chin-Nisga''a'!Q7+'Data-Chin-Nisga''a'!O7</f>
        <v>5750.8272242148541</v>
      </c>
      <c r="T13" s="14">
        <f t="shared" si="2"/>
        <v>5750.8272242148541</v>
      </c>
      <c r="U13" s="73"/>
      <c r="V13" s="14">
        <f>SUM(P13,C13)</f>
        <v>18219.663299097861</v>
      </c>
      <c r="X13" s="14">
        <f t="shared" ref="X13:X42" si="29">G13</f>
        <v>612</v>
      </c>
      <c r="Y13" s="14">
        <f t="shared" ref="Y13:Z38" si="30">SUM(H13,R13)</f>
        <v>1339</v>
      </c>
      <c r="Z13" s="14">
        <f t="shared" si="30"/>
        <v>7059</v>
      </c>
      <c r="AA13" s="14">
        <f t="shared" si="4"/>
        <v>9010</v>
      </c>
      <c r="AC13" s="14">
        <f>'A3.1b CF-tidal-Harvests (Chin)'!G7</f>
        <v>5464.5208808217485</v>
      </c>
      <c r="AD13" s="14">
        <v>3207.1457858449157</v>
      </c>
      <c r="AE13" s="14">
        <f t="shared" si="5"/>
        <v>8671.6666666666642</v>
      </c>
      <c r="AJ13" s="14">
        <f t="shared" ref="AJ13:AJ46" si="31">SUM(V13,AA13,AE13)</f>
        <v>35901.329965764526</v>
      </c>
      <c r="AK13" s="75">
        <f t="shared" si="7"/>
        <v>1700</v>
      </c>
      <c r="AL13" s="14">
        <f>SUM(AJ13:AK13)</f>
        <v>37601.329965764526</v>
      </c>
      <c r="AM13" s="14"/>
      <c r="AN13" s="14">
        <v>20870</v>
      </c>
      <c r="AO13" s="76">
        <f t="shared" ref="AO13:AO38" si="32">X13/AN13</f>
        <v>2.9324389075227598E-2</v>
      </c>
      <c r="AP13" s="60">
        <f t="shared" ref="AP13:AP44" si="33">RANK(L13,L$13:L$46,1)</f>
        <v>19</v>
      </c>
      <c r="AQ13" s="59"/>
      <c r="AR13" s="77">
        <f t="shared" ref="AR13:AR40" si="34">SUM(AE13,AA13,AK13)/AL13</f>
        <v>0.51545162589497218</v>
      </c>
      <c r="AS13" s="61">
        <f>I13/$L13</f>
        <v>6.5189690167202052E-2</v>
      </c>
      <c r="AT13" s="61">
        <f t="shared" ref="AT13:AT39" si="35">H13/$L13</f>
        <v>6.6725891831447115E-2</v>
      </c>
      <c r="AU13" s="61">
        <f t="shared" ref="AU13:AU39" si="36">J13/$L13</f>
        <v>0.16241315167814552</v>
      </c>
      <c r="AV13" s="61"/>
      <c r="AW13" s="33"/>
      <c r="AX13" s="61">
        <f t="shared" ref="AX13:AX39" si="37">Z13/$AL13</f>
        <v>0.18773272132733387</v>
      </c>
      <c r="AY13" s="61">
        <f t="shared" ref="AY13:AY46" si="38">AC13/$AL13</f>
        <v>0.14532786169524101</v>
      </c>
      <c r="AZ13" s="61">
        <f t="shared" ref="AZ13:AZ39" si="39">SUM(Y13,AD13)/$AL13</f>
        <v>0.12090385605998821</v>
      </c>
      <c r="BA13" s="61">
        <f t="shared" ref="BA13:BA39" si="40">X13/AL13</f>
        <v>1.6276020038578882E-2</v>
      </c>
      <c r="BB13" s="61">
        <f>SUM(AA13,AE13)/AL13</f>
        <v>0.47024045912114198</v>
      </c>
      <c r="BC13" s="61">
        <f>AK13/AL13</f>
        <v>4.5211166773830226E-2</v>
      </c>
      <c r="BD13" s="78">
        <f t="shared" ref="BD13:BD46" si="41">SUM(AA13,AE13,AK13)/AL13</f>
        <v>0.51545162589497218</v>
      </c>
      <c r="BE13" s="17"/>
      <c r="BF13" s="17"/>
      <c r="BG13" s="22">
        <f>'[1]Data-PSC CH Tables'!C7</f>
        <v>16808</v>
      </c>
      <c r="BH13" s="22">
        <f>'[1]Data-PSC CH Tables'!AG7</f>
        <v>35397.166666666664</v>
      </c>
      <c r="BI13" s="22">
        <f>'[1]Data-PSC CH Tables'!AI7</f>
        <v>37197.166666666664</v>
      </c>
      <c r="BJ13" s="17"/>
      <c r="BK13" s="22">
        <f>BG13-C13</f>
        <v>0</v>
      </c>
      <c r="BL13" s="22">
        <f>BH13-AJ13</f>
        <v>-504.16329909786145</v>
      </c>
      <c r="BM13" s="22">
        <f>BI13-AL13</f>
        <v>-404.16329909786145</v>
      </c>
      <c r="BO13" s="33"/>
      <c r="BP13" s="33"/>
      <c r="BQ13" s="33"/>
      <c r="BS13" s="62">
        <f>AC13</f>
        <v>5464.5208808217485</v>
      </c>
      <c r="BT13" s="62">
        <f t="shared" si="10"/>
        <v>7059</v>
      </c>
      <c r="BU13" s="62">
        <f t="shared" si="11"/>
        <v>612</v>
      </c>
      <c r="BV13" s="62">
        <f t="shared" si="12"/>
        <v>3207.1457858449157</v>
      </c>
      <c r="BW13" s="62">
        <f t="shared" si="13"/>
        <v>1339</v>
      </c>
      <c r="BX13" s="62">
        <f t="shared" si="14"/>
        <v>17681.666666666664</v>
      </c>
      <c r="BY13" s="62">
        <f t="shared" si="15"/>
        <v>35901.329965764526</v>
      </c>
      <c r="BZ13" s="79">
        <f>BX13/BY13</f>
        <v>0.49250728826837015</v>
      </c>
      <c r="CA13" s="79">
        <f>SUM(BV13,BS13)/BX13</f>
        <v>0.49043265152229232</v>
      </c>
      <c r="CB13" s="79">
        <f>SUM(BT13:BU13,BW13)/BX13</f>
        <v>0.50956734847770768</v>
      </c>
      <c r="CC13" s="79">
        <f t="shared" si="19"/>
        <v>8.7711755095021077E-2</v>
      </c>
      <c r="CD13" s="80"/>
      <c r="CF13" s="36">
        <v>35901.329965764526</v>
      </c>
      <c r="CG13" s="36">
        <v>37701.329965764526</v>
      </c>
      <c r="CH13" s="81">
        <f>CF13-AJ13</f>
        <v>0</v>
      </c>
      <c r="CI13" s="36">
        <f>CG13-AL13</f>
        <v>100</v>
      </c>
      <c r="CJ13" s="36">
        <v>18219.663299097861</v>
      </c>
      <c r="CK13" s="81">
        <f>V13-CJ13</f>
        <v>0</v>
      </c>
      <c r="CM13" s="33"/>
      <c r="CN13" s="82"/>
      <c r="CO13" s="82"/>
      <c r="CP13" s="82"/>
      <c r="CQ13" s="33"/>
      <c r="CR13" s="33"/>
      <c r="CS13" s="33"/>
      <c r="CT13" s="83"/>
      <c r="CU13" s="33"/>
      <c r="CV13" s="33"/>
      <c r="CW13" s="33"/>
      <c r="CX13" s="84"/>
      <c r="CY13" s="84"/>
      <c r="CZ13" s="33"/>
      <c r="DA13" s="33"/>
      <c r="DB13" s="33"/>
      <c r="DC13" s="33"/>
      <c r="DD13" s="33"/>
      <c r="DE13" s="33"/>
      <c r="DF13" s="33"/>
      <c r="DH13" s="66">
        <f t="shared" si="20"/>
        <v>7.7480207835001966E-2</v>
      </c>
      <c r="DK13" s="85">
        <f t="shared" ref="DK13:DK20" si="42">AA13+V13</f>
        <v>27229.663299097861</v>
      </c>
      <c r="DN13" s="3">
        <f>($DK13*DK$50)</f>
        <v>2608.851102489949</v>
      </c>
      <c r="DO13" s="86">
        <f>DN13/DK13</f>
        <v>9.5809157602634851E-2</v>
      </c>
      <c r="DP13" s="3">
        <f t="shared" ref="DP13:DP20" si="43">($DK13*DL$50)</f>
        <v>1047.6809563112959</v>
      </c>
      <c r="DQ13" s="86">
        <f>DP13/DK13</f>
        <v>3.8475722038987033E-2</v>
      </c>
      <c r="DS13" s="14">
        <f t="shared" ref="DS13:DS39" si="44">V13</f>
        <v>18219.663299097861</v>
      </c>
      <c r="DT13" s="14">
        <v>17715.5</v>
      </c>
      <c r="DU13" s="14">
        <f>DT13-DS13</f>
        <v>-504.16329909786145</v>
      </c>
      <c r="DW13" s="14">
        <f t="shared" ref="DW13:DW39" si="45">AJ13</f>
        <v>35901.329965764526</v>
      </c>
      <c r="DX13" s="14">
        <v>34686.666666666664</v>
      </c>
      <c r="DY13" s="14">
        <f>DX13-DW13</f>
        <v>-1214.6632990978615</v>
      </c>
      <c r="EA13" s="3">
        <v>8671.6666666666642</v>
      </c>
      <c r="EC13" s="87">
        <f t="shared" ref="EC13:EC20" si="46">ROUND(EA13*EC$48,0)</f>
        <v>5605</v>
      </c>
      <c r="ED13" s="88">
        <f>EA13-EC13</f>
        <v>3066.6666666666642</v>
      </c>
      <c r="EE13" s="3">
        <f>SUM(EC13:ED13)</f>
        <v>8671.6666666666642</v>
      </c>
      <c r="EG13" s="14">
        <f t="shared" ref="EG13:EG39" si="47">SUM(X13:Y13,AE13)</f>
        <v>10622.666666666664</v>
      </c>
      <c r="EI13" s="89">
        <f>$P13/B13</f>
        <v>0.70866631480816256</v>
      </c>
      <c r="EJ13" s="89">
        <f t="shared" ref="EJ13:EJ39" si="48">$P13/V13</f>
        <v>7.7480207835001966E-2</v>
      </c>
      <c r="EL13" s="67"/>
      <c r="EM13" s="67">
        <f t="shared" ref="EM13:EM39" si="49">V13/1000</f>
        <v>18.21966329909786</v>
      </c>
      <c r="EN13" s="67">
        <f t="shared" si="22"/>
        <v>7.0590000000000002</v>
      </c>
      <c r="EO13" s="67">
        <f t="shared" si="23"/>
        <v>10.622666666666664</v>
      </c>
      <c r="EP13" s="67">
        <f t="shared" si="24"/>
        <v>1.7</v>
      </c>
      <c r="ET13" s="66">
        <f t="shared" si="25"/>
        <v>0.16241315167814552</v>
      </c>
      <c r="EW13" s="14">
        <f t="shared" si="27"/>
        <v>10622.666666666664</v>
      </c>
      <c r="EY13" s="14">
        <f t="shared" ref="EY13:EY39" si="50">G13+H13</f>
        <v>1951</v>
      </c>
      <c r="EZ13" s="14" t="e">
        <f t="shared" ref="EZ13:EZ39" si="51">EY13+R13</f>
        <v>#VALUE!</v>
      </c>
      <c r="FB13" s="14">
        <f t="shared" ref="FB13:FB39" si="52">L13+SUM(S13,AE13,AK13)*FC13</f>
        <v>35130.040677793761</v>
      </c>
      <c r="FC13" s="66">
        <f t="shared" ref="FC13:FC39" si="53">L13/SUM(L13,P13)</f>
        <v>0.93427654579716091</v>
      </c>
      <c r="FE13" s="14">
        <f t="shared" si="26"/>
        <v>20000</v>
      </c>
    </row>
    <row r="14" spans="1:161" x14ac:dyDescent="0.2">
      <c r="B14" s="4">
        <v>1993</v>
      </c>
      <c r="C14" s="71">
        <f t="shared" ref="C14:C46" si="54">L14-J14</f>
        <v>24814</v>
      </c>
      <c r="D14" s="71"/>
      <c r="E14" s="71"/>
      <c r="G14" s="14">
        <f>'[1]Data-Nisgaa &amp; Other FN Catch'!BI6</f>
        <v>600</v>
      </c>
      <c r="H14" s="14">
        <v>983</v>
      </c>
      <c r="I14" s="14">
        <f>'Data-Chin-Nisga''a'!N8</f>
        <v>1526.1184498294112</v>
      </c>
      <c r="J14" s="14">
        <f t="shared" ref="J14:J36" si="55">SUM(G14:I14)</f>
        <v>3109.1184498294115</v>
      </c>
      <c r="L14" s="72">
        <f>'Bayesian Sum (10Feb26)'!K9</f>
        <v>27923.11844982941</v>
      </c>
      <c r="M14" s="73">
        <f t="shared" si="28"/>
        <v>3.5203804394777598E-2</v>
      </c>
      <c r="N14" s="56">
        <f>'Data-Coastal-Chin-Esc (new)'!J21</f>
        <v>782.82788840181149</v>
      </c>
      <c r="O14" s="74">
        <f t="shared" ref="O14:O46" si="56">P14/N14</f>
        <v>2.3333277671039006</v>
      </c>
      <c r="P14" s="14">
        <f>'Data-Coastal-Chin-Esc (new)'!AA21</f>
        <v>1826.5940488712602</v>
      </c>
      <c r="R14" s="18" t="s">
        <v>106</v>
      </c>
      <c r="S14" s="14">
        <f>'Data-Chin-Nisga''a'!P8+'Data-Chin-Nisga''a'!Q8+'Data-Chin-Nisga''a'!O8</f>
        <v>4059.8815501705885</v>
      </c>
      <c r="T14" s="14">
        <f t="shared" ref="T14:T43" si="57">SUM(R14:S14)</f>
        <v>4059.8815501705885</v>
      </c>
      <c r="U14" s="73"/>
      <c r="V14" s="14">
        <f t="shared" si="3"/>
        <v>26640.594048871259</v>
      </c>
      <c r="X14" s="14">
        <f t="shared" si="29"/>
        <v>600</v>
      </c>
      <c r="Y14" s="14">
        <f t="shared" si="30"/>
        <v>983</v>
      </c>
      <c r="Z14" s="14">
        <f t="shared" si="30"/>
        <v>5586</v>
      </c>
      <c r="AA14" s="14">
        <f t="shared" si="4"/>
        <v>7169</v>
      </c>
      <c r="AC14" s="14">
        <f>'A3.1b CF-tidal-Harvests (Chin)'!G8</f>
        <v>7809.3391238589656</v>
      </c>
      <c r="AD14" s="14">
        <v>4583.3275428076986</v>
      </c>
      <c r="AE14" s="14">
        <f t="shared" ref="AE14:AE46" si="58">SUM(AC14:AD14)</f>
        <v>12392.666666666664</v>
      </c>
      <c r="AJ14" s="14">
        <f t="shared" si="31"/>
        <v>46202.260715537923</v>
      </c>
      <c r="AK14" s="75">
        <f t="shared" si="7"/>
        <v>2200</v>
      </c>
      <c r="AL14" s="14">
        <f t="shared" ref="AL14:AL38" si="59">SUM(AJ14:AK14)</f>
        <v>48402.260715537923</v>
      </c>
      <c r="AM14" s="14"/>
      <c r="AN14" s="14">
        <v>21829.333333333332</v>
      </c>
      <c r="AO14" s="76">
        <f t="shared" si="32"/>
        <v>2.7485951624725141E-2</v>
      </c>
      <c r="AP14" s="60">
        <f t="shared" si="33"/>
        <v>31</v>
      </c>
      <c r="AQ14" s="59"/>
      <c r="AR14" s="77">
        <f t="shared" si="34"/>
        <v>0.4496002117454983</v>
      </c>
      <c r="AS14" s="61">
        <f t="shared" ref="AS14:AS39" si="60">I14/L14</f>
        <v>5.4654298464960123E-2</v>
      </c>
      <c r="AT14" s="61">
        <f t="shared" si="35"/>
        <v>3.5203804394777598E-2</v>
      </c>
      <c r="AU14" s="61">
        <f t="shared" si="36"/>
        <v>0.11134567420955112</v>
      </c>
      <c r="AV14" s="61"/>
      <c r="AW14" s="33"/>
      <c r="AX14" s="61">
        <f t="shared" si="37"/>
        <v>0.11540783255619302</v>
      </c>
      <c r="AY14" s="61">
        <f t="shared" si="38"/>
        <v>0.16134244575382073</v>
      </c>
      <c r="AZ14" s="61">
        <f t="shared" si="39"/>
        <v>0.11500139581333266</v>
      </c>
      <c r="BA14" s="61">
        <f t="shared" si="40"/>
        <v>1.2396115204746833E-2</v>
      </c>
      <c r="BB14" s="61">
        <f t="shared" ref="BB14:BB46" si="61">SUM(AA14,AE14)/AL14</f>
        <v>0.40414778932809325</v>
      </c>
      <c r="BC14" s="61">
        <f t="shared" ref="BC14:BC33" si="62">AK14/AL14</f>
        <v>4.5452422417405054E-2</v>
      </c>
      <c r="BD14" s="78">
        <f t="shared" si="41"/>
        <v>0.4496002117454983</v>
      </c>
      <c r="BE14" s="17"/>
      <c r="BF14" s="17"/>
      <c r="BG14" s="22">
        <f>'[1]Data-PSC CH Tables'!C8</f>
        <v>24814</v>
      </c>
      <c r="BH14" s="22">
        <f>'[1]Data-PSC CH Tables'!AG8</f>
        <v>45414.424903021361</v>
      </c>
      <c r="BI14" s="22">
        <f>'[1]Data-PSC CH Tables'!AI8</f>
        <v>47714.424903021361</v>
      </c>
      <c r="BJ14" s="17"/>
      <c r="BK14" s="22">
        <f t="shared" ref="BK14:BK46" si="63">BG14-C14</f>
        <v>0</v>
      </c>
      <c r="BL14" s="22">
        <f t="shared" ref="BL14:BL46" si="64">BH14-AJ14</f>
        <v>-787.83581251656142</v>
      </c>
      <c r="BM14" s="22">
        <f t="shared" ref="BM14:BM46" si="65">BI14-AL14</f>
        <v>-687.83581251656142</v>
      </c>
      <c r="BO14" s="33"/>
      <c r="BP14" s="33"/>
      <c r="BQ14" s="33"/>
      <c r="BS14" s="62">
        <f t="shared" ref="BS14:BS46" si="66">AC14</f>
        <v>7809.3391238589656</v>
      </c>
      <c r="BT14" s="62">
        <f t="shared" si="10"/>
        <v>5586</v>
      </c>
      <c r="BU14" s="62">
        <f t="shared" si="11"/>
        <v>600</v>
      </c>
      <c r="BV14" s="62">
        <f t="shared" si="12"/>
        <v>4583.3275428076986</v>
      </c>
      <c r="BW14" s="62">
        <f t="shared" si="13"/>
        <v>983</v>
      </c>
      <c r="BX14" s="62">
        <f t="shared" ref="BX14:BX46" si="67">SUM(BS14:BW14)</f>
        <v>19561.666666666664</v>
      </c>
      <c r="BY14" s="62">
        <f t="shared" si="15"/>
        <v>46202.260715537923</v>
      </c>
      <c r="BZ14" s="79">
        <f t="shared" ref="BZ14:BZ46" si="68">BX14/BY14</f>
        <v>0.42339198047267917</v>
      </c>
      <c r="CA14" s="79">
        <f t="shared" ref="CA14:CA46" si="69">SUM(BV14,BS14)/BX14</f>
        <v>0.63351793473630391</v>
      </c>
      <c r="CB14" s="79">
        <f t="shared" ref="CB14:CB46" si="70">SUM(BT14:BU14,BW14)/BX14</f>
        <v>0.36648206526369603</v>
      </c>
      <c r="CC14" s="79">
        <f t="shared" si="19"/>
        <v>0.10109519797809605</v>
      </c>
      <c r="CD14" s="33"/>
      <c r="CF14" s="36">
        <v>46202.260715537923</v>
      </c>
      <c r="CG14" s="36">
        <v>48502.260715537923</v>
      </c>
      <c r="CH14" s="81">
        <f t="shared" ref="CH14:CH21" si="71">CF14-AJ14</f>
        <v>0</v>
      </c>
      <c r="CI14" s="36">
        <f t="shared" ref="CI14:CI21" si="72">CG14-AL14</f>
        <v>100</v>
      </c>
      <c r="CJ14" s="36">
        <v>26640.594048871259</v>
      </c>
      <c r="CK14" s="81">
        <f t="shared" ref="CK14:CK46" si="73">V14-CJ14</f>
        <v>0</v>
      </c>
      <c r="CM14" s="33"/>
      <c r="CN14" s="82"/>
      <c r="CO14" s="82"/>
      <c r="CP14" s="82"/>
      <c r="CQ14" s="33"/>
      <c r="CR14" s="33"/>
      <c r="CS14" s="33"/>
      <c r="CT14" s="83"/>
      <c r="CU14" s="33"/>
      <c r="CV14" s="33"/>
      <c r="CW14" s="33"/>
      <c r="CX14" s="84"/>
      <c r="CY14" s="84"/>
      <c r="CZ14" s="33"/>
      <c r="DA14" s="33"/>
      <c r="DB14" s="33"/>
      <c r="DC14" s="33"/>
      <c r="DD14" s="33"/>
      <c r="DE14" s="33"/>
      <c r="DF14" s="33"/>
      <c r="DH14" s="66">
        <f t="shared" si="20"/>
        <v>6.856431375067823E-2</v>
      </c>
      <c r="DK14" s="90">
        <f t="shared" si="42"/>
        <v>33809.594048871259</v>
      </c>
      <c r="DN14" s="3">
        <f t="shared" ref="DN14:DN20" si="74">(DK14*DK$50)</f>
        <v>3239.2687247094118</v>
      </c>
      <c r="DO14" s="86">
        <f t="shared" ref="DO14:DO20" si="75">DN14/DK14</f>
        <v>9.5809157602634851E-2</v>
      </c>
      <c r="DP14" s="3">
        <f t="shared" si="43"/>
        <v>1300.8485428753604</v>
      </c>
      <c r="DQ14" s="86">
        <f t="shared" ref="DQ14:DQ20" si="76">DP14/DK14</f>
        <v>3.8475722038987026E-2</v>
      </c>
      <c r="DS14" s="14">
        <f t="shared" si="44"/>
        <v>26640.594048871259</v>
      </c>
      <c r="DT14" s="14">
        <v>25852.758236354697</v>
      </c>
      <c r="DU14" s="14">
        <f t="shared" ref="DU14:DU37" si="77">DT14-DS14</f>
        <v>-787.83581251656142</v>
      </c>
      <c r="DW14" s="14">
        <f t="shared" si="45"/>
        <v>46202.260715537923</v>
      </c>
      <c r="DX14" s="14">
        <v>49570.666666666664</v>
      </c>
      <c r="DY14" s="14">
        <f t="shared" ref="DY14:DY37" si="78">DX14-DW14</f>
        <v>3368.4059511287414</v>
      </c>
      <c r="EA14" s="3">
        <v>12392.666666666664</v>
      </c>
      <c r="EC14" s="91">
        <f t="shared" si="46"/>
        <v>8009</v>
      </c>
      <c r="ED14" s="92">
        <f t="shared" ref="ED14:ED20" si="79">EA14-EC14</f>
        <v>4383.6666666666642</v>
      </c>
      <c r="EE14" s="3">
        <f t="shared" ref="EE14:EE20" si="80">SUM(EC14:ED14)</f>
        <v>12392.666666666664</v>
      </c>
      <c r="EG14" s="14">
        <f t="shared" si="47"/>
        <v>13975.666666666664</v>
      </c>
      <c r="EI14" s="89">
        <f t="shared" ref="EI14:EI32" si="81">P14/B14</f>
        <v>0.91650479120484707</v>
      </c>
      <c r="EJ14" s="89">
        <f t="shared" si="48"/>
        <v>6.856431375067823E-2</v>
      </c>
      <c r="EL14" s="67"/>
      <c r="EM14" s="67">
        <f t="shared" si="49"/>
        <v>26.640594048871257</v>
      </c>
      <c r="EN14" s="67">
        <f t="shared" si="22"/>
        <v>5.5860000000000003</v>
      </c>
      <c r="EO14" s="67">
        <f t="shared" si="23"/>
        <v>13.975666666666664</v>
      </c>
      <c r="EP14" s="67">
        <f t="shared" si="24"/>
        <v>2.2000000000000002</v>
      </c>
      <c r="ET14" s="66">
        <f t="shared" si="25"/>
        <v>0.11134567420955112</v>
      </c>
      <c r="EW14" s="14">
        <f t="shared" si="27"/>
        <v>13975.666666666664</v>
      </c>
      <c r="EY14" s="14">
        <f t="shared" si="50"/>
        <v>1583</v>
      </c>
      <c r="EZ14" s="14" t="e">
        <f t="shared" si="51"/>
        <v>#VALUE!</v>
      </c>
      <c r="FB14" s="14">
        <f t="shared" si="52"/>
        <v>45430.424218671673</v>
      </c>
      <c r="FC14" s="66">
        <f t="shared" si="53"/>
        <v>0.93860128735862458</v>
      </c>
      <c r="FE14" s="14">
        <f t="shared" si="26"/>
        <v>28000</v>
      </c>
    </row>
    <row r="15" spans="1:161" x14ac:dyDescent="0.2">
      <c r="B15" s="4">
        <v>1994</v>
      </c>
      <c r="C15" s="71">
        <f t="shared" si="54"/>
        <v>23639.335228763888</v>
      </c>
      <c r="D15" s="71">
        <f t="shared" ref="D15:D46" si="82">C15-E15</f>
        <v>19706.335228763888</v>
      </c>
      <c r="E15" s="71">
        <f>'Bayesian Sum (10Feb26)'!H10</f>
        <v>3933</v>
      </c>
      <c r="G15" s="14">
        <f>'[1]Data-Nisgaa &amp; Other FN Catch'!BI7</f>
        <v>120</v>
      </c>
      <c r="H15" s="14">
        <v>893</v>
      </c>
      <c r="I15" s="14">
        <f>'Data-Chin-Nisga''a'!N9</f>
        <v>2097.6647712361123</v>
      </c>
      <c r="J15" s="14">
        <f t="shared" si="55"/>
        <v>3110.6647712361123</v>
      </c>
      <c r="L15" s="72">
        <f>'Bayesian Sum (10Feb26)'!K10</f>
        <v>26750</v>
      </c>
      <c r="M15" s="73">
        <f t="shared" si="28"/>
        <v>3.3383177570093459E-2</v>
      </c>
      <c r="N15" s="56">
        <f>'Data-Coastal-Chin-Esc (new)'!J22</f>
        <v>2376.1408268349237</v>
      </c>
      <c r="O15" s="74">
        <f t="shared" si="56"/>
        <v>2.3333277671039006</v>
      </c>
      <c r="P15" s="14">
        <f>'Data-Coastal-Chin-Esc (new)'!AA22</f>
        <v>5544.3153698031483</v>
      </c>
      <c r="R15" s="18" t="s">
        <v>106</v>
      </c>
      <c r="S15" s="14">
        <f>'Data-Chin-Nisga''a'!P9+'Data-Chin-Nisga''a'!Q9+'Data-Chin-Nisga''a'!O9</f>
        <v>4115.3352287638882</v>
      </c>
      <c r="T15" s="14">
        <f t="shared" si="57"/>
        <v>4115.3352287638882</v>
      </c>
      <c r="U15" s="73"/>
      <c r="V15" s="14">
        <f t="shared" si="3"/>
        <v>29183.650598567037</v>
      </c>
      <c r="X15" s="14">
        <f t="shared" si="29"/>
        <v>120</v>
      </c>
      <c r="Y15" s="14">
        <f t="shared" si="30"/>
        <v>893</v>
      </c>
      <c r="Z15" s="14">
        <f t="shared" si="30"/>
        <v>6213</v>
      </c>
      <c r="AA15" s="14">
        <f t="shared" si="4"/>
        <v>7226</v>
      </c>
      <c r="AC15" s="14">
        <f>'A3.1b CF-tidal-Harvests (Chin)'!G9</f>
        <v>6731.4709611830649</v>
      </c>
      <c r="AD15" s="14">
        <v>3950.723072806556</v>
      </c>
      <c r="AE15" s="14">
        <f t="shared" si="58"/>
        <v>10682.194033989621</v>
      </c>
      <c r="AJ15" s="14">
        <f t="shared" si="31"/>
        <v>47091.844632556662</v>
      </c>
      <c r="AK15" s="75">
        <f t="shared" si="7"/>
        <v>2300</v>
      </c>
      <c r="AL15" s="14">
        <f t="shared" si="59"/>
        <v>49391.844632556662</v>
      </c>
      <c r="AM15" s="14"/>
      <c r="AN15" s="14">
        <f>'[1]Data-FW Catch Rates - new'!CE9</f>
        <v>23205.075000000001</v>
      </c>
      <c r="AO15" s="76">
        <f t="shared" si="32"/>
        <v>5.171282575040158E-3</v>
      </c>
      <c r="AP15" s="60">
        <f t="shared" si="33"/>
        <v>28</v>
      </c>
      <c r="AQ15" s="59"/>
      <c r="AR15" s="77">
        <f t="shared" si="34"/>
        <v>0.40914029804566926</v>
      </c>
      <c r="AS15" s="61">
        <f t="shared" si="60"/>
        <v>7.8417374625649058E-2</v>
      </c>
      <c r="AT15" s="61">
        <f t="shared" si="35"/>
        <v>3.3383177570093459E-2</v>
      </c>
      <c r="AU15" s="61">
        <f t="shared" si="36"/>
        <v>0.11628653350415373</v>
      </c>
      <c r="AV15" s="61"/>
      <c r="AW15" s="33"/>
      <c r="AX15" s="61">
        <f t="shared" si="37"/>
        <v>0.12578999723984186</v>
      </c>
      <c r="AY15" s="61">
        <f t="shared" si="38"/>
        <v>0.13628709377551798</v>
      </c>
      <c r="AZ15" s="61">
        <f t="shared" si="39"/>
        <v>9.8067264116995817E-2</v>
      </c>
      <c r="BA15" s="61">
        <f t="shared" si="40"/>
        <v>2.4295508882634835E-3</v>
      </c>
      <c r="BB15" s="61">
        <f t="shared" si="61"/>
        <v>0.36257390602061912</v>
      </c>
      <c r="BC15" s="61">
        <f t="shared" si="62"/>
        <v>4.6566392025050099E-2</v>
      </c>
      <c r="BD15" s="78">
        <f t="shared" si="41"/>
        <v>0.40914029804566926</v>
      </c>
      <c r="BE15" s="17"/>
      <c r="BF15" s="17"/>
      <c r="BG15" s="22">
        <f>'[1]Data-PSC CH Tables'!C9</f>
        <v>21169</v>
      </c>
      <c r="BH15" s="22">
        <f>'[1]Data-PSC CH Tables'!AG9</f>
        <v>42779.776135958484</v>
      </c>
      <c r="BI15" s="22">
        <f>'[1]Data-PSC CH Tables'!AI9</f>
        <v>44979.776135958484</v>
      </c>
      <c r="BJ15" s="17"/>
      <c r="BK15" s="22">
        <f t="shared" si="63"/>
        <v>-2470.3352287638882</v>
      </c>
      <c r="BL15" s="22">
        <f t="shared" si="64"/>
        <v>-4312.0684965981782</v>
      </c>
      <c r="BM15" s="22">
        <f t="shared" si="65"/>
        <v>-4412.0684965981782</v>
      </c>
      <c r="BO15" s="33"/>
      <c r="BP15" s="33"/>
      <c r="BQ15" s="33"/>
      <c r="BS15" s="62">
        <f t="shared" si="66"/>
        <v>6731.4709611830649</v>
      </c>
      <c r="BT15" s="62">
        <f t="shared" si="10"/>
        <v>6213</v>
      </c>
      <c r="BU15" s="62">
        <f t="shared" si="11"/>
        <v>120</v>
      </c>
      <c r="BV15" s="62">
        <f t="shared" si="12"/>
        <v>3950.723072806556</v>
      </c>
      <c r="BW15" s="62">
        <f t="shared" si="13"/>
        <v>893</v>
      </c>
      <c r="BX15" s="62">
        <f t="shared" si="67"/>
        <v>17908.194033989621</v>
      </c>
      <c r="BY15" s="62">
        <f t="shared" si="15"/>
        <v>47091.844632556662</v>
      </c>
      <c r="BZ15" s="79">
        <f t="shared" si="68"/>
        <v>0.38028227973913131</v>
      </c>
      <c r="CA15" s="79">
        <f t="shared" si="69"/>
        <v>0.59649755936946491</v>
      </c>
      <c r="CB15" s="79">
        <f t="shared" si="70"/>
        <v>0.40350244063053509</v>
      </c>
      <c r="CC15" s="79">
        <f t="shared" si="19"/>
        <v>0.11381521753658264</v>
      </c>
      <c r="CD15" s="33"/>
      <c r="CF15" s="36">
        <v>44621.509403792777</v>
      </c>
      <c r="CG15" s="36">
        <v>46921.509403792777</v>
      </c>
      <c r="CH15" s="81">
        <f t="shared" si="71"/>
        <v>-2470.3352287638845</v>
      </c>
      <c r="CI15" s="36">
        <f t="shared" si="72"/>
        <v>-2470.3352287638845</v>
      </c>
      <c r="CJ15" s="36">
        <v>26713.315369803149</v>
      </c>
      <c r="CK15" s="81">
        <f t="shared" si="73"/>
        <v>2470.3352287638882</v>
      </c>
      <c r="CM15" s="33"/>
      <c r="CN15" s="82"/>
      <c r="CO15" s="82"/>
      <c r="CP15" s="82"/>
      <c r="CQ15" s="33"/>
      <c r="CR15" s="33"/>
      <c r="CS15" s="33"/>
      <c r="CT15" s="83"/>
      <c r="CU15" s="33"/>
      <c r="CV15" s="33"/>
      <c r="CW15" s="33"/>
      <c r="CX15" s="84"/>
      <c r="CY15" s="84"/>
      <c r="CZ15" s="33"/>
      <c r="DA15" s="33"/>
      <c r="DB15" s="33"/>
      <c r="DC15" s="33"/>
      <c r="DD15" s="33"/>
      <c r="DE15" s="33"/>
      <c r="DF15" s="33"/>
      <c r="DH15" s="66">
        <f t="shared" si="20"/>
        <v>0.18998018603181135</v>
      </c>
      <c r="DK15" s="90">
        <f t="shared" si="42"/>
        <v>36409.650598567037</v>
      </c>
      <c r="DN15" s="3">
        <f t="shared" si="74"/>
        <v>3488.3779524549777</v>
      </c>
      <c r="DO15" s="86">
        <f t="shared" si="75"/>
        <v>9.5809157602634851E-2</v>
      </c>
      <c r="DP15" s="3">
        <f t="shared" si="43"/>
        <v>1400.8875959671029</v>
      </c>
      <c r="DQ15" s="86">
        <f t="shared" si="76"/>
        <v>3.8475722038987026E-2</v>
      </c>
      <c r="DS15" s="14">
        <f t="shared" si="44"/>
        <v>29183.650598567037</v>
      </c>
      <c r="DT15" s="14">
        <v>24871.582101968863</v>
      </c>
      <c r="DU15" s="14">
        <f t="shared" si="77"/>
        <v>-4312.0684965981745</v>
      </c>
      <c r="DW15" s="14">
        <f t="shared" si="45"/>
        <v>47091.844632556662</v>
      </c>
      <c r="DX15" s="14">
        <v>42728.776135958484</v>
      </c>
      <c r="DY15" s="14">
        <f t="shared" si="78"/>
        <v>-4363.0684965981782</v>
      </c>
      <c r="EA15" s="3">
        <v>10682.194033989621</v>
      </c>
      <c r="EC15" s="91">
        <f t="shared" si="46"/>
        <v>6904</v>
      </c>
      <c r="ED15" s="92">
        <f t="shared" si="79"/>
        <v>3778.1940339896209</v>
      </c>
      <c r="EE15" s="3">
        <f t="shared" si="80"/>
        <v>10682.194033989621</v>
      </c>
      <c r="EG15" s="14">
        <f t="shared" si="47"/>
        <v>11695.194033989621</v>
      </c>
      <c r="EI15" s="89">
        <f t="shared" si="81"/>
        <v>2.7804991824489211</v>
      </c>
      <c r="EJ15" s="89">
        <f t="shared" si="48"/>
        <v>0.18998018603181135</v>
      </c>
      <c r="EL15" s="67"/>
      <c r="EM15" s="67">
        <f t="shared" si="49"/>
        <v>29.183650598567038</v>
      </c>
      <c r="EN15" s="67">
        <f t="shared" si="22"/>
        <v>6.2130000000000001</v>
      </c>
      <c r="EO15" s="67">
        <f t="shared" si="23"/>
        <v>11.695194033989621</v>
      </c>
      <c r="EP15" s="67">
        <f t="shared" si="24"/>
        <v>2.2999999999999998</v>
      </c>
      <c r="ET15" s="66">
        <f t="shared" si="25"/>
        <v>0.11628653350415373</v>
      </c>
      <c r="EW15" s="14">
        <f t="shared" si="27"/>
        <v>11695.194033989621</v>
      </c>
      <c r="EY15" s="14">
        <f t="shared" si="50"/>
        <v>1013</v>
      </c>
      <c r="EZ15" s="14" t="e">
        <f t="shared" si="51"/>
        <v>#VALUE!</v>
      </c>
      <c r="FB15" s="14">
        <f t="shared" si="52"/>
        <v>40912.21098176029</v>
      </c>
      <c r="FC15" s="66">
        <f t="shared" si="53"/>
        <v>0.82831915442965642</v>
      </c>
      <c r="FE15" s="14">
        <f t="shared" si="26"/>
        <v>27000</v>
      </c>
    </row>
    <row r="16" spans="1:161" x14ac:dyDescent="0.2">
      <c r="B16" s="4">
        <v>1995</v>
      </c>
      <c r="C16" s="71">
        <f t="shared" si="54"/>
        <v>9184.6096579476871</v>
      </c>
      <c r="D16" s="71">
        <f t="shared" si="82"/>
        <v>7465.6096579476871</v>
      </c>
      <c r="E16" s="71">
        <f>'Bayesian Sum (10Feb26)'!H11</f>
        <v>1719</v>
      </c>
      <c r="G16" s="14">
        <f>'[1]Data-Nisgaa &amp; Other FN Catch'!BI8</f>
        <v>72</v>
      </c>
      <c r="H16" s="14">
        <v>695</v>
      </c>
      <c r="I16" s="14">
        <f>'Data-Chin-Nisga''a'!N10</f>
        <v>1812.3903420523138</v>
      </c>
      <c r="J16" s="14">
        <f t="shared" si="55"/>
        <v>2579.3903420523138</v>
      </c>
      <c r="L16" s="72">
        <f>'Bayesian Sum (10Feb26)'!K11</f>
        <v>11764</v>
      </c>
      <c r="M16" s="73">
        <f t="shared" si="28"/>
        <v>5.9078544712682764E-2</v>
      </c>
      <c r="N16" s="56">
        <f>'Data-Coastal-Chin-Esc (new)'!J23</f>
        <v>624.49855064251199</v>
      </c>
      <c r="O16" s="74">
        <f t="shared" si="56"/>
        <v>2.3333277671039006</v>
      </c>
      <c r="P16" s="14">
        <f>'Data-Coastal-Chin-Esc (new)'!AA23</f>
        <v>1457.1598087303146</v>
      </c>
      <c r="R16" s="18" t="s">
        <v>106</v>
      </c>
      <c r="S16" s="14">
        <f>'Data-Chin-Nisga''a'!P10+'Data-Chin-Nisga''a'!Q10+'Data-Chin-Nisga''a'!O10</f>
        <v>4903.6096579476862</v>
      </c>
      <c r="T16" s="14">
        <f t="shared" si="57"/>
        <v>4903.6096579476862</v>
      </c>
      <c r="U16" s="73"/>
      <c r="V16" s="14">
        <f t="shared" si="3"/>
        <v>10641.769466678001</v>
      </c>
      <c r="X16" s="14">
        <f t="shared" si="29"/>
        <v>72</v>
      </c>
      <c r="Y16" s="14">
        <f t="shared" si="30"/>
        <v>695</v>
      </c>
      <c r="Z16" s="14">
        <f t="shared" si="30"/>
        <v>6716</v>
      </c>
      <c r="AA16" s="14">
        <f t="shared" si="4"/>
        <v>7483</v>
      </c>
      <c r="AC16" s="14">
        <f>'A3.1b CF-tidal-Harvests (Chin)'!G10</f>
        <v>3408.7592038463467</v>
      </c>
      <c r="AD16" s="14">
        <v>2000.6123050868241</v>
      </c>
      <c r="AE16" s="14">
        <f t="shared" si="58"/>
        <v>5409.3715089331708</v>
      </c>
      <c r="AJ16" s="14">
        <f t="shared" si="31"/>
        <v>23534.140975611172</v>
      </c>
      <c r="AK16" s="75">
        <f t="shared" si="7"/>
        <v>1100</v>
      </c>
      <c r="AL16" s="14">
        <f t="shared" si="59"/>
        <v>24634.140975611172</v>
      </c>
      <c r="AM16" s="14"/>
      <c r="AN16" s="14">
        <f>'[1]Data-FW Catch Rates - new'!CE10</f>
        <v>9910.0909090909081</v>
      </c>
      <c r="AO16" s="76">
        <f t="shared" si="32"/>
        <v>7.2653218482538464E-3</v>
      </c>
      <c r="AP16" s="60">
        <f t="shared" si="33"/>
        <v>5</v>
      </c>
      <c r="AQ16" s="59"/>
      <c r="AR16" s="77">
        <f t="shared" si="34"/>
        <v>0.56800728398794997</v>
      </c>
      <c r="AS16" s="61">
        <f t="shared" si="60"/>
        <v>0.15406242281981586</v>
      </c>
      <c r="AT16" s="61">
        <f t="shared" si="35"/>
        <v>5.9078544712682764E-2</v>
      </c>
      <c r="AU16" s="61">
        <f t="shared" si="36"/>
        <v>0.21926133475453194</v>
      </c>
      <c r="AV16" s="61"/>
      <c r="AW16" s="33"/>
      <c r="AX16" s="61">
        <f t="shared" si="37"/>
        <v>0.2726297623549821</v>
      </c>
      <c r="AY16" s="61">
        <f t="shared" si="38"/>
        <v>0.13837540376265448</v>
      </c>
      <c r="AZ16" s="61">
        <f t="shared" si="39"/>
        <v>0.1094258698834107</v>
      </c>
      <c r="BA16" s="61">
        <f t="shared" si="40"/>
        <v>2.9227729138711599E-3</v>
      </c>
      <c r="BB16" s="61">
        <f t="shared" si="61"/>
        <v>0.52335380891491845</v>
      </c>
      <c r="BC16" s="61">
        <f t="shared" si="62"/>
        <v>4.4653475073031607E-2</v>
      </c>
      <c r="BD16" s="78">
        <f t="shared" si="41"/>
        <v>0.56800728398794997</v>
      </c>
      <c r="BE16" s="17"/>
      <c r="BF16" s="17"/>
      <c r="BG16" s="22">
        <f>'[1]Data-PSC CH Tables'!C10</f>
        <v>7844</v>
      </c>
      <c r="BH16" s="22">
        <f>'[1]Data-PSC CH Tables'!AG10</f>
        <v>21709.48603573268</v>
      </c>
      <c r="BI16" s="22">
        <f>'[1]Data-PSC CH Tables'!AI10</f>
        <v>22809.48603573268</v>
      </c>
      <c r="BJ16" s="17"/>
      <c r="BK16" s="22">
        <f t="shared" si="63"/>
        <v>-1340.6096579476871</v>
      </c>
      <c r="BL16" s="22">
        <f t="shared" si="64"/>
        <v>-1824.6549398784919</v>
      </c>
      <c r="BM16" s="22">
        <f t="shared" si="65"/>
        <v>-1824.6549398784919</v>
      </c>
      <c r="BO16" s="33"/>
      <c r="BP16" s="33"/>
      <c r="BQ16" s="33"/>
      <c r="BS16" s="62">
        <f t="shared" si="66"/>
        <v>3408.7592038463467</v>
      </c>
      <c r="BT16" s="62">
        <f t="shared" si="10"/>
        <v>6716</v>
      </c>
      <c r="BU16" s="62">
        <f t="shared" si="11"/>
        <v>72</v>
      </c>
      <c r="BV16" s="62">
        <f t="shared" si="12"/>
        <v>2000.6123050868241</v>
      </c>
      <c r="BW16" s="62">
        <f t="shared" si="13"/>
        <v>695</v>
      </c>
      <c r="BX16" s="62">
        <f t="shared" si="67"/>
        <v>12892.371508933171</v>
      </c>
      <c r="BY16" s="62">
        <f t="shared" si="15"/>
        <v>23534.140975611172</v>
      </c>
      <c r="BZ16" s="79">
        <f t="shared" si="68"/>
        <v>0.54781568285384852</v>
      </c>
      <c r="CA16" s="79">
        <f t="shared" si="69"/>
        <v>0.41957924538437308</v>
      </c>
      <c r="CB16" s="79">
        <f t="shared" si="70"/>
        <v>0.58042075461562692</v>
      </c>
      <c r="CC16" s="79">
        <f t="shared" si="19"/>
        <v>7.8614264872664749E-2</v>
      </c>
      <c r="CD16" s="33"/>
      <c r="CF16" s="36">
        <v>22193.531317663485</v>
      </c>
      <c r="CG16" s="36">
        <v>23293.531317663485</v>
      </c>
      <c r="CH16" s="81">
        <f t="shared" si="71"/>
        <v>-1340.6096579476871</v>
      </c>
      <c r="CI16" s="36">
        <f t="shared" si="72"/>
        <v>-1340.6096579476871</v>
      </c>
      <c r="CJ16" s="36">
        <v>9301.1598087303137</v>
      </c>
      <c r="CK16" s="81">
        <f t="shared" si="73"/>
        <v>1340.6096579476871</v>
      </c>
      <c r="CM16" s="33"/>
      <c r="CN16" s="82"/>
      <c r="CO16" s="82"/>
      <c r="CP16" s="82"/>
      <c r="CQ16" s="33"/>
      <c r="CR16" s="33"/>
      <c r="CS16" s="33"/>
      <c r="CT16" s="83"/>
      <c r="CU16" s="33"/>
      <c r="CV16" s="33"/>
      <c r="CW16" s="33"/>
      <c r="CX16" s="84"/>
      <c r="CY16" s="84"/>
      <c r="CZ16" s="33"/>
      <c r="DA16" s="33"/>
      <c r="DB16" s="33"/>
      <c r="DC16" s="33"/>
      <c r="DD16" s="33"/>
      <c r="DE16" s="33"/>
      <c r="DF16" s="33"/>
      <c r="DH16" s="66">
        <f t="shared" si="20"/>
        <v>0.13692833821415137</v>
      </c>
      <c r="DK16" s="90">
        <f t="shared" si="42"/>
        <v>18124.769466678001</v>
      </c>
      <c r="DN16" s="3">
        <f t="shared" si="74"/>
        <v>1736.5188943443766</v>
      </c>
      <c r="DO16" s="86">
        <f t="shared" si="75"/>
        <v>9.5809157602634851E-2</v>
      </c>
      <c r="DP16" s="3">
        <f t="shared" si="43"/>
        <v>697.36359202062192</v>
      </c>
      <c r="DQ16" s="86">
        <f t="shared" si="76"/>
        <v>3.8475722038987026E-2</v>
      </c>
      <c r="DS16" s="14">
        <f t="shared" si="44"/>
        <v>10641.769466678001</v>
      </c>
      <c r="DT16" s="14">
        <v>8817.1145267995089</v>
      </c>
      <c r="DU16" s="14">
        <f t="shared" si="77"/>
        <v>-1824.6549398784919</v>
      </c>
      <c r="DW16" s="14">
        <f t="shared" si="45"/>
        <v>23534.140975611172</v>
      </c>
      <c r="DX16" s="14">
        <v>21637.48603573268</v>
      </c>
      <c r="DY16" s="14">
        <f t="shared" si="78"/>
        <v>-1896.6549398784919</v>
      </c>
      <c r="EA16" s="3">
        <v>5409.3715089331708</v>
      </c>
      <c r="EC16" s="91">
        <f t="shared" si="46"/>
        <v>3496</v>
      </c>
      <c r="ED16" s="92">
        <f t="shared" si="79"/>
        <v>1913.3715089331708</v>
      </c>
      <c r="EE16" s="3">
        <f t="shared" si="80"/>
        <v>5409.3715089331708</v>
      </c>
      <c r="EG16" s="14">
        <f t="shared" si="47"/>
        <v>6176.3715089331708</v>
      </c>
      <c r="EI16" s="89">
        <f t="shared" si="81"/>
        <v>0.73040591916306497</v>
      </c>
      <c r="EJ16" s="89">
        <f t="shared" si="48"/>
        <v>0.13692833821415137</v>
      </c>
      <c r="EL16" s="67"/>
      <c r="EM16" s="67">
        <f t="shared" si="49"/>
        <v>10.641769466678001</v>
      </c>
      <c r="EN16" s="67">
        <f t="shared" si="22"/>
        <v>6.7160000000000002</v>
      </c>
      <c r="EO16" s="67">
        <f t="shared" si="23"/>
        <v>6.1763715089331708</v>
      </c>
      <c r="EP16" s="67">
        <f t="shared" si="24"/>
        <v>1.1000000000000001</v>
      </c>
      <c r="ET16" s="66">
        <f t="shared" si="25"/>
        <v>0.21926133475453194</v>
      </c>
      <c r="EW16" s="14">
        <f t="shared" si="27"/>
        <v>6176.3715089331708</v>
      </c>
      <c r="EY16" s="14">
        <f t="shared" si="50"/>
        <v>767</v>
      </c>
      <c r="EZ16" s="14" t="e">
        <f t="shared" si="51"/>
        <v>#VALUE!</v>
      </c>
      <c r="FB16" s="14">
        <f t="shared" si="52"/>
        <v>21919.108355813773</v>
      </c>
      <c r="FC16" s="66">
        <f t="shared" si="53"/>
        <v>0.88978578053582646</v>
      </c>
      <c r="FE16" s="14">
        <f t="shared" si="26"/>
        <v>12000</v>
      </c>
    </row>
    <row r="17" spans="2:161" x14ac:dyDescent="0.2">
      <c r="B17" s="4">
        <v>1996</v>
      </c>
      <c r="C17" s="71">
        <f t="shared" si="54"/>
        <v>21721.665471087395</v>
      </c>
      <c r="D17" s="71">
        <f t="shared" si="82"/>
        <v>18211.665471087395</v>
      </c>
      <c r="E17" s="71">
        <f>'Bayesian Sum (10Feb26)'!H12</f>
        <v>3510</v>
      </c>
      <c r="G17" s="14">
        <f>'[1]Data-Nisgaa &amp; Other FN Catch'!BI9</f>
        <v>49</v>
      </c>
      <c r="H17" s="14">
        <v>477</v>
      </c>
      <c r="I17" s="14">
        <f>'Data-Chin-Nisga''a'!N11</f>
        <v>1834.3345289126059</v>
      </c>
      <c r="J17" s="14">
        <f t="shared" si="55"/>
        <v>2360.3345289126059</v>
      </c>
      <c r="L17" s="72">
        <f>'Bayesian Sum (10Feb26)'!K12</f>
        <v>24082</v>
      </c>
      <c r="M17" s="73">
        <f t="shared" si="28"/>
        <v>1.9807324973008886E-2</v>
      </c>
      <c r="N17" s="56">
        <f>'Data-Coastal-Chin-Esc (new)'!J24</f>
        <v>710.81135845489166</v>
      </c>
      <c r="O17" s="74">
        <f t="shared" si="56"/>
        <v>2.3333277671039001</v>
      </c>
      <c r="P17" s="14">
        <f>'Data-Coastal-Chin-Esc (new)'!AA24</f>
        <v>1658.5558798556424</v>
      </c>
      <c r="R17" s="18" t="s">
        <v>106</v>
      </c>
      <c r="S17" s="14">
        <f>'Data-Chin-Nisga''a'!P11+'Data-Chin-Nisga''a'!Q11+'Data-Chin-Nisga''a'!O11</f>
        <v>5865.6654710873936</v>
      </c>
      <c r="T17" s="14">
        <f t="shared" si="57"/>
        <v>5865.6654710873936</v>
      </c>
      <c r="U17" s="73"/>
      <c r="V17" s="14">
        <f t="shared" si="3"/>
        <v>23380.221350943037</v>
      </c>
      <c r="X17" s="14">
        <f t="shared" si="29"/>
        <v>49</v>
      </c>
      <c r="Y17" s="14">
        <f t="shared" si="30"/>
        <v>477</v>
      </c>
      <c r="Z17" s="14">
        <f t="shared" si="30"/>
        <v>7700</v>
      </c>
      <c r="AA17" s="14">
        <f t="shared" si="4"/>
        <v>8226</v>
      </c>
      <c r="AC17" s="14">
        <f>'A3.1b CF-tidal-Harvests (Chin)'!G11</f>
        <v>6538.2283475257427</v>
      </c>
      <c r="AD17" s="14">
        <v>3837.308329308762</v>
      </c>
      <c r="AE17" s="14">
        <f t="shared" si="58"/>
        <v>10375.536676834505</v>
      </c>
      <c r="AJ17" s="14">
        <f t="shared" si="31"/>
        <v>41981.758027777541</v>
      </c>
      <c r="AK17" s="75">
        <f t="shared" si="7"/>
        <v>2000</v>
      </c>
      <c r="AL17" s="14">
        <f t="shared" si="59"/>
        <v>43981.758027777541</v>
      </c>
      <c r="AM17" s="14"/>
      <c r="AN17" s="14">
        <f>'[1]Data-FW Catch Rates - new'!CE11</f>
        <v>21794.384615384617</v>
      </c>
      <c r="AO17" s="76">
        <f t="shared" si="32"/>
        <v>2.248285549912292E-3</v>
      </c>
      <c r="AP17" s="60">
        <f t="shared" si="33"/>
        <v>26</v>
      </c>
      <c r="AQ17" s="59"/>
      <c r="AR17" s="77">
        <f t="shared" si="34"/>
        <v>0.46841094127759059</v>
      </c>
      <c r="AS17" s="61">
        <f t="shared" si="60"/>
        <v>7.6170356652794868E-2</v>
      </c>
      <c r="AT17" s="61">
        <f t="shared" si="35"/>
        <v>1.9807324973008886E-2</v>
      </c>
      <c r="AU17" s="61">
        <f t="shared" si="36"/>
        <v>9.8012396350494385E-2</v>
      </c>
      <c r="AV17" s="61"/>
      <c r="AW17" s="33"/>
      <c r="AX17" s="61">
        <f t="shared" si="37"/>
        <v>0.17507258339098028</v>
      </c>
      <c r="AY17" s="61">
        <f t="shared" si="38"/>
        <v>0.148657730857334</v>
      </c>
      <c r="AZ17" s="61">
        <f t="shared" si="39"/>
        <v>9.8093130487962213E-2</v>
      </c>
      <c r="BA17" s="61">
        <f t="shared" si="40"/>
        <v>1.1140982579426017E-3</v>
      </c>
      <c r="BB17" s="61">
        <f t="shared" si="61"/>
        <v>0.4229375429942191</v>
      </c>
      <c r="BC17" s="61">
        <f t="shared" si="62"/>
        <v>4.5473398283371498E-2</v>
      </c>
      <c r="BD17" s="78">
        <f t="shared" si="41"/>
        <v>0.46841094127759059</v>
      </c>
      <c r="BE17" s="17"/>
      <c r="BF17" s="17"/>
      <c r="BG17" s="22">
        <f>'[1]Data-PSC CH Tables'!C11</f>
        <v>21842</v>
      </c>
      <c r="BH17" s="22">
        <f>'[1]Data-PSC CH Tables'!AG11</f>
        <v>41551.146707338012</v>
      </c>
      <c r="BI17" s="22">
        <f>'[1]Data-PSC CH Tables'!AI11</f>
        <v>43651.146707338012</v>
      </c>
      <c r="BJ17" s="17"/>
      <c r="BK17" s="22">
        <f t="shared" si="63"/>
        <v>120.33452891260458</v>
      </c>
      <c r="BL17" s="22">
        <f t="shared" si="64"/>
        <v>-430.61132043952966</v>
      </c>
      <c r="BM17" s="22">
        <f t="shared" si="65"/>
        <v>-330.61132043952966</v>
      </c>
      <c r="BO17" s="33"/>
      <c r="BP17" s="33"/>
      <c r="BQ17" s="33"/>
      <c r="BS17" s="62">
        <f t="shared" si="66"/>
        <v>6538.2283475257427</v>
      </c>
      <c r="BT17" s="62">
        <f t="shared" si="10"/>
        <v>7700</v>
      </c>
      <c r="BU17" s="62">
        <f t="shared" si="11"/>
        <v>49</v>
      </c>
      <c r="BV17" s="62">
        <f t="shared" si="12"/>
        <v>3837.308329308762</v>
      </c>
      <c r="BW17" s="62">
        <f t="shared" si="13"/>
        <v>477</v>
      </c>
      <c r="BX17" s="62">
        <f t="shared" si="67"/>
        <v>18601.536676834505</v>
      </c>
      <c r="BY17" s="62">
        <f t="shared" si="15"/>
        <v>41981.758027777541</v>
      </c>
      <c r="BZ17" s="79">
        <f t="shared" si="68"/>
        <v>0.44308617720407661</v>
      </c>
      <c r="CA17" s="79">
        <f t="shared" si="69"/>
        <v>0.55777847051505802</v>
      </c>
      <c r="CB17" s="79">
        <f t="shared" si="70"/>
        <v>0.44222152948494198</v>
      </c>
      <c r="CC17" s="79">
        <f t="shared" si="19"/>
        <v>9.7080136854495389E-2</v>
      </c>
      <c r="CD17" s="33"/>
      <c r="CF17" s="36">
        <v>42102.092556690142</v>
      </c>
      <c r="CG17" s="36">
        <v>44202.092556690142</v>
      </c>
      <c r="CH17" s="81">
        <f t="shared" si="71"/>
        <v>120.33452891260094</v>
      </c>
      <c r="CI17" s="36">
        <f t="shared" si="72"/>
        <v>220.33452891260094</v>
      </c>
      <c r="CJ17" s="36">
        <v>23500.555879855641</v>
      </c>
      <c r="CK17" s="81">
        <f t="shared" si="73"/>
        <v>-120.33452891260458</v>
      </c>
      <c r="CM17" s="33"/>
      <c r="CN17" s="82"/>
      <c r="CO17" s="82"/>
      <c r="CP17" s="82"/>
      <c r="CQ17" s="33"/>
      <c r="CR17" s="33"/>
      <c r="CS17" s="33"/>
      <c r="CT17" s="83"/>
      <c r="CU17" s="33"/>
      <c r="CV17" s="33"/>
      <c r="CW17" s="33"/>
      <c r="CX17" s="84"/>
      <c r="CY17" s="84"/>
      <c r="CZ17" s="33"/>
      <c r="DA17" s="33"/>
      <c r="DB17" s="33"/>
      <c r="DC17" s="33"/>
      <c r="DD17" s="33"/>
      <c r="DE17" s="33"/>
      <c r="DF17" s="33"/>
      <c r="DH17" s="66">
        <f t="shared" si="20"/>
        <v>7.093841649145656E-2</v>
      </c>
      <c r="DK17" s="90">
        <f t="shared" si="42"/>
        <v>31606.221350943037</v>
      </c>
      <c r="DN17" s="3">
        <f t="shared" si="74"/>
        <v>3028.1654426362638</v>
      </c>
      <c r="DO17" s="86">
        <f t="shared" si="75"/>
        <v>9.5809157602634851E-2</v>
      </c>
      <c r="DP17" s="3">
        <f t="shared" si="43"/>
        <v>1216.0721874015812</v>
      </c>
      <c r="DQ17" s="86">
        <f t="shared" si="76"/>
        <v>3.8475722038987026E-2</v>
      </c>
      <c r="DS17" s="14">
        <f t="shared" si="44"/>
        <v>23380.221350943037</v>
      </c>
      <c r="DT17" s="14">
        <v>22949.610030503507</v>
      </c>
      <c r="DU17" s="14">
        <f t="shared" si="77"/>
        <v>-430.61132043952966</v>
      </c>
      <c r="DW17" s="14">
        <f t="shared" si="45"/>
        <v>41981.758027777541</v>
      </c>
      <c r="DX17" s="14">
        <v>41502.146707338012</v>
      </c>
      <c r="DY17" s="14">
        <f t="shared" si="78"/>
        <v>-479.61132043952966</v>
      </c>
      <c r="EA17" s="3">
        <v>10375.536676834505</v>
      </c>
      <c r="EC17" s="91">
        <f t="shared" si="46"/>
        <v>6706</v>
      </c>
      <c r="ED17" s="92">
        <f t="shared" si="79"/>
        <v>3669.5366768345048</v>
      </c>
      <c r="EE17" s="3">
        <f t="shared" si="80"/>
        <v>10375.536676834505</v>
      </c>
      <c r="EG17" s="14">
        <f t="shared" si="47"/>
        <v>10901.536676834505</v>
      </c>
      <c r="EI17" s="89">
        <f t="shared" si="81"/>
        <v>0.83093981956695506</v>
      </c>
      <c r="EJ17" s="89">
        <f t="shared" si="48"/>
        <v>7.093841649145656E-2</v>
      </c>
      <c r="EL17" s="67"/>
      <c r="EM17" s="67">
        <f t="shared" si="49"/>
        <v>23.380221350943035</v>
      </c>
      <c r="EN17" s="67">
        <f t="shared" si="22"/>
        <v>7.7</v>
      </c>
      <c r="EO17" s="67">
        <f t="shared" si="23"/>
        <v>10.901536676834505</v>
      </c>
      <c r="EP17" s="67">
        <f t="shared" si="24"/>
        <v>2</v>
      </c>
      <c r="ET17" s="66">
        <f t="shared" si="25"/>
        <v>9.8012396350494385E-2</v>
      </c>
      <c r="EW17" s="14">
        <f t="shared" si="27"/>
        <v>10901.536676834505</v>
      </c>
      <c r="EY17" s="14">
        <f t="shared" si="50"/>
        <v>526</v>
      </c>
      <c r="EZ17" s="14" t="e">
        <f t="shared" si="51"/>
        <v>#VALUE!</v>
      </c>
      <c r="FB17" s="14">
        <f t="shared" si="52"/>
        <v>41147.856393180533</v>
      </c>
      <c r="FC17" s="66">
        <f t="shared" si="53"/>
        <v>0.93556643113703641</v>
      </c>
      <c r="FE17" s="14">
        <f t="shared" si="26"/>
        <v>24000</v>
      </c>
    </row>
    <row r="18" spans="2:161" x14ac:dyDescent="0.2">
      <c r="B18" s="4">
        <v>1997</v>
      </c>
      <c r="C18" s="71">
        <f t="shared" si="54"/>
        <v>21372.273291925467</v>
      </c>
      <c r="D18" s="71">
        <f t="shared" si="82"/>
        <v>17879.273291925467</v>
      </c>
      <c r="E18" s="71">
        <f>'Bayesian Sum (10Feb26)'!H13</f>
        <v>3493</v>
      </c>
      <c r="G18" s="14">
        <f>'[1]Data-Nisgaa &amp; Other FN Catch'!BI10</f>
        <v>41</v>
      </c>
      <c r="H18" s="14">
        <v>203</v>
      </c>
      <c r="I18" s="14">
        <f>'Data-Chin-Nisga''a'!N12</f>
        <v>1876.7267080745341</v>
      </c>
      <c r="J18" s="14">
        <f t="shared" si="55"/>
        <v>2120.7267080745341</v>
      </c>
      <c r="L18" s="72">
        <f>'Bayesian Sum (10Feb26)'!K13</f>
        <v>23493</v>
      </c>
      <c r="M18" s="73">
        <f t="shared" si="28"/>
        <v>8.6408717490316263E-3</v>
      </c>
      <c r="N18" s="56">
        <f>'Data-Coastal-Chin-Esc (new)'!J25</f>
        <v>688.34560801498151</v>
      </c>
      <c r="O18" s="74">
        <f t="shared" si="56"/>
        <v>3.8453550171035613</v>
      </c>
      <c r="P18" s="14">
        <f>'Data-Coastal-Chin-Esc (new)'!AA25</f>
        <v>2646.9332372816107</v>
      </c>
      <c r="R18" s="18" t="s">
        <v>106</v>
      </c>
      <c r="S18" s="14">
        <f>'Data-Chin-Nisga''a'!P12+'Data-Chin-Nisga''a'!Q12+'Data-Chin-Nisga''a'!O12</f>
        <v>4828.2732919254659</v>
      </c>
      <c r="T18" s="14">
        <f t="shared" si="57"/>
        <v>4828.2732919254659</v>
      </c>
      <c r="U18" s="73"/>
      <c r="V18" s="14">
        <f t="shared" si="3"/>
        <v>24019.206529207077</v>
      </c>
      <c r="X18" s="14">
        <f t="shared" si="29"/>
        <v>41</v>
      </c>
      <c r="Y18" s="14">
        <f t="shared" si="30"/>
        <v>203</v>
      </c>
      <c r="Z18" s="14">
        <f t="shared" si="30"/>
        <v>6705</v>
      </c>
      <c r="AA18" s="14">
        <f t="shared" si="4"/>
        <v>6949</v>
      </c>
      <c r="AC18" s="14">
        <f>'A3.1b CF-tidal-Harvests (Chin)'!G12</f>
        <v>5664.4138550437501</v>
      </c>
      <c r="AD18" s="14">
        <v>3324.463648449494</v>
      </c>
      <c r="AE18" s="14">
        <f t="shared" si="58"/>
        <v>8988.8775034932441</v>
      </c>
      <c r="AJ18" s="14">
        <f t="shared" si="31"/>
        <v>39957.084032700324</v>
      </c>
      <c r="AK18" s="75">
        <f t="shared" si="7"/>
        <v>1900</v>
      </c>
      <c r="AL18" s="14">
        <f t="shared" si="59"/>
        <v>41857.084032700324</v>
      </c>
      <c r="AM18" s="14"/>
      <c r="AN18" s="14">
        <f>'[1]Data-FW Catch Rates - new'!CE12</f>
        <v>18702</v>
      </c>
      <c r="AO18" s="76">
        <f t="shared" si="32"/>
        <v>2.1922789006523368E-3</v>
      </c>
      <c r="AP18" s="60">
        <f t="shared" si="33"/>
        <v>24</v>
      </c>
      <c r="AQ18" s="59"/>
      <c r="AR18" s="77">
        <f t="shared" si="34"/>
        <v>0.42616149489911015</v>
      </c>
      <c r="AS18" s="61">
        <f t="shared" si="60"/>
        <v>7.9884506366770275E-2</v>
      </c>
      <c r="AT18" s="61">
        <f t="shared" si="35"/>
        <v>8.6408717490316263E-3</v>
      </c>
      <c r="AU18" s="61">
        <f t="shared" si="36"/>
        <v>9.0270578813882188E-2</v>
      </c>
      <c r="AV18" s="61"/>
      <c r="AW18" s="33"/>
      <c r="AX18" s="61">
        <f t="shared" si="37"/>
        <v>0.16018793843263909</v>
      </c>
      <c r="AY18" s="61">
        <f t="shared" si="38"/>
        <v>0.13532748364932679</v>
      </c>
      <c r="AZ18" s="61">
        <f t="shared" si="39"/>
        <v>8.4273993995704691E-2</v>
      </c>
      <c r="BA18" s="61">
        <f t="shared" si="40"/>
        <v>9.79523560885638E-4</v>
      </c>
      <c r="BB18" s="61">
        <f t="shared" si="61"/>
        <v>0.38076893963855618</v>
      </c>
      <c r="BC18" s="61">
        <f t="shared" si="62"/>
        <v>4.5392555260553955E-2</v>
      </c>
      <c r="BD18" s="78">
        <f t="shared" si="41"/>
        <v>0.42616149489911015</v>
      </c>
      <c r="BE18" s="17"/>
      <c r="BF18" s="17"/>
      <c r="BG18" s="22">
        <f>'[1]Data-PSC CH Tables'!C12</f>
        <v>18702</v>
      </c>
      <c r="BH18" s="22">
        <f>'[1]Data-PSC CH Tables'!AG12</f>
        <v>36275.172460346294</v>
      </c>
      <c r="BI18" s="22">
        <f>'[1]Data-PSC CH Tables'!AI12</f>
        <v>38075.172460346294</v>
      </c>
      <c r="BJ18" s="17"/>
      <c r="BK18" s="22">
        <f t="shared" si="63"/>
        <v>-2670.2732919254668</v>
      </c>
      <c r="BL18" s="22">
        <f t="shared" si="64"/>
        <v>-3681.9115723540308</v>
      </c>
      <c r="BM18" s="22">
        <f t="shared" si="65"/>
        <v>-3781.9115723540308</v>
      </c>
      <c r="BO18" s="33"/>
      <c r="BP18" s="33"/>
      <c r="BQ18" s="33"/>
      <c r="BS18" s="62">
        <f t="shared" si="66"/>
        <v>5664.4138550437501</v>
      </c>
      <c r="BT18" s="62">
        <f t="shared" si="10"/>
        <v>6705</v>
      </c>
      <c r="BU18" s="62">
        <f t="shared" si="11"/>
        <v>41</v>
      </c>
      <c r="BV18" s="62">
        <f t="shared" si="12"/>
        <v>3324.463648449494</v>
      </c>
      <c r="BW18" s="62">
        <f t="shared" si="13"/>
        <v>203</v>
      </c>
      <c r="BX18" s="62">
        <f t="shared" si="67"/>
        <v>15937.877503493244</v>
      </c>
      <c r="BY18" s="62">
        <f t="shared" si="15"/>
        <v>39957.084032700324</v>
      </c>
      <c r="BZ18" s="79">
        <f t="shared" si="68"/>
        <v>0.39887489013086908</v>
      </c>
      <c r="CA18" s="79">
        <f t="shared" si="69"/>
        <v>0.56399464116367271</v>
      </c>
      <c r="CB18" s="79">
        <f t="shared" si="70"/>
        <v>0.43600535883632729</v>
      </c>
      <c r="CC18" s="79">
        <f t="shared" si="19"/>
        <v>0.10651491465999345</v>
      </c>
      <c r="CD18" s="33"/>
      <c r="CF18" s="36">
        <v>37145.537539580298</v>
      </c>
      <c r="CG18" s="36">
        <v>39045.537539580298</v>
      </c>
      <c r="CH18" s="81">
        <f t="shared" si="71"/>
        <v>-2811.5464931200258</v>
      </c>
      <c r="CI18" s="36">
        <f t="shared" si="72"/>
        <v>-2811.5464931200258</v>
      </c>
      <c r="CJ18" s="36">
        <v>21207.660036087051</v>
      </c>
      <c r="CK18" s="81">
        <f t="shared" si="73"/>
        <v>2811.5464931200258</v>
      </c>
      <c r="CM18" s="33"/>
      <c r="CN18" s="82"/>
      <c r="CO18" s="82"/>
      <c r="CP18" s="82"/>
      <c r="CQ18" s="33"/>
      <c r="CR18" s="33"/>
      <c r="CS18" s="33"/>
      <c r="CT18" s="83"/>
      <c r="CU18" s="33"/>
      <c r="CV18" s="33"/>
      <c r="CW18" s="33"/>
      <c r="CX18" s="84"/>
      <c r="CY18" s="84"/>
      <c r="CZ18" s="33"/>
      <c r="DA18" s="33"/>
      <c r="DB18" s="33"/>
      <c r="DC18" s="33"/>
      <c r="DD18" s="33"/>
      <c r="DE18" s="33"/>
      <c r="DF18" s="33"/>
      <c r="DH18" s="66">
        <f t="shared" si="20"/>
        <v>0.11020069435112149</v>
      </c>
      <c r="DK18" s="90">
        <f t="shared" si="42"/>
        <v>30968.206529207077</v>
      </c>
      <c r="DN18" s="3">
        <f t="shared" si="74"/>
        <v>2967.0377800277465</v>
      </c>
      <c r="DO18" s="86">
        <f t="shared" si="75"/>
        <v>9.5809157602634851E-2</v>
      </c>
      <c r="DP18" s="3">
        <f t="shared" si="43"/>
        <v>1191.5241064637146</v>
      </c>
      <c r="DQ18" s="86">
        <f t="shared" si="76"/>
        <v>3.8475722038987026E-2</v>
      </c>
      <c r="DS18" s="14">
        <f t="shared" si="44"/>
        <v>24019.206529207077</v>
      </c>
      <c r="DT18" s="14">
        <v>19892.63251047974</v>
      </c>
      <c r="DU18" s="14">
        <f t="shared" si="77"/>
        <v>-4126.5740187273368</v>
      </c>
      <c r="DW18" s="14">
        <f t="shared" si="45"/>
        <v>39957.084032700324</v>
      </c>
      <c r="DX18" s="14">
        <v>35955.510013972984</v>
      </c>
      <c r="DY18" s="14">
        <f t="shared" si="78"/>
        <v>-4001.5740187273404</v>
      </c>
      <c r="EA18" s="3">
        <v>8988.8775034932441</v>
      </c>
      <c r="EC18" s="91">
        <f t="shared" si="46"/>
        <v>5810</v>
      </c>
      <c r="ED18" s="92">
        <f t="shared" si="79"/>
        <v>3178.8775034932441</v>
      </c>
      <c r="EE18" s="3">
        <f t="shared" si="80"/>
        <v>8988.8775034932441</v>
      </c>
      <c r="EG18" s="14">
        <f t="shared" si="47"/>
        <v>9232.8775034932441</v>
      </c>
      <c r="EI18" s="89">
        <f t="shared" si="81"/>
        <v>1.3254548008420683</v>
      </c>
      <c r="EJ18" s="89">
        <f t="shared" si="48"/>
        <v>0.11020069435112149</v>
      </c>
      <c r="EL18" s="67"/>
      <c r="EM18" s="67">
        <f t="shared" si="49"/>
        <v>24.019206529207075</v>
      </c>
      <c r="EN18" s="67">
        <f t="shared" si="22"/>
        <v>6.7050000000000001</v>
      </c>
      <c r="EO18" s="67">
        <f t="shared" si="23"/>
        <v>9.2328775034932438</v>
      </c>
      <c r="EP18" s="67">
        <f t="shared" si="24"/>
        <v>1.9</v>
      </c>
      <c r="ET18" s="66">
        <f t="shared" si="25"/>
        <v>9.0270578813882188E-2</v>
      </c>
      <c r="EW18" s="14">
        <f t="shared" si="27"/>
        <v>9232.8775034932441</v>
      </c>
      <c r="EY18" s="14">
        <f t="shared" si="50"/>
        <v>244</v>
      </c>
      <c r="EZ18" s="14" t="e">
        <f t="shared" si="51"/>
        <v>#VALUE!</v>
      </c>
      <c r="FB18" s="14">
        <f t="shared" si="52"/>
        <v>37618.629942701824</v>
      </c>
      <c r="FC18" s="66">
        <f t="shared" si="53"/>
        <v>0.89873986236864334</v>
      </c>
      <c r="FE18" s="14">
        <f t="shared" si="26"/>
        <v>23000</v>
      </c>
    </row>
    <row r="19" spans="2:161" x14ac:dyDescent="0.2">
      <c r="B19" s="4">
        <v>1998</v>
      </c>
      <c r="C19" s="71">
        <f t="shared" si="54"/>
        <v>24908</v>
      </c>
      <c r="D19" s="71">
        <f t="shared" si="82"/>
        <v>20875</v>
      </c>
      <c r="E19" s="71">
        <f>'Bayesian Sum (10Feb26)'!H14</f>
        <v>4033</v>
      </c>
      <c r="G19" s="14">
        <f>'[1]Data-Nisgaa &amp; Other FN Catch'!BI11</f>
        <v>345</v>
      </c>
      <c r="H19" s="14">
        <v>196</v>
      </c>
      <c r="I19" s="14">
        <f>'Data-Chin-Nisga''a'!N13</f>
        <v>1595</v>
      </c>
      <c r="J19" s="14">
        <f t="shared" si="55"/>
        <v>2136</v>
      </c>
      <c r="L19" s="72">
        <f>'Bayesian Sum (10Feb26)'!K14</f>
        <v>27044</v>
      </c>
      <c r="M19" s="73">
        <f t="shared" si="28"/>
        <v>7.2474486022777694E-3</v>
      </c>
      <c r="N19" s="56">
        <f>'Data-Coastal-Chin-Esc (new)'!J26</f>
        <v>1101.879590817676</v>
      </c>
      <c r="O19" s="74">
        <f t="shared" si="56"/>
        <v>2.3333277671039006</v>
      </c>
      <c r="P19" s="14">
        <f>'Data-Coastal-Chin-Esc (new)'!AA26</f>
        <v>2571.0462452599677</v>
      </c>
      <c r="R19" s="18" t="s">
        <v>106</v>
      </c>
      <c r="S19" s="14">
        <f>'Data-Chin-Nisga''a'!P13+'Data-Chin-Nisga''a'!Q13+'Data-Chin-Nisga''a'!O13</f>
        <v>7470</v>
      </c>
      <c r="T19" s="14">
        <f t="shared" si="57"/>
        <v>7470</v>
      </c>
      <c r="U19" s="73"/>
      <c r="V19" s="14">
        <f t="shared" si="3"/>
        <v>27479.046245259968</v>
      </c>
      <c r="X19" s="14">
        <f t="shared" si="29"/>
        <v>345</v>
      </c>
      <c r="Y19" s="14">
        <f t="shared" si="30"/>
        <v>196</v>
      </c>
      <c r="Z19" s="14">
        <f t="shared" si="30"/>
        <v>9065</v>
      </c>
      <c r="AA19" s="14">
        <f t="shared" si="4"/>
        <v>9606</v>
      </c>
      <c r="AC19" s="14">
        <f>'A3.1b CF-tidal-Harvests (Chin)'!G13</f>
        <v>7191.3883245505385</v>
      </c>
      <c r="AD19" s="14">
        <v>4220.6501287974352</v>
      </c>
      <c r="AE19" s="14">
        <f t="shared" si="58"/>
        <v>11412.038453347974</v>
      </c>
      <c r="AJ19" s="14">
        <f t="shared" si="31"/>
        <v>48497.084698607941</v>
      </c>
      <c r="AK19" s="75">
        <f t="shared" si="7"/>
        <v>2300</v>
      </c>
      <c r="AL19" s="14">
        <f t="shared" si="59"/>
        <v>50797.084698607941</v>
      </c>
      <c r="AM19" s="14"/>
      <c r="AN19" s="14">
        <f>'[1]Data-FW Catch Rates - new'!CE13</f>
        <v>23511.997674418606</v>
      </c>
      <c r="AO19" s="76">
        <f t="shared" si="32"/>
        <v>1.4673359736478922E-2</v>
      </c>
      <c r="AP19" s="60">
        <f t="shared" si="33"/>
        <v>29</v>
      </c>
      <c r="AQ19" s="59"/>
      <c r="AR19" s="77">
        <f t="shared" si="34"/>
        <v>0.4590428484567538</v>
      </c>
      <c r="AS19" s="61">
        <f t="shared" si="60"/>
        <v>5.8977961839964503E-2</v>
      </c>
      <c r="AT19" s="61">
        <f t="shared" si="35"/>
        <v>7.2474486022777694E-3</v>
      </c>
      <c r="AU19" s="61">
        <f t="shared" si="36"/>
        <v>7.8982399053394464E-2</v>
      </c>
      <c r="AV19" s="61"/>
      <c r="AW19" s="33"/>
      <c r="AX19" s="61">
        <f t="shared" si="37"/>
        <v>0.17845512304072086</v>
      </c>
      <c r="AY19" s="61">
        <f t="shared" si="38"/>
        <v>0.14157088673924653</v>
      </c>
      <c r="AZ19" s="61">
        <f t="shared" si="39"/>
        <v>8.6946921363746502E-2</v>
      </c>
      <c r="BA19" s="61">
        <f t="shared" si="40"/>
        <v>6.7917283451791174E-3</v>
      </c>
      <c r="BB19" s="61">
        <f t="shared" si="61"/>
        <v>0.41376465948889302</v>
      </c>
      <c r="BC19" s="61">
        <f t="shared" si="62"/>
        <v>4.5278188967860789E-2</v>
      </c>
      <c r="BD19" s="78">
        <f t="shared" si="41"/>
        <v>0.4590428484567538</v>
      </c>
      <c r="BE19" s="17"/>
      <c r="BF19" s="17"/>
      <c r="BG19" s="22">
        <f>'[1]Data-PSC CH Tables'!C13</f>
        <v>23212.997674418606</v>
      </c>
      <c r="BH19" s="22">
        <f>'[1]Data-PSC CH Tables'!AG13</f>
        <v>45693.153813391888</v>
      </c>
      <c r="BI19" s="22">
        <f>'[1]Data-PSC CH Tables'!AI13</f>
        <v>47993.153813391888</v>
      </c>
      <c r="BJ19" s="17"/>
      <c r="BK19" s="22">
        <f t="shared" si="63"/>
        <v>-1695.002325581394</v>
      </c>
      <c r="BL19" s="22">
        <f t="shared" si="64"/>
        <v>-2803.9308852160539</v>
      </c>
      <c r="BM19" s="22">
        <f t="shared" si="65"/>
        <v>-2803.9308852160539</v>
      </c>
      <c r="BO19" s="33"/>
      <c r="BP19" s="33"/>
      <c r="BQ19" s="33"/>
      <c r="BS19" s="62">
        <f t="shared" si="66"/>
        <v>7191.3883245505385</v>
      </c>
      <c r="BT19" s="62">
        <f t="shared" si="10"/>
        <v>9065</v>
      </c>
      <c r="BU19" s="62">
        <f t="shared" si="11"/>
        <v>345</v>
      </c>
      <c r="BV19" s="62">
        <f t="shared" si="12"/>
        <v>4220.6501287974352</v>
      </c>
      <c r="BW19" s="62">
        <f t="shared" si="13"/>
        <v>196</v>
      </c>
      <c r="BX19" s="62">
        <f t="shared" si="67"/>
        <v>21018.038453347974</v>
      </c>
      <c r="BY19" s="62">
        <f t="shared" si="15"/>
        <v>48497.084698607941</v>
      </c>
      <c r="BZ19" s="79">
        <f t="shared" si="68"/>
        <v>0.43338766822722591</v>
      </c>
      <c r="CA19" s="79">
        <f t="shared" si="69"/>
        <v>0.54296401058920629</v>
      </c>
      <c r="CB19" s="79">
        <f t="shared" si="70"/>
        <v>0.45703598941079371</v>
      </c>
      <c r="CC19" s="79">
        <f t="shared" si="19"/>
        <v>9.8636084017168654E-2</v>
      </c>
      <c r="CD19" s="33"/>
      <c r="CF19" s="36">
        <v>46802.082373026547</v>
      </c>
      <c r="CG19" s="36">
        <v>49202.082373026547</v>
      </c>
      <c r="CH19" s="81">
        <f t="shared" si="71"/>
        <v>-1695.002325581394</v>
      </c>
      <c r="CI19" s="36">
        <f t="shared" si="72"/>
        <v>-1595.002325581394</v>
      </c>
      <c r="CJ19" s="36">
        <v>25784.043919678574</v>
      </c>
      <c r="CK19" s="81">
        <f t="shared" si="73"/>
        <v>1695.002325581394</v>
      </c>
      <c r="CM19" s="33"/>
      <c r="CN19" s="82"/>
      <c r="CO19" s="82"/>
      <c r="CP19" s="82"/>
      <c r="CQ19" s="33"/>
      <c r="CR19" s="33"/>
      <c r="CS19" s="33"/>
      <c r="CT19" s="83"/>
      <c r="CU19" s="33"/>
      <c r="CV19" s="33"/>
      <c r="CW19" s="33"/>
      <c r="CX19" s="84"/>
      <c r="CY19" s="84"/>
      <c r="CZ19" s="33"/>
      <c r="DA19" s="33"/>
      <c r="DB19" s="33"/>
      <c r="DC19" s="33"/>
      <c r="DD19" s="33"/>
      <c r="DE19" s="33"/>
      <c r="DF19" s="33"/>
      <c r="DH19" s="66">
        <f t="shared" si="20"/>
        <v>9.3563882178169244E-2</v>
      </c>
      <c r="DK19" s="90">
        <f t="shared" si="42"/>
        <v>37085.046245259968</v>
      </c>
      <c r="DN19" s="3">
        <f t="shared" si="74"/>
        <v>3553.0870404131142</v>
      </c>
      <c r="DO19" s="86">
        <f t="shared" si="75"/>
        <v>9.5809157602634851E-2</v>
      </c>
      <c r="DP19" s="3">
        <f t="shared" si="43"/>
        <v>1426.8739311356019</v>
      </c>
      <c r="DQ19" s="86">
        <f t="shared" si="76"/>
        <v>3.8475722038987026E-2</v>
      </c>
      <c r="DS19" s="14">
        <f t="shared" si="44"/>
        <v>27479.046245259968</v>
      </c>
      <c r="DT19" s="14">
        <v>24675.115360043914</v>
      </c>
      <c r="DU19" s="14">
        <f t="shared" si="77"/>
        <v>-2803.9308852160539</v>
      </c>
      <c r="DW19" s="14">
        <f t="shared" si="45"/>
        <v>48497.084698607941</v>
      </c>
      <c r="DX19" s="14">
        <v>45648.153813391888</v>
      </c>
      <c r="DY19" s="14">
        <f t="shared" si="78"/>
        <v>-2848.9308852160539</v>
      </c>
      <c r="EA19" s="3">
        <v>11412.038453347974</v>
      </c>
      <c r="EC19" s="91">
        <f t="shared" si="46"/>
        <v>7376</v>
      </c>
      <c r="ED19" s="92">
        <f t="shared" si="79"/>
        <v>4036.0384533479737</v>
      </c>
      <c r="EE19" s="3">
        <f t="shared" si="80"/>
        <v>11412.038453347974</v>
      </c>
      <c r="EG19" s="14">
        <f t="shared" si="47"/>
        <v>11953.038453347974</v>
      </c>
      <c r="EI19" s="89">
        <f t="shared" si="81"/>
        <v>1.2868099325625464</v>
      </c>
      <c r="EJ19" s="89">
        <f t="shared" si="48"/>
        <v>9.3563882178169244E-2</v>
      </c>
      <c r="EL19" s="67"/>
      <c r="EM19" s="67">
        <f t="shared" si="49"/>
        <v>27.479046245259969</v>
      </c>
      <c r="EN19" s="67">
        <f t="shared" si="22"/>
        <v>9.0649999999999995</v>
      </c>
      <c r="EO19" s="67">
        <f t="shared" si="23"/>
        <v>11.953038453347974</v>
      </c>
      <c r="EP19" s="67">
        <f t="shared" si="24"/>
        <v>2.2999999999999998</v>
      </c>
      <c r="ET19" s="66">
        <f t="shared" si="25"/>
        <v>7.8982399053394464E-2</v>
      </c>
      <c r="EW19" s="14">
        <f t="shared" si="27"/>
        <v>11953.038453347974</v>
      </c>
      <c r="EY19" s="14">
        <f t="shared" si="50"/>
        <v>541</v>
      </c>
      <c r="EZ19" s="14" t="e">
        <f t="shared" si="51"/>
        <v>#VALUE!</v>
      </c>
      <c r="FB19" s="14">
        <f t="shared" si="52"/>
        <v>46387.108337169309</v>
      </c>
      <c r="FC19" s="66">
        <f t="shared" si="53"/>
        <v>0.91318445954912275</v>
      </c>
      <c r="FE19" s="14">
        <f t="shared" si="26"/>
        <v>27000</v>
      </c>
    </row>
    <row r="20" spans="2:161" ht="13.5" thickBot="1" x14ac:dyDescent="0.25">
      <c r="B20" s="4">
        <v>1999</v>
      </c>
      <c r="C20" s="71">
        <f t="shared" si="54"/>
        <v>13069</v>
      </c>
      <c r="D20" s="71">
        <f t="shared" si="82"/>
        <v>10844</v>
      </c>
      <c r="E20" s="71">
        <f>'Bayesian Sum (10Feb26)'!H15</f>
        <v>2225</v>
      </c>
      <c r="G20" s="14">
        <f>'[1]Data-Nisgaa &amp; Other FN Catch'!BI12</f>
        <v>193</v>
      </c>
      <c r="H20" s="14">
        <v>82</v>
      </c>
      <c r="I20" s="14">
        <f>'Data-Chin-Nisga''a'!N14</f>
        <v>1608</v>
      </c>
      <c r="J20" s="14">
        <f t="shared" si="55"/>
        <v>1883</v>
      </c>
      <c r="L20" s="72">
        <f>'Bayesian Sum (10Feb26)'!K15</f>
        <v>14952</v>
      </c>
      <c r="M20" s="73">
        <f t="shared" si="28"/>
        <v>5.484216158373462E-3</v>
      </c>
      <c r="N20" s="56">
        <f>'Data-Coastal-Chin-Esc (new)'!J27</f>
        <v>740.06838189246889</v>
      </c>
      <c r="O20" s="74">
        <f t="shared" si="56"/>
        <v>2.3333277671039006</v>
      </c>
      <c r="P20" s="14">
        <f>'Data-Coastal-Chin-Esc (new)'!AA27</f>
        <v>1726.8221050253512</v>
      </c>
      <c r="R20" s="18" t="s">
        <v>106</v>
      </c>
      <c r="S20" s="14">
        <f>'Data-Chin-Nisga''a'!P14+'Data-Chin-Nisga''a'!Q14+'Data-Chin-Nisga''a'!O14</f>
        <v>7309</v>
      </c>
      <c r="T20" s="14">
        <f t="shared" si="57"/>
        <v>7309</v>
      </c>
      <c r="U20" s="73"/>
      <c r="V20" s="14">
        <f t="shared" si="3"/>
        <v>14795.822105025351</v>
      </c>
      <c r="X20" s="14">
        <f t="shared" si="29"/>
        <v>193</v>
      </c>
      <c r="Y20" s="14">
        <f t="shared" si="30"/>
        <v>82</v>
      </c>
      <c r="Z20" s="14">
        <f t="shared" si="30"/>
        <v>8917</v>
      </c>
      <c r="AA20" s="14">
        <f t="shared" si="4"/>
        <v>9192</v>
      </c>
      <c r="AC20" s="14">
        <f>'A3.1b CF-tidal-Harvests (Chin)'!G14</f>
        <v>4561.9285096861749</v>
      </c>
      <c r="AD20" s="14">
        <v>2677.4112706777014</v>
      </c>
      <c r="AE20" s="14">
        <f t="shared" si="58"/>
        <v>7239.3397803638763</v>
      </c>
      <c r="AJ20" s="14">
        <f t="shared" si="31"/>
        <v>31227.161885389225</v>
      </c>
      <c r="AK20" s="75">
        <f t="shared" si="7"/>
        <v>1500</v>
      </c>
      <c r="AL20" s="14">
        <f t="shared" si="59"/>
        <v>32727.161885389225</v>
      </c>
      <c r="AM20" s="14"/>
      <c r="AN20" s="14">
        <f>'[1]Data-FW Catch Rates - new'!CE14</f>
        <v>11730.176923076924</v>
      </c>
      <c r="AO20" s="76">
        <f t="shared" si="32"/>
        <v>1.6453289772663929E-2</v>
      </c>
      <c r="AP20" s="60">
        <f t="shared" si="33"/>
        <v>11</v>
      </c>
      <c r="AQ20" s="59"/>
      <c r="AR20" s="77">
        <f t="shared" si="34"/>
        <v>0.54790390450475257</v>
      </c>
      <c r="AS20" s="61">
        <f t="shared" si="60"/>
        <v>0.10754414125200643</v>
      </c>
      <c r="AT20" s="61">
        <f t="shared" si="35"/>
        <v>5.484216158373462E-3</v>
      </c>
      <c r="AU20" s="61">
        <f t="shared" si="36"/>
        <v>0.12593632958801498</v>
      </c>
      <c r="AV20" s="61"/>
      <c r="AW20" s="33"/>
      <c r="AX20" s="61">
        <f t="shared" si="37"/>
        <v>0.27246481168233905</v>
      </c>
      <c r="AY20" s="61">
        <f t="shared" si="38"/>
        <v>0.13939273211841846</v>
      </c>
      <c r="AZ20" s="61">
        <f t="shared" si="39"/>
        <v>8.4315629944972964E-2</v>
      </c>
      <c r="BA20" s="61">
        <f t="shared" si="40"/>
        <v>5.8972421952104342E-3</v>
      </c>
      <c r="BB20" s="61">
        <f t="shared" si="61"/>
        <v>0.50207041594094093</v>
      </c>
      <c r="BC20" s="61">
        <f t="shared" si="62"/>
        <v>4.5833488563811663E-2</v>
      </c>
      <c r="BD20" s="78">
        <f t="shared" si="41"/>
        <v>0.54790390450475257</v>
      </c>
      <c r="BE20" s="17"/>
      <c r="BF20" s="17"/>
      <c r="BG20" s="22">
        <f>'[1]Data-PSC CH Tables'!C14</f>
        <v>11544</v>
      </c>
      <c r="BH20" s="22">
        <f>'[1]Data-PSC CH Tables'!AG14</f>
        <v>28957.359121455502</v>
      </c>
      <c r="BI20" s="22">
        <f>'[1]Data-PSC CH Tables'!AI14</f>
        <v>30457.359121455502</v>
      </c>
      <c r="BJ20" s="17"/>
      <c r="BK20" s="22">
        <f t="shared" si="63"/>
        <v>-1525</v>
      </c>
      <c r="BL20" s="22">
        <f t="shared" si="64"/>
        <v>-2269.8027639337233</v>
      </c>
      <c r="BM20" s="22">
        <f t="shared" si="65"/>
        <v>-2269.8027639337233</v>
      </c>
      <c r="BO20" s="33"/>
      <c r="BP20" s="33"/>
      <c r="BQ20" s="33"/>
      <c r="BS20" s="62">
        <f t="shared" si="66"/>
        <v>4561.9285096861749</v>
      </c>
      <c r="BT20" s="62">
        <f t="shared" si="10"/>
        <v>8917</v>
      </c>
      <c r="BU20" s="62">
        <f t="shared" si="11"/>
        <v>193</v>
      </c>
      <c r="BV20" s="62">
        <f t="shared" si="12"/>
        <v>2677.4112706777014</v>
      </c>
      <c r="BW20" s="62">
        <f t="shared" si="13"/>
        <v>82</v>
      </c>
      <c r="BX20" s="62">
        <f t="shared" si="67"/>
        <v>16431.339780363876</v>
      </c>
      <c r="BY20" s="62">
        <f t="shared" si="15"/>
        <v>31227.161885389225</v>
      </c>
      <c r="BZ20" s="79">
        <f t="shared" si="68"/>
        <v>0.52618742108778971</v>
      </c>
      <c r="CA20" s="79">
        <f t="shared" si="69"/>
        <v>0.44058122326793969</v>
      </c>
      <c r="CB20" s="79">
        <f t="shared" si="70"/>
        <v>0.55941877673206031</v>
      </c>
      <c r="CC20" s="79">
        <f t="shared" si="19"/>
        <v>8.365242186992683E-2</v>
      </c>
      <c r="CD20" s="33"/>
      <c r="CF20" s="36">
        <v>29702.161885389225</v>
      </c>
      <c r="CG20" s="36">
        <v>31202.161885389225</v>
      </c>
      <c r="CH20" s="81">
        <f t="shared" si="71"/>
        <v>-1525</v>
      </c>
      <c r="CI20" s="36">
        <f t="shared" si="72"/>
        <v>-1525</v>
      </c>
      <c r="CJ20" s="36">
        <v>13270.822105025351</v>
      </c>
      <c r="CK20" s="81">
        <f t="shared" si="73"/>
        <v>1525</v>
      </c>
      <c r="CM20" s="33"/>
      <c r="CN20" s="82"/>
      <c r="CO20" s="82"/>
      <c r="CP20" s="82"/>
      <c r="CQ20" s="33"/>
      <c r="CR20" s="33"/>
      <c r="CS20" s="33"/>
      <c r="CT20" s="83"/>
      <c r="CU20" s="33"/>
      <c r="CV20" s="33"/>
      <c r="CW20" s="33"/>
      <c r="CX20" s="84"/>
      <c r="CY20" s="84"/>
      <c r="CZ20" s="33"/>
      <c r="DA20" s="33"/>
      <c r="DB20" s="33"/>
      <c r="DC20" s="33"/>
      <c r="DD20" s="33"/>
      <c r="DE20" s="33"/>
      <c r="DF20" s="33"/>
      <c r="DH20" s="66">
        <f t="shared" si="20"/>
        <v>0.11671011538039795</v>
      </c>
      <c r="DK20" s="93">
        <f t="shared" si="42"/>
        <v>23987.822105025349</v>
      </c>
      <c r="DN20" s="3">
        <f t="shared" si="74"/>
        <v>2298.2530286043416</v>
      </c>
      <c r="DO20" s="86">
        <f t="shared" si="75"/>
        <v>9.5809157602634851E-2</v>
      </c>
      <c r="DP20" s="3">
        <f t="shared" si="43"/>
        <v>922.948775633624</v>
      </c>
      <c r="DQ20" s="86">
        <f t="shared" si="76"/>
        <v>3.8475722038987026E-2</v>
      </c>
      <c r="DS20" s="14">
        <f t="shared" si="44"/>
        <v>14795.822105025351</v>
      </c>
      <c r="DT20" s="14">
        <v>12526.019341091624</v>
      </c>
      <c r="DU20" s="14">
        <f t="shared" si="77"/>
        <v>-2269.802763933727</v>
      </c>
      <c r="DW20" s="14">
        <f t="shared" si="45"/>
        <v>31227.161885389225</v>
      </c>
      <c r="DX20" s="14">
        <v>28957.359121455502</v>
      </c>
      <c r="DY20" s="14">
        <f t="shared" si="78"/>
        <v>-2269.8027639337233</v>
      </c>
      <c r="EA20" s="3">
        <v>7239.3397803638763</v>
      </c>
      <c r="EC20" s="94">
        <f t="shared" si="46"/>
        <v>4679</v>
      </c>
      <c r="ED20" s="95">
        <f t="shared" si="79"/>
        <v>2560.3397803638763</v>
      </c>
      <c r="EE20" s="3">
        <f t="shared" si="80"/>
        <v>7239.3397803638763</v>
      </c>
      <c r="EG20" s="14">
        <f t="shared" si="47"/>
        <v>7514.3397803638763</v>
      </c>
      <c r="EI20" s="89">
        <f t="shared" si="81"/>
        <v>0.86384297399967547</v>
      </c>
      <c r="EJ20" s="89">
        <f t="shared" si="48"/>
        <v>0.11671011538039795</v>
      </c>
      <c r="EL20" s="67"/>
      <c r="EM20" s="67">
        <f t="shared" si="49"/>
        <v>14.795822105025351</v>
      </c>
      <c r="EN20" s="67">
        <f t="shared" si="22"/>
        <v>8.9169999999999998</v>
      </c>
      <c r="EO20" s="67">
        <f t="shared" si="23"/>
        <v>7.5143397803638763</v>
      </c>
      <c r="EP20" s="67">
        <f t="shared" si="24"/>
        <v>1.5</v>
      </c>
      <c r="ET20" s="66">
        <f t="shared" si="25"/>
        <v>0.12593632958801498</v>
      </c>
      <c r="EW20" s="14">
        <f t="shared" si="27"/>
        <v>7514.3397803638763</v>
      </c>
      <c r="EY20" s="14">
        <f t="shared" si="50"/>
        <v>275</v>
      </c>
      <c r="EZ20" s="14" t="e">
        <f t="shared" si="51"/>
        <v>#VALUE!</v>
      </c>
      <c r="FB20" s="14">
        <f t="shared" si="52"/>
        <v>29338.793916562128</v>
      </c>
      <c r="FC20" s="66">
        <f t="shared" si="53"/>
        <v>0.89646618363385155</v>
      </c>
      <c r="FE20" s="14">
        <f t="shared" si="26"/>
        <v>15000</v>
      </c>
    </row>
    <row r="21" spans="2:161" x14ac:dyDescent="0.2">
      <c r="B21" s="4">
        <v>2000</v>
      </c>
      <c r="C21" s="71">
        <f t="shared" si="54"/>
        <v>18085</v>
      </c>
      <c r="D21" s="71">
        <f t="shared" si="82"/>
        <v>14915</v>
      </c>
      <c r="E21" s="71">
        <f>'Bayesian Sum (10Feb26)'!H16</f>
        <v>3170</v>
      </c>
      <c r="G21" s="14">
        <f>'[1]Data-Nisgaa &amp; Other FN Catch'!BI13</f>
        <v>49</v>
      </c>
      <c r="H21" s="14">
        <f>'[1]Data-SF-FW'!U4</f>
        <v>1023</v>
      </c>
      <c r="I21" s="14">
        <f>'Data-Chin-Nisga''a'!N15</f>
        <v>2498</v>
      </c>
      <c r="J21" s="14">
        <f t="shared" si="55"/>
        <v>3570</v>
      </c>
      <c r="L21" s="72">
        <f>'Bayesian Sum (10Feb26)'!K16</f>
        <v>21655</v>
      </c>
      <c r="M21" s="73">
        <f t="shared" si="28"/>
        <v>4.724082198106673E-2</v>
      </c>
      <c r="N21" s="56">
        <f>'Data-Coastal-Chin-Esc (new)'!J28</f>
        <v>822.75788234449112</v>
      </c>
      <c r="O21" s="74">
        <f t="shared" si="56"/>
        <v>2.3333277671039006</v>
      </c>
      <c r="P21" s="14">
        <f>'Data-Coastal-Chin-Esc (new)'!AA28</f>
        <v>1919.7638124780051</v>
      </c>
      <c r="R21" s="5">
        <f>SUM('[1]Data-SF-FW'!C4:H4)</f>
        <v>214.46730272298021</v>
      </c>
      <c r="S21" s="14">
        <f>'Data-Chin-Nisga''a'!P15+'Data-Chin-Nisga''a'!Q15+'Data-Chin-Nisga''a'!O15</f>
        <v>6828</v>
      </c>
      <c r="T21" s="14">
        <f t="shared" si="57"/>
        <v>7042.4673027229801</v>
      </c>
      <c r="U21" s="73">
        <f t="shared" ref="U21:U43" si="83">R21/SUM(T21,P21)</f>
        <v>2.393012409144624E-2</v>
      </c>
      <c r="V21" s="14">
        <f t="shared" si="3"/>
        <v>20004.763812478006</v>
      </c>
      <c r="X21" s="14">
        <f t="shared" si="29"/>
        <v>49</v>
      </c>
      <c r="Y21" s="14">
        <f t="shared" si="30"/>
        <v>1237.4673027229801</v>
      </c>
      <c r="Z21" s="14">
        <f t="shared" si="30"/>
        <v>9326</v>
      </c>
      <c r="AA21" s="14">
        <f t="shared" si="4"/>
        <v>10612.46730272298</v>
      </c>
      <c r="AC21" s="14">
        <f>'A3.1b CF-tidal-Harvests (Chin)'!G15</f>
        <v>1826</v>
      </c>
      <c r="AD21" s="14">
        <f>'A3.1b CF-tidal-Harvests (Chin)'!L15</f>
        <v>986</v>
      </c>
      <c r="AE21" s="14">
        <f t="shared" si="58"/>
        <v>2812</v>
      </c>
      <c r="AJ21" s="14">
        <f t="shared" si="31"/>
        <v>33429.231115200986</v>
      </c>
      <c r="AK21" s="75">
        <f t="shared" si="7"/>
        <v>1600</v>
      </c>
      <c r="AL21" s="14">
        <f t="shared" si="59"/>
        <v>35029.231115200986</v>
      </c>
      <c r="AM21" s="14"/>
      <c r="AN21" s="14">
        <f>'[1]Data-FW Catch Rates - new'!CE15</f>
        <v>18488.665343866141</v>
      </c>
      <c r="AO21" s="76">
        <f t="shared" si="32"/>
        <v>2.6502724284669038E-3</v>
      </c>
      <c r="AP21" s="60">
        <f t="shared" si="33"/>
        <v>22</v>
      </c>
      <c r="AQ21" s="59"/>
      <c r="AR21" s="77">
        <f t="shared" si="34"/>
        <v>0.42891227767209228</v>
      </c>
      <c r="AS21" s="61">
        <f t="shared" si="60"/>
        <v>0.11535442161163703</v>
      </c>
      <c r="AT21" s="61">
        <f t="shared" si="35"/>
        <v>4.724082198106673E-2</v>
      </c>
      <c r="AU21" s="61">
        <f t="shared" si="36"/>
        <v>0.16485800046178711</v>
      </c>
      <c r="AV21" s="61"/>
      <c r="AW21" s="33"/>
      <c r="AX21" s="61">
        <f t="shared" si="37"/>
        <v>0.26623479029070007</v>
      </c>
      <c r="AY21" s="61">
        <f t="shared" si="38"/>
        <v>5.2127892673259527E-2</v>
      </c>
      <c r="AZ21" s="61">
        <f t="shared" si="39"/>
        <v>6.347462481864477E-2</v>
      </c>
      <c r="BA21" s="61">
        <f t="shared" si="40"/>
        <v>1.3988317311006116E-3</v>
      </c>
      <c r="BB21" s="61">
        <f t="shared" si="61"/>
        <v>0.38323613951370494</v>
      </c>
      <c r="BC21" s="61">
        <f t="shared" si="62"/>
        <v>4.5676138158387315E-2</v>
      </c>
      <c r="BD21" s="78">
        <f t="shared" si="41"/>
        <v>0.42891227767209228</v>
      </c>
      <c r="BE21" s="17"/>
      <c r="BF21" s="17"/>
      <c r="BG21" s="22">
        <f>'[1]Data-PSC CH Tables'!C15</f>
        <v>18046.703991143764</v>
      </c>
      <c r="BH21" s="22">
        <f>'[1]Data-PSC CH Tables'!AG15</f>
        <v>32772.911392876646</v>
      </c>
      <c r="BI21" s="22">
        <f>'[1]Data-PSC CH Tables'!AI15</f>
        <v>34472.911392876646</v>
      </c>
      <c r="BJ21" s="17"/>
      <c r="BK21" s="22">
        <f t="shared" si="63"/>
        <v>-38.296008856235858</v>
      </c>
      <c r="BL21" s="22">
        <f t="shared" si="64"/>
        <v>-656.31972232434055</v>
      </c>
      <c r="BM21" s="22">
        <f t="shared" si="65"/>
        <v>-556.31972232434055</v>
      </c>
      <c r="BO21" s="33"/>
      <c r="BP21" s="33"/>
      <c r="BQ21" s="33"/>
      <c r="BS21" s="62">
        <f t="shared" si="66"/>
        <v>1826</v>
      </c>
      <c r="BT21" s="62">
        <f t="shared" si="10"/>
        <v>9326</v>
      </c>
      <c r="BU21" s="62">
        <f t="shared" si="11"/>
        <v>49</v>
      </c>
      <c r="BV21" s="62">
        <f t="shared" si="12"/>
        <v>986</v>
      </c>
      <c r="BW21" s="62">
        <f t="shared" si="13"/>
        <v>1237.4673027229801</v>
      </c>
      <c r="BX21" s="62">
        <f t="shared" si="67"/>
        <v>13424.46730272298</v>
      </c>
      <c r="BY21" s="62">
        <f t="shared" si="15"/>
        <v>33429.231115200986</v>
      </c>
      <c r="BZ21" s="79">
        <f t="shared" si="68"/>
        <v>0.40157870387328737</v>
      </c>
      <c r="CA21" s="79">
        <f t="shared" si="69"/>
        <v>0.20946827435228077</v>
      </c>
      <c r="CB21" s="79">
        <f t="shared" si="70"/>
        <v>0.79053172564771923</v>
      </c>
      <c r="CC21" s="79">
        <f t="shared" si="19"/>
        <v>0.10649296030016464</v>
      </c>
      <c r="CD21" s="33"/>
      <c r="CF21" s="36">
        <v>33390.935106344754</v>
      </c>
      <c r="CG21" s="36">
        <v>35090.935106344754</v>
      </c>
      <c r="CH21" s="81">
        <f t="shared" si="71"/>
        <v>-38.29600885623222</v>
      </c>
      <c r="CI21" s="36">
        <f t="shared" si="72"/>
        <v>61.70399114376778</v>
      </c>
      <c r="CJ21" s="36">
        <v>19966.46780362177</v>
      </c>
      <c r="CK21" s="81">
        <f t="shared" si="73"/>
        <v>38.296008856235858</v>
      </c>
      <c r="CM21" s="33">
        <f t="shared" ref="CM21:CM46" si="84">B21</f>
        <v>2000</v>
      </c>
      <c r="CN21" s="96">
        <f>AJ21</f>
        <v>33429.231115200986</v>
      </c>
      <c r="CO21" s="97">
        <f>IF((CN21-DE$2-CT21)&gt;0, (CN21-DE$2-CT21),0)</f>
        <v>11409.092581008779</v>
      </c>
      <c r="CP21" s="97">
        <f>CO21+CT21</f>
        <v>18429.231115200986</v>
      </c>
      <c r="CQ21" s="62">
        <f>V21</f>
        <v>20004.763812478006</v>
      </c>
      <c r="CR21" s="98" t="str">
        <f t="shared" ref="CR21:CR44" si="85">IF(ROUND(CQ21,-3)&gt;=DE$3,"Y","N")</f>
        <v>Y</v>
      </c>
      <c r="CS21" s="98" t="str">
        <f>IF(CQ21&gt;DE$2,"Y","N")</f>
        <v>Y</v>
      </c>
      <c r="CT21" s="99">
        <f>IF(CN21*DB$1&gt;12600,12600,CN21*DB$1)</f>
        <v>7020.1385341922069</v>
      </c>
      <c r="CU21" s="100">
        <f>IF(CS21="N",(BX21-BT21)+CT21,CT21)</f>
        <v>7020.1385341922069</v>
      </c>
      <c r="CV21" s="100"/>
      <c r="CW21" s="100"/>
      <c r="CX21" s="101">
        <f>BT21</f>
        <v>9326</v>
      </c>
      <c r="CY21" s="102">
        <f t="shared" ref="CY21:CY42" si="86">CX21-CU21</f>
        <v>2305.8614658077931</v>
      </c>
      <c r="CZ21" s="79">
        <v>1</v>
      </c>
      <c r="DA21" s="103">
        <f>IF(CZ21=100%,CY21,CZ21*CT21*-1)</f>
        <v>2305.8614658077931</v>
      </c>
      <c r="DB21" s="103">
        <f t="shared" ref="DB21:DB39" si="87">IF(CX21&gt;CT21,CY21,(IF(CY21*-1&gt;(CT21*CZ21),CT21*CZ21*-1,CY21)))</f>
        <v>2305.8614658077931</v>
      </c>
      <c r="DC21" s="104">
        <v>2391</v>
      </c>
      <c r="DD21" s="104">
        <f>DC21+DD20</f>
        <v>2391</v>
      </c>
      <c r="DE21" s="105">
        <f>DB21</f>
        <v>2305.8614658077931</v>
      </c>
      <c r="DF21" s="105">
        <f>IF($DB21&gt;0,$DB21,$DB21*-1)</f>
        <v>2305.8614658077931</v>
      </c>
      <c r="DH21" s="66">
        <f t="shared" si="20"/>
        <v>9.5965332581459881E-2</v>
      </c>
      <c r="DK21" s="106">
        <f t="shared" ref="DK21:DK31" si="88">AC21/AJ21</f>
        <v>5.4622853684770475E-2</v>
      </c>
      <c r="DL21" s="106">
        <f t="shared" ref="DL21:DL31" si="89">AD21/AJ21</f>
        <v>2.9495144432192602E-2</v>
      </c>
      <c r="DS21" s="14">
        <f t="shared" si="44"/>
        <v>20004.763812478006</v>
      </c>
      <c r="DT21" s="14">
        <v>19348.444090153665</v>
      </c>
      <c r="DU21" s="14">
        <f t="shared" si="77"/>
        <v>-656.31972232434055</v>
      </c>
      <c r="DW21" s="14">
        <f t="shared" si="45"/>
        <v>33429.231115200986</v>
      </c>
      <c r="DX21" s="14">
        <v>32617.444090153662</v>
      </c>
      <c r="DY21" s="14">
        <f t="shared" si="78"/>
        <v>-811.78702504732428</v>
      </c>
      <c r="EC21" s="3">
        <f t="shared" ref="EC21:ED31" si="90">AC21/$AE21</f>
        <v>0.64935988620199148</v>
      </c>
      <c r="ED21" s="3">
        <f t="shared" si="90"/>
        <v>0.35064011379800852</v>
      </c>
      <c r="EG21" s="14">
        <f t="shared" si="47"/>
        <v>4098.4673027229801</v>
      </c>
      <c r="EI21" s="89">
        <f t="shared" si="81"/>
        <v>0.95988190623900249</v>
      </c>
      <c r="EJ21" s="89">
        <f t="shared" si="48"/>
        <v>9.5965332581459881E-2</v>
      </c>
      <c r="EL21" s="67"/>
      <c r="EM21" s="67">
        <f t="shared" si="49"/>
        <v>20.004763812478007</v>
      </c>
      <c r="EN21" s="67">
        <f t="shared" si="22"/>
        <v>9.3260000000000005</v>
      </c>
      <c r="EO21" s="67">
        <f t="shared" si="23"/>
        <v>4.0984673027229803</v>
      </c>
      <c r="EP21" s="67">
        <f t="shared" si="24"/>
        <v>1.6</v>
      </c>
      <c r="ET21" s="66">
        <f t="shared" si="25"/>
        <v>0.16485800046178711</v>
      </c>
      <c r="EW21" s="14">
        <f t="shared" si="27"/>
        <v>4098.4673027229801</v>
      </c>
      <c r="EY21" s="14">
        <f t="shared" si="50"/>
        <v>1072</v>
      </c>
      <c r="EZ21" s="14">
        <f t="shared" si="51"/>
        <v>1286.4673027229801</v>
      </c>
      <c r="FB21" s="14">
        <f t="shared" si="52"/>
        <v>31979.693046178829</v>
      </c>
      <c r="FC21" s="66">
        <f t="shared" si="53"/>
        <v>0.9185669969909992</v>
      </c>
      <c r="FE21" s="14">
        <f t="shared" si="26"/>
        <v>22000</v>
      </c>
    </row>
    <row r="22" spans="2:161" x14ac:dyDescent="0.2">
      <c r="B22" s="4">
        <v>2001</v>
      </c>
      <c r="C22" s="71">
        <f t="shared" si="54"/>
        <v>29341</v>
      </c>
      <c r="D22" s="71">
        <f t="shared" si="82"/>
        <v>24024</v>
      </c>
      <c r="E22" s="71">
        <f>'Bayesian Sum (10Feb26)'!H17</f>
        <v>5317</v>
      </c>
      <c r="G22" s="14">
        <f>'[1]Data-Nisgaa &amp; Other FN Catch'!BI14</f>
        <v>195</v>
      </c>
      <c r="H22" s="14">
        <f>'[1]Data-SF-FW'!U5</f>
        <v>722</v>
      </c>
      <c r="I22" s="14">
        <f>'Data-Chin-Nisga''a'!N16</f>
        <v>5457</v>
      </c>
      <c r="J22" s="14">
        <f t="shared" si="55"/>
        <v>6374</v>
      </c>
      <c r="L22" s="72">
        <f>'Bayesian Sum (10Feb26)'!K17</f>
        <v>35715</v>
      </c>
      <c r="M22" s="73">
        <f t="shared" si="28"/>
        <v>2.0215595688086237E-2</v>
      </c>
      <c r="N22" s="56">
        <f>'Data-Coastal-Chin-Esc (new)'!J29</f>
        <v>1514.9352638133296</v>
      </c>
      <c r="O22" s="74">
        <f t="shared" si="56"/>
        <v>2.3333277671039006</v>
      </c>
      <c r="P22" s="14">
        <f>'Data-Coastal-Chin-Esc (new)'!AA29</f>
        <v>3534.8405164205146</v>
      </c>
      <c r="R22" s="5">
        <f>SUM('[1]Data-SF-FW'!C5:H5)</f>
        <v>328.00881592926385</v>
      </c>
      <c r="S22" s="14">
        <f>'Data-Chin-Nisga''a'!P16+'Data-Chin-Nisga''a'!Q16+'Data-Chin-Nisga''a'!O16</f>
        <v>6307</v>
      </c>
      <c r="T22" s="14">
        <f t="shared" si="57"/>
        <v>6635.0088159292636</v>
      </c>
      <c r="U22" s="73">
        <f t="shared" si="83"/>
        <v>3.2253065429974886E-2</v>
      </c>
      <c r="V22" s="14">
        <f t="shared" si="3"/>
        <v>32875.840516420518</v>
      </c>
      <c r="X22" s="14">
        <f t="shared" si="29"/>
        <v>195</v>
      </c>
      <c r="Y22" s="14">
        <f t="shared" si="30"/>
        <v>1050.0088159292638</v>
      </c>
      <c r="Z22" s="14">
        <f t="shared" si="30"/>
        <v>11764</v>
      </c>
      <c r="AA22" s="14">
        <f t="shared" si="4"/>
        <v>13009.008815929265</v>
      </c>
      <c r="AC22" s="14">
        <f>'A3.1b CF-tidal-Harvests (Chin)'!G16</f>
        <v>928</v>
      </c>
      <c r="AD22" s="14">
        <f>'A3.1b CF-tidal-Harvests (Chin)'!L16</f>
        <v>1705</v>
      </c>
      <c r="AE22" s="14">
        <f t="shared" si="58"/>
        <v>2633</v>
      </c>
      <c r="AJ22" s="14">
        <f t="shared" si="31"/>
        <v>48517.849332349782</v>
      </c>
      <c r="AK22" s="75">
        <f t="shared" si="7"/>
        <v>2300</v>
      </c>
      <c r="AL22" s="14">
        <f t="shared" si="59"/>
        <v>50817.849332349782</v>
      </c>
      <c r="AM22" s="14"/>
      <c r="AN22" s="14">
        <f>'[1]Data-FW Catch Rates - new'!CE16</f>
        <v>28924.479431156342</v>
      </c>
      <c r="AO22" s="76">
        <f t="shared" si="32"/>
        <v>6.7416943652909263E-3</v>
      </c>
      <c r="AP22" s="60">
        <f t="shared" si="33"/>
        <v>34</v>
      </c>
      <c r="AQ22" s="59"/>
      <c r="AR22" s="77">
        <f t="shared" si="34"/>
        <v>0.35306509526973795</v>
      </c>
      <c r="AS22" s="61">
        <f t="shared" si="60"/>
        <v>0.15279294414111719</v>
      </c>
      <c r="AT22" s="61">
        <f t="shared" si="35"/>
        <v>2.0215595688086237E-2</v>
      </c>
      <c r="AU22" s="61">
        <f t="shared" si="36"/>
        <v>0.17846843063138737</v>
      </c>
      <c r="AV22" s="61"/>
      <c r="AW22" s="33"/>
      <c r="AX22" s="61">
        <f t="shared" si="37"/>
        <v>0.23149346449243055</v>
      </c>
      <c r="AY22" s="61">
        <f t="shared" si="38"/>
        <v>1.8261300157172353E-2</v>
      </c>
      <c r="AZ22" s="61">
        <f t="shared" si="39"/>
        <v>5.4213408322564952E-2</v>
      </c>
      <c r="BA22" s="61">
        <f t="shared" si="40"/>
        <v>3.8372344080265181E-3</v>
      </c>
      <c r="BB22" s="61">
        <f t="shared" si="61"/>
        <v>0.30780540738019441</v>
      </c>
      <c r="BC22" s="61">
        <f t="shared" si="62"/>
        <v>4.5259687889543543E-2</v>
      </c>
      <c r="BD22" s="78">
        <f t="shared" si="41"/>
        <v>0.35306509526973795</v>
      </c>
      <c r="BE22" s="17"/>
      <c r="BF22" s="17"/>
      <c r="BG22" s="22">
        <f>'[1]Data-PSC CH Tables'!C16</f>
        <v>28329</v>
      </c>
      <c r="BH22" s="22">
        <f>'[1]Data-PSC CH Tables'!AG16</f>
        <v>47898.318267833471</v>
      </c>
      <c r="BI22" s="22">
        <f>'[1]Data-PSC CH Tables'!AI16</f>
        <v>50298.318267833471</v>
      </c>
      <c r="BJ22" s="17"/>
      <c r="BK22" s="22">
        <f t="shared" si="63"/>
        <v>-1012</v>
      </c>
      <c r="BL22" s="22">
        <f t="shared" si="64"/>
        <v>-619.53106451631174</v>
      </c>
      <c r="BM22" s="22">
        <f t="shared" si="65"/>
        <v>-519.53106451631174</v>
      </c>
      <c r="BO22" s="33"/>
      <c r="BP22" s="33"/>
      <c r="BQ22" s="33"/>
      <c r="BS22" s="62">
        <f t="shared" si="66"/>
        <v>928</v>
      </c>
      <c r="BT22" s="62">
        <f t="shared" si="10"/>
        <v>11764</v>
      </c>
      <c r="BU22" s="62">
        <f t="shared" si="11"/>
        <v>195</v>
      </c>
      <c r="BV22" s="62">
        <f t="shared" si="12"/>
        <v>1705</v>
      </c>
      <c r="BW22" s="62">
        <f t="shared" si="13"/>
        <v>1050.0088159292638</v>
      </c>
      <c r="BX22" s="62">
        <f t="shared" si="67"/>
        <v>15642.008815929265</v>
      </c>
      <c r="BY22" s="62">
        <f t="shared" si="15"/>
        <v>48517.849332349782</v>
      </c>
      <c r="BZ22" s="79">
        <f t="shared" si="68"/>
        <v>0.32239699473858979</v>
      </c>
      <c r="CA22" s="79">
        <f t="shared" si="69"/>
        <v>0.16832876333112962</v>
      </c>
      <c r="CB22" s="79">
        <f t="shared" si="70"/>
        <v>0.83167123666887044</v>
      </c>
      <c r="CC22" s="79">
        <f t="shared" si="19"/>
        <v>0.1281907741544534</v>
      </c>
      <c r="CD22" s="33"/>
      <c r="CF22" s="36">
        <v>47505.849332349782</v>
      </c>
      <c r="CG22" s="36">
        <v>49905.849332349782</v>
      </c>
      <c r="CH22" s="81">
        <f>AJ22-CF22</f>
        <v>1012</v>
      </c>
      <c r="CI22" s="36">
        <f>AL22-CG22</f>
        <v>912</v>
      </c>
      <c r="CJ22" s="36">
        <v>31863.840516420514</v>
      </c>
      <c r="CK22" s="81">
        <f t="shared" si="73"/>
        <v>1012.0000000000036</v>
      </c>
      <c r="CM22" s="33">
        <f t="shared" si="84"/>
        <v>2001</v>
      </c>
      <c r="CN22" s="96">
        <f t="shared" ref="CN22:CN46" si="91">AJ22</f>
        <v>48517.849332349782</v>
      </c>
      <c r="CO22" s="97">
        <f t="shared" ref="CO22:CO39" si="92">IF((CN22-DE$2-CT22)&gt;0, (CN22-DE$2-CT22),0)</f>
        <v>23329.100972556327</v>
      </c>
      <c r="CP22" s="97">
        <f t="shared" ref="CP22:CP46" si="93">CO22+CT22</f>
        <v>33517.849332349782</v>
      </c>
      <c r="CQ22" s="62">
        <f t="shared" ref="CQ22:CQ39" si="94">V22</f>
        <v>32875.840516420518</v>
      </c>
      <c r="CR22" s="98" t="str">
        <f t="shared" si="85"/>
        <v>Y</v>
      </c>
      <c r="CS22" s="98" t="str">
        <f t="shared" ref="CS22:CS44" si="95">IF(CQ22&gt;DE$2,"Y","N")</f>
        <v>Y</v>
      </c>
      <c r="CT22" s="99">
        <f>IF(CN22*DB$1&gt;12600,12600,CN22*DB$1)</f>
        <v>10188.748359793453</v>
      </c>
      <c r="CU22" s="100">
        <f>IF(CR22="N",0,IF(CS22="N",(BX22-BT22)+CT22,CT22))</f>
        <v>10188.748359793453</v>
      </c>
      <c r="CV22" s="100"/>
      <c r="CW22" s="100"/>
      <c r="CX22" s="101">
        <f t="shared" ref="CX22:CX44" si="96">BT22</f>
        <v>11764</v>
      </c>
      <c r="CY22" s="102">
        <f t="shared" si="86"/>
        <v>1575.2516402065467</v>
      </c>
      <c r="CZ22" s="79">
        <v>1</v>
      </c>
      <c r="DA22" s="103">
        <f t="shared" ref="DA22:DA46" si="97">IF(CZ22=100%,CY22,CZ22*CT22*-1)</f>
        <v>1575.2516402065467</v>
      </c>
      <c r="DB22" s="103">
        <f t="shared" si="87"/>
        <v>1575.2516402065467</v>
      </c>
      <c r="DC22" s="104">
        <v>1317</v>
      </c>
      <c r="DD22" s="104">
        <f>DC22+DD21</f>
        <v>3708</v>
      </c>
      <c r="DE22" s="105">
        <f t="shared" ref="DE22:DE46" si="98">DB22</f>
        <v>1575.2516402065467</v>
      </c>
      <c r="DF22" s="105">
        <f t="shared" ref="DF22:DF46" si="99">IF($DB22&gt;0,$DB22,$DB22*-1)</f>
        <v>1575.2516402065467</v>
      </c>
      <c r="DH22" s="66">
        <f t="shared" si="20"/>
        <v>0.1075209169072032</v>
      </c>
      <c r="DK22" s="106">
        <f t="shared" si="88"/>
        <v>1.9126981363974976E-2</v>
      </c>
      <c r="DL22" s="106">
        <f t="shared" si="89"/>
        <v>3.5141706062044538E-2</v>
      </c>
      <c r="DS22" s="14">
        <f t="shared" si="44"/>
        <v>32875.840516420518</v>
      </c>
      <c r="DT22" s="14">
        <v>32952.32699619772</v>
      </c>
      <c r="DU22" s="14">
        <f t="shared" si="77"/>
        <v>76.486479777202476</v>
      </c>
      <c r="DW22" s="14">
        <f t="shared" si="45"/>
        <v>48517.849332349782</v>
      </c>
      <c r="DX22" s="14">
        <v>48266.32699619772</v>
      </c>
      <c r="DY22" s="14">
        <f t="shared" si="78"/>
        <v>-251.52233615206205</v>
      </c>
      <c r="EC22" s="3">
        <f t="shared" si="90"/>
        <v>0.35244967717432585</v>
      </c>
      <c r="ED22" s="3">
        <f t="shared" si="90"/>
        <v>0.64755032282567415</v>
      </c>
      <c r="EG22" s="14">
        <f t="shared" si="47"/>
        <v>3878.0088159292636</v>
      </c>
      <c r="EI22" s="89">
        <f t="shared" si="81"/>
        <v>1.7665369897153995</v>
      </c>
      <c r="EJ22" s="89">
        <f t="shared" si="48"/>
        <v>0.1075209169072032</v>
      </c>
      <c r="EL22" s="67"/>
      <c r="EM22" s="67">
        <f t="shared" si="49"/>
        <v>32.875840516420517</v>
      </c>
      <c r="EN22" s="67">
        <f t="shared" si="22"/>
        <v>11.763999999999999</v>
      </c>
      <c r="EO22" s="67">
        <f t="shared" si="23"/>
        <v>3.8780088159292636</v>
      </c>
      <c r="EP22" s="67">
        <f t="shared" si="24"/>
        <v>2.2999999999999998</v>
      </c>
      <c r="ET22" s="66">
        <f t="shared" si="25"/>
        <v>0.17846843063138737</v>
      </c>
      <c r="EW22" s="14">
        <f t="shared" si="27"/>
        <v>3878.0088159292645</v>
      </c>
      <c r="EY22" s="14">
        <f t="shared" si="50"/>
        <v>917</v>
      </c>
      <c r="EZ22" s="14">
        <f t="shared" si="51"/>
        <v>1245.0088159292638</v>
      </c>
      <c r="FB22" s="14">
        <f t="shared" si="52"/>
        <v>45942.725634504313</v>
      </c>
      <c r="FC22" s="66">
        <f t="shared" si="53"/>
        <v>0.9099400030697784</v>
      </c>
      <c r="FE22" s="14">
        <f t="shared" si="26"/>
        <v>36000</v>
      </c>
    </row>
    <row r="23" spans="2:161" x14ac:dyDescent="0.2">
      <c r="B23" s="4">
        <v>2002</v>
      </c>
      <c r="C23" s="71">
        <f t="shared" si="54"/>
        <v>14360</v>
      </c>
      <c r="D23" s="71">
        <f t="shared" si="82"/>
        <v>11839</v>
      </c>
      <c r="E23" s="71">
        <f>'Bayesian Sum (10Feb26)'!H18</f>
        <v>2521</v>
      </c>
      <c r="G23" s="14">
        <f>'[1]Data-Nisgaa &amp; Other FN Catch'!BI15</f>
        <v>151</v>
      </c>
      <c r="H23" s="14">
        <f>'[1]Data-SF-FW'!U6</f>
        <v>703</v>
      </c>
      <c r="I23" s="14">
        <f>'Data-Chin-Nisga''a'!N17</f>
        <v>1875</v>
      </c>
      <c r="J23" s="14">
        <f t="shared" si="55"/>
        <v>2729</v>
      </c>
      <c r="L23" s="72">
        <f>'Bayesian Sum (10Feb26)'!K18</f>
        <v>17089</v>
      </c>
      <c r="M23" s="73">
        <f t="shared" si="28"/>
        <v>4.1137573877933174E-2</v>
      </c>
      <c r="N23" s="56">
        <f>'Data-Coastal-Chin-Esc (new)'!J30</f>
        <v>1399.6101396678414</v>
      </c>
      <c r="O23" s="74">
        <f t="shared" si="56"/>
        <v>1.0493416737806214</v>
      </c>
      <c r="P23" s="14">
        <f>'Data-Coastal-Chin-Esc (new)'!AA30</f>
        <v>1468.6692465993819</v>
      </c>
      <c r="R23" s="5">
        <f>SUM('[1]Data-SF-FW'!C6:H6)</f>
        <v>166.66034979401866</v>
      </c>
      <c r="S23" s="14">
        <f>'Data-Chin-Nisga''a'!P17+'Data-Chin-Nisga''a'!Q17+'Data-Chin-Nisga''a'!O17</f>
        <v>3555.8882595702994</v>
      </c>
      <c r="T23" s="14">
        <f t="shared" si="57"/>
        <v>3722.5486093643181</v>
      </c>
      <c r="U23" s="73">
        <f t="shared" si="83"/>
        <v>3.2104287359575621E-2</v>
      </c>
      <c r="V23" s="14">
        <f t="shared" si="3"/>
        <v>15828.669246599382</v>
      </c>
      <c r="X23" s="14">
        <f t="shared" si="29"/>
        <v>151</v>
      </c>
      <c r="Y23" s="14">
        <f t="shared" si="30"/>
        <v>869.66034979401866</v>
      </c>
      <c r="Z23" s="14">
        <f t="shared" si="30"/>
        <v>5430.8882595702999</v>
      </c>
      <c r="AA23" s="14">
        <f t="shared" si="4"/>
        <v>6451.5486093643185</v>
      </c>
      <c r="AC23" s="14">
        <f>'A3.1b CF-tidal-Harvests (Chin)'!G17</f>
        <v>5980</v>
      </c>
      <c r="AD23" s="14">
        <f>'A3.1b CF-tidal-Harvests (Chin)'!L17</f>
        <v>1116</v>
      </c>
      <c r="AE23" s="14">
        <f t="shared" si="58"/>
        <v>7096</v>
      </c>
      <c r="AJ23" s="14">
        <f t="shared" si="31"/>
        <v>29376.2178559637</v>
      </c>
      <c r="AK23" s="75">
        <f t="shared" si="7"/>
        <v>1400</v>
      </c>
      <c r="AL23" s="14">
        <f t="shared" si="59"/>
        <v>30776.2178559637</v>
      </c>
      <c r="AM23" s="14"/>
      <c r="AN23" s="14">
        <f>'[1]Data-FW Catch Rates - new'!CE17</f>
        <v>13909.456177650904</v>
      </c>
      <c r="AO23" s="76">
        <f t="shared" si="32"/>
        <v>1.0855924061403644E-2</v>
      </c>
      <c r="AP23" s="60">
        <f t="shared" si="33"/>
        <v>18</v>
      </c>
      <c r="AQ23" s="59"/>
      <c r="AR23" s="77">
        <f t="shared" si="34"/>
        <v>0.48568504029054499</v>
      </c>
      <c r="AS23" s="61">
        <f t="shared" si="60"/>
        <v>0.10971970273275207</v>
      </c>
      <c r="AT23" s="61">
        <f t="shared" si="35"/>
        <v>4.1137573877933174E-2</v>
      </c>
      <c r="AU23" s="61">
        <f t="shared" si="36"/>
        <v>0.1596933700040962</v>
      </c>
      <c r="AV23" s="61"/>
      <c r="AW23" s="33"/>
      <c r="AX23" s="61">
        <f t="shared" si="37"/>
        <v>0.17646379698075612</v>
      </c>
      <c r="AY23" s="61">
        <f t="shared" si="38"/>
        <v>0.19430587695951138</v>
      </c>
      <c r="AZ23" s="61">
        <f t="shared" si="39"/>
        <v>6.4519310302752E-2</v>
      </c>
      <c r="BA23" s="61">
        <f t="shared" si="40"/>
        <v>4.9063858563354878E-3</v>
      </c>
      <c r="BB23" s="61">
        <f t="shared" si="61"/>
        <v>0.44019537009935505</v>
      </c>
      <c r="BC23" s="61">
        <f t="shared" si="62"/>
        <v>4.5489670191189956E-2</v>
      </c>
      <c r="BD23" s="78">
        <f t="shared" si="41"/>
        <v>0.48568504029054499</v>
      </c>
      <c r="BE23" s="17"/>
      <c r="BF23" s="17"/>
      <c r="BG23" s="22">
        <f>'[1]Data-PSC CH Tables'!C17</f>
        <v>13352</v>
      </c>
      <c r="BH23" s="22">
        <f>'[1]Data-PSC CH Tables'!AG17</f>
        <v>28352.032162114476</v>
      </c>
      <c r="BI23" s="22">
        <f>'[1]Data-PSC CH Tables'!AI17</f>
        <v>29752.032162114476</v>
      </c>
      <c r="BJ23" s="17"/>
      <c r="BK23" s="22">
        <f t="shared" si="63"/>
        <v>-1008</v>
      </c>
      <c r="BL23" s="22">
        <f t="shared" si="64"/>
        <v>-1024.1856938492238</v>
      </c>
      <c r="BM23" s="22">
        <f t="shared" si="65"/>
        <v>-1024.1856938492238</v>
      </c>
      <c r="BO23" s="33"/>
      <c r="BP23" s="33"/>
      <c r="BQ23" s="33"/>
      <c r="BS23" s="62">
        <f t="shared" si="66"/>
        <v>5980</v>
      </c>
      <c r="BT23" s="62">
        <f t="shared" si="10"/>
        <v>5430.8882595702999</v>
      </c>
      <c r="BU23" s="62">
        <f t="shared" si="11"/>
        <v>151</v>
      </c>
      <c r="BV23" s="62">
        <f t="shared" si="12"/>
        <v>1116</v>
      </c>
      <c r="BW23" s="62">
        <f t="shared" si="13"/>
        <v>869.66034979401866</v>
      </c>
      <c r="BX23" s="62">
        <f t="shared" si="67"/>
        <v>13547.548609364319</v>
      </c>
      <c r="BY23" s="62">
        <f t="shared" si="15"/>
        <v>29376.2178559637</v>
      </c>
      <c r="BZ23" s="79">
        <f t="shared" si="68"/>
        <v>0.4611740243686277</v>
      </c>
      <c r="CA23" s="79">
        <f t="shared" si="69"/>
        <v>0.5237847971326054</v>
      </c>
      <c r="CB23" s="79">
        <f t="shared" si="70"/>
        <v>0.47621520286739455</v>
      </c>
      <c r="CC23" s="79">
        <f t="shared" si="19"/>
        <v>9.3660842763403349E-2</v>
      </c>
      <c r="CD23" s="33"/>
      <c r="CF23" s="36">
        <v>28366.035519699588</v>
      </c>
      <c r="CG23" s="36">
        <v>29766.035519699588</v>
      </c>
      <c r="CH23" s="81">
        <f t="shared" ref="CH23:CH46" si="100">AJ23-CF23</f>
        <v>1010.1823362641117</v>
      </c>
      <c r="CI23" s="36">
        <f t="shared" ref="CI23:CI46" si="101">AL23-CG23</f>
        <v>1010.1823362641117</v>
      </c>
      <c r="CJ23" s="36">
        <v>14818.486910335268</v>
      </c>
      <c r="CK23" s="81">
        <f t="shared" si="73"/>
        <v>1010.1823362641135</v>
      </c>
      <c r="CM23" s="33">
        <f t="shared" si="84"/>
        <v>2002</v>
      </c>
      <c r="CN23" s="96">
        <f t="shared" si="91"/>
        <v>29376.2178559637</v>
      </c>
      <c r="CO23" s="97">
        <f t="shared" si="92"/>
        <v>8207.212106211322</v>
      </c>
      <c r="CP23" s="97">
        <f t="shared" si="93"/>
        <v>14376.2178559637</v>
      </c>
      <c r="CQ23" s="62">
        <f t="shared" si="94"/>
        <v>15828.669246599382</v>
      </c>
      <c r="CR23" s="98" t="str">
        <f t="shared" si="85"/>
        <v>Y</v>
      </c>
      <c r="CS23" s="98" t="str">
        <f t="shared" si="95"/>
        <v>Y</v>
      </c>
      <c r="CT23" s="99">
        <f t="shared" ref="CT23:CT46" si="102">IF(CN23*DB$1&gt;12600,12600,CN23*DB$1)</f>
        <v>6169.0057497523767</v>
      </c>
      <c r="CU23" s="100">
        <f t="shared" ref="CU23:CU39" si="103">IF(CR23="N",0,IF(CS23="N",(BX23-BT23)+CT23,CT23))</f>
        <v>6169.0057497523767</v>
      </c>
      <c r="CV23" s="100"/>
      <c r="CW23" s="100"/>
      <c r="CX23" s="101">
        <f t="shared" si="96"/>
        <v>5430.8882595702999</v>
      </c>
      <c r="CY23" s="102">
        <f t="shared" si="86"/>
        <v>-738.11749018207684</v>
      </c>
      <c r="CZ23" s="79">
        <v>1</v>
      </c>
      <c r="DA23" s="103">
        <f t="shared" si="97"/>
        <v>-738.11749018207684</v>
      </c>
      <c r="DB23" s="103">
        <f t="shared" si="87"/>
        <v>-738.11749018207684</v>
      </c>
      <c r="DC23" s="104">
        <v>-884</v>
      </c>
      <c r="DD23" s="104">
        <f>DC23+DD22</f>
        <v>2824</v>
      </c>
      <c r="DE23" s="105">
        <f t="shared" si="98"/>
        <v>-738.11749018207684</v>
      </c>
      <c r="DF23" s="105">
        <f t="shared" si="99"/>
        <v>738.11749018207684</v>
      </c>
      <c r="DH23" s="66">
        <f t="shared" si="20"/>
        <v>9.278538983401334E-2</v>
      </c>
      <c r="DK23" s="106">
        <f t="shared" si="88"/>
        <v>0.20356602845611024</v>
      </c>
      <c r="DL23" s="106">
        <f t="shared" si="89"/>
        <v>3.7989914340638635E-2</v>
      </c>
      <c r="DS23" s="14">
        <f t="shared" si="44"/>
        <v>15828.669246599382</v>
      </c>
      <c r="DT23" s="14">
        <v>17162.387825418129</v>
      </c>
      <c r="DU23" s="14">
        <f t="shared" si="77"/>
        <v>1333.7185788187471</v>
      </c>
      <c r="DW23" s="14">
        <f t="shared" si="45"/>
        <v>29376.2178559637</v>
      </c>
      <c r="DX23" s="14">
        <v>30543.276084988433</v>
      </c>
      <c r="DY23" s="14">
        <f t="shared" si="78"/>
        <v>1167.058229024733</v>
      </c>
      <c r="EC23" s="3">
        <f t="shared" si="90"/>
        <v>0.84272829763246904</v>
      </c>
      <c r="ED23" s="3">
        <f t="shared" si="90"/>
        <v>0.15727170236753099</v>
      </c>
      <c r="EG23" s="14">
        <f t="shared" si="47"/>
        <v>8116.6603497940187</v>
      </c>
      <c r="EI23" s="89">
        <f t="shared" si="81"/>
        <v>0.73360102227741353</v>
      </c>
      <c r="EJ23" s="89">
        <f t="shared" si="48"/>
        <v>9.278538983401334E-2</v>
      </c>
      <c r="EL23" s="67"/>
      <c r="EM23" s="67">
        <f t="shared" si="49"/>
        <v>15.828669246599382</v>
      </c>
      <c r="EN23" s="67">
        <f t="shared" si="22"/>
        <v>5.4308882595702999</v>
      </c>
      <c r="EO23" s="67">
        <f t="shared" si="23"/>
        <v>8.1166603497940191</v>
      </c>
      <c r="EP23" s="67">
        <f t="shared" si="24"/>
        <v>1.4</v>
      </c>
      <c r="ET23" s="66">
        <f t="shared" si="25"/>
        <v>0.1596933700040962</v>
      </c>
      <c r="EW23" s="14">
        <f t="shared" si="27"/>
        <v>8116.6603497940196</v>
      </c>
      <c r="EY23" s="14">
        <f t="shared" si="50"/>
        <v>854</v>
      </c>
      <c r="EZ23" s="14">
        <f t="shared" si="51"/>
        <v>1020.6603497940187</v>
      </c>
      <c r="FB23" s="14">
        <f t="shared" si="52"/>
        <v>28187.091884870577</v>
      </c>
      <c r="FC23" s="66">
        <f t="shared" si="53"/>
        <v>0.92085917541242357</v>
      </c>
      <c r="FE23" s="14">
        <f t="shared" si="26"/>
        <v>17000</v>
      </c>
    </row>
    <row r="24" spans="2:161" x14ac:dyDescent="0.2">
      <c r="B24" s="4">
        <v>2003</v>
      </c>
      <c r="C24" s="71">
        <f t="shared" si="54"/>
        <v>30740</v>
      </c>
      <c r="D24" s="71">
        <f t="shared" si="82"/>
        <v>25724</v>
      </c>
      <c r="E24" s="71">
        <f>'Bayesian Sum (10Feb26)'!H19</f>
        <v>5016</v>
      </c>
      <c r="G24" s="14">
        <f>'[1]Data-Nisgaa &amp; Other FN Catch'!BI16</f>
        <v>181</v>
      </c>
      <c r="H24" s="14">
        <f>'[1]Data-SF-FW'!U7</f>
        <v>1030</v>
      </c>
      <c r="I24" s="14">
        <f>'Data-Chin-Nisga''a'!N18</f>
        <v>2403</v>
      </c>
      <c r="J24" s="14">
        <f t="shared" si="55"/>
        <v>3614</v>
      </c>
      <c r="L24" s="72">
        <f>'Bayesian Sum (10Feb26)'!K19</f>
        <v>34354</v>
      </c>
      <c r="M24" s="73">
        <f t="shared" si="28"/>
        <v>2.9981952611049658E-2</v>
      </c>
      <c r="N24" s="56">
        <f>'Data-Coastal-Chin-Esc (new)'!J31</f>
        <v>1145.1355688191429</v>
      </c>
      <c r="O24" s="74">
        <f t="shared" si="56"/>
        <v>2.3681538088095877</v>
      </c>
      <c r="P24" s="14">
        <f>'Data-Coastal-Chin-Esc (new)'!AA31</f>
        <v>2711.8571589023868</v>
      </c>
      <c r="R24" s="5">
        <f>SUM('[1]Data-SF-FW'!C7:H7)</f>
        <v>160.02049522055177</v>
      </c>
      <c r="S24" s="14">
        <f>'Data-Chin-Nisga''a'!P18+'Data-Chin-Nisga''a'!Q18+'Data-Chin-Nisga''a'!O18</f>
        <v>4306</v>
      </c>
      <c r="T24" s="14">
        <f t="shared" si="57"/>
        <v>4466.0204952205513</v>
      </c>
      <c r="U24" s="73">
        <f t="shared" si="83"/>
        <v>2.2293566835683912E-2</v>
      </c>
      <c r="V24" s="14">
        <f t="shared" si="3"/>
        <v>33451.857158902385</v>
      </c>
      <c r="X24" s="14">
        <f t="shared" si="29"/>
        <v>181</v>
      </c>
      <c r="Y24" s="14">
        <f t="shared" si="30"/>
        <v>1190.0204952205518</v>
      </c>
      <c r="Z24" s="14">
        <f t="shared" si="30"/>
        <v>6709</v>
      </c>
      <c r="AA24" s="14">
        <f t="shared" si="4"/>
        <v>8080.0204952205513</v>
      </c>
      <c r="AC24" s="14">
        <f>'A3.1b CF-tidal-Harvests (Chin)'!G18</f>
        <v>6076</v>
      </c>
      <c r="AD24" s="14">
        <f>'A3.1b CF-tidal-Harvests (Chin)'!L18</f>
        <v>1167</v>
      </c>
      <c r="AE24" s="14">
        <f t="shared" si="58"/>
        <v>7243</v>
      </c>
      <c r="AJ24" s="14">
        <f t="shared" si="31"/>
        <v>48774.877654122938</v>
      </c>
      <c r="AK24" s="75">
        <f t="shared" si="7"/>
        <v>2300</v>
      </c>
      <c r="AL24" s="14">
        <f t="shared" si="59"/>
        <v>51074.877654122938</v>
      </c>
      <c r="AM24" s="14"/>
      <c r="AN24" s="14">
        <f>'[1]Data-FW Catch Rates - new'!CE18</f>
        <v>26658.367611499238</v>
      </c>
      <c r="AO24" s="76">
        <f t="shared" si="32"/>
        <v>6.7896130264902127E-3</v>
      </c>
      <c r="AP24" s="60">
        <f t="shared" si="33"/>
        <v>33</v>
      </c>
      <c r="AQ24" s="59"/>
      <c r="AR24" s="77">
        <f t="shared" si="34"/>
        <v>0.34504283328024699</v>
      </c>
      <c r="AS24" s="61">
        <f t="shared" si="60"/>
        <v>6.9948186528497408E-2</v>
      </c>
      <c r="AT24" s="61">
        <f t="shared" si="35"/>
        <v>2.9981952611049658E-2</v>
      </c>
      <c r="AU24" s="61">
        <f t="shared" si="36"/>
        <v>0.1051988123653723</v>
      </c>
      <c r="AV24" s="61"/>
      <c r="AW24" s="33"/>
      <c r="AX24" s="61">
        <f t="shared" si="37"/>
        <v>0.131356163893981</v>
      </c>
      <c r="AY24" s="61">
        <f t="shared" si="38"/>
        <v>0.11896259529286458</v>
      </c>
      <c r="AZ24" s="61">
        <f t="shared" si="39"/>
        <v>4.6148333652058879E-2</v>
      </c>
      <c r="BA24" s="61">
        <f t="shared" si="40"/>
        <v>3.5438166142212789E-3</v>
      </c>
      <c r="BB24" s="61">
        <f t="shared" si="61"/>
        <v>0.30001090945312575</v>
      </c>
      <c r="BC24" s="61">
        <f t="shared" si="62"/>
        <v>4.503192382712122E-2</v>
      </c>
      <c r="BD24" s="78">
        <f t="shared" si="41"/>
        <v>0.34504283328024699</v>
      </c>
      <c r="BE24" s="17"/>
      <c r="BF24" s="17"/>
      <c r="BG24" s="22">
        <f>'[1]Data-PSC CH Tables'!C18</f>
        <v>25848.367611499238</v>
      </c>
      <c r="BH24" s="22">
        <f>'[1]Data-PSC CH Tables'!AG18</f>
        <v>43596.832974513345</v>
      </c>
      <c r="BI24" s="22">
        <f>'[1]Data-PSC CH Tables'!AI18</f>
        <v>45796.832974513345</v>
      </c>
      <c r="BJ24" s="17"/>
      <c r="BK24" s="22">
        <f t="shared" si="63"/>
        <v>-4891.6323885007623</v>
      </c>
      <c r="BL24" s="22">
        <f t="shared" si="64"/>
        <v>-5178.044679609593</v>
      </c>
      <c r="BM24" s="22">
        <f t="shared" si="65"/>
        <v>-5278.044679609593</v>
      </c>
      <c r="BO24" s="33"/>
      <c r="BP24" s="33"/>
      <c r="BQ24" s="33"/>
      <c r="BS24" s="62">
        <f t="shared" si="66"/>
        <v>6076</v>
      </c>
      <c r="BT24" s="62">
        <f t="shared" si="10"/>
        <v>6709</v>
      </c>
      <c r="BU24" s="62">
        <f t="shared" si="11"/>
        <v>181</v>
      </c>
      <c r="BV24" s="62">
        <f t="shared" si="12"/>
        <v>1167</v>
      </c>
      <c r="BW24" s="62">
        <f t="shared" si="13"/>
        <v>1190.0204952205518</v>
      </c>
      <c r="BX24" s="62">
        <f t="shared" si="67"/>
        <v>15323.020495220551</v>
      </c>
      <c r="BY24" s="62">
        <f t="shared" si="15"/>
        <v>48774.877654122938</v>
      </c>
      <c r="BZ24" s="79">
        <f t="shared" si="68"/>
        <v>0.31415805086956067</v>
      </c>
      <c r="CA24" s="79">
        <f t="shared" si="69"/>
        <v>0.4726874836628448</v>
      </c>
      <c r="CB24" s="79">
        <f t="shared" si="70"/>
        <v>0.52731251633715526</v>
      </c>
      <c r="CC24" s="79">
        <f t="shared" si="19"/>
        <v>0.13051111190750592</v>
      </c>
      <c r="CD24" s="33"/>
      <c r="CF24" s="36">
        <v>43620.216627789407</v>
      </c>
      <c r="CG24" s="36">
        <v>45820.216627789407</v>
      </c>
      <c r="CH24" s="81">
        <f t="shared" si="100"/>
        <v>5154.6610263335315</v>
      </c>
      <c r="CI24" s="36">
        <f t="shared" si="101"/>
        <v>5254.6610263335315</v>
      </c>
      <c r="CJ24" s="36">
        <v>28297.196132568853</v>
      </c>
      <c r="CK24" s="81">
        <f t="shared" si="73"/>
        <v>5154.6610263335315</v>
      </c>
      <c r="CM24" s="33">
        <f t="shared" si="84"/>
        <v>2003</v>
      </c>
      <c r="CN24" s="96">
        <f t="shared" si="91"/>
        <v>48774.877654122938</v>
      </c>
      <c r="CO24" s="97">
        <f t="shared" si="92"/>
        <v>23532.153346757121</v>
      </c>
      <c r="CP24" s="97">
        <f t="shared" si="93"/>
        <v>33774.877654122938</v>
      </c>
      <c r="CQ24" s="62">
        <f t="shared" si="94"/>
        <v>33451.857158902385</v>
      </c>
      <c r="CR24" s="98" t="str">
        <f t="shared" si="85"/>
        <v>Y</v>
      </c>
      <c r="CS24" s="98" t="str">
        <f t="shared" si="95"/>
        <v>Y</v>
      </c>
      <c r="CT24" s="99">
        <f t="shared" si="102"/>
        <v>10242.724307365817</v>
      </c>
      <c r="CU24" s="100">
        <f>IF(CR24="N",0,IF(CS24="N",(BX24-BT24)+CT24,CT24))</f>
        <v>10242.724307365817</v>
      </c>
      <c r="CV24" s="100"/>
      <c r="CW24" s="100"/>
      <c r="CX24" s="101">
        <f t="shared" si="96"/>
        <v>6709</v>
      </c>
      <c r="CY24" s="102">
        <f>CX24-CU24</f>
        <v>-3533.7243073658174</v>
      </c>
      <c r="CZ24" s="79">
        <v>0.1</v>
      </c>
      <c r="DA24" s="103">
        <f t="shared" si="97"/>
        <v>-1024.2724307365818</v>
      </c>
      <c r="DB24" s="107">
        <f t="shared" si="87"/>
        <v>-1024.2724307365818</v>
      </c>
      <c r="DC24" s="33"/>
      <c r="DD24" s="107">
        <f>DB24+DD23</f>
        <v>1799.7275692634182</v>
      </c>
      <c r="DE24" s="105">
        <f t="shared" si="98"/>
        <v>-1024.2724307365818</v>
      </c>
      <c r="DF24" s="105">
        <f t="shared" si="99"/>
        <v>1024.2724307365818</v>
      </c>
      <c r="DH24" s="66">
        <f t="shared" si="20"/>
        <v>8.1067461995325815E-2</v>
      </c>
      <c r="DK24" s="106">
        <f t="shared" si="88"/>
        <v>0.12457232682543481</v>
      </c>
      <c r="DL24" s="106">
        <f t="shared" si="89"/>
        <v>2.3926251712521794E-2</v>
      </c>
      <c r="DS24" s="14">
        <f t="shared" si="44"/>
        <v>33451.857158902385</v>
      </c>
      <c r="DT24" s="14">
        <v>28477.624273975463</v>
      </c>
      <c r="DU24" s="14">
        <f t="shared" si="77"/>
        <v>-4974.2328849269215</v>
      </c>
      <c r="DW24" s="14">
        <f t="shared" si="45"/>
        <v>48774.877654122938</v>
      </c>
      <c r="DX24" s="14">
        <v>43690.62427397546</v>
      </c>
      <c r="DY24" s="14">
        <f t="shared" si="78"/>
        <v>-5084.2533801474783</v>
      </c>
      <c r="EC24" s="3">
        <f t="shared" si="90"/>
        <v>0.83887891757559019</v>
      </c>
      <c r="ED24" s="3">
        <f t="shared" si="90"/>
        <v>0.16112108242440978</v>
      </c>
      <c r="EG24" s="14">
        <f t="shared" si="47"/>
        <v>8614.0204952205513</v>
      </c>
      <c r="EI24" s="89">
        <f t="shared" si="81"/>
        <v>1.3538977328519155</v>
      </c>
      <c r="EJ24" s="89">
        <f t="shared" si="48"/>
        <v>8.1067461995325815E-2</v>
      </c>
      <c r="EL24" s="67"/>
      <c r="EM24" s="67">
        <f t="shared" si="49"/>
        <v>33.451857158902385</v>
      </c>
      <c r="EN24" s="67">
        <f t="shared" si="22"/>
        <v>6.7089999999999996</v>
      </c>
      <c r="EO24" s="67">
        <f t="shared" si="23"/>
        <v>8.6140204952205508</v>
      </c>
      <c r="EP24" s="67">
        <f t="shared" si="24"/>
        <v>2.2999999999999998</v>
      </c>
      <c r="ET24" s="66">
        <f t="shared" si="25"/>
        <v>0.1051988123653723</v>
      </c>
      <c r="EW24" s="14">
        <f t="shared" si="27"/>
        <v>8614.0204952205513</v>
      </c>
      <c r="EY24" s="14">
        <f t="shared" si="50"/>
        <v>1211</v>
      </c>
      <c r="EZ24" s="14">
        <f t="shared" si="51"/>
        <v>1371.0204952205518</v>
      </c>
      <c r="FB24" s="14">
        <f t="shared" si="52"/>
        <v>47189.76267939432</v>
      </c>
      <c r="FC24" s="66">
        <f t="shared" si="53"/>
        <v>0.92683678817202109</v>
      </c>
      <c r="FE24" s="14">
        <f t="shared" si="26"/>
        <v>34000</v>
      </c>
    </row>
    <row r="25" spans="2:161" x14ac:dyDescent="0.2">
      <c r="B25" s="4">
        <v>2004</v>
      </c>
      <c r="C25" s="71">
        <f t="shared" si="54"/>
        <v>13736.6</v>
      </c>
      <c r="D25" s="71">
        <f t="shared" si="82"/>
        <v>11335.6</v>
      </c>
      <c r="E25" s="71">
        <f>'Bayesian Sum (10Feb26)'!H20</f>
        <v>2401</v>
      </c>
      <c r="G25" s="14">
        <f>'[1]Data-Nisgaa &amp; Other FN Catch'!BI17</f>
        <v>230</v>
      </c>
      <c r="H25" s="14">
        <f>'[1]Data-SF-FW'!U8</f>
        <v>643</v>
      </c>
      <c r="I25" s="14">
        <f>'Data-Chin-Nisga''a'!N19</f>
        <v>1994.4</v>
      </c>
      <c r="J25" s="14">
        <f t="shared" si="55"/>
        <v>2867.4</v>
      </c>
      <c r="L25" s="72">
        <f>'Bayesian Sum (10Feb26)'!K20</f>
        <v>16604</v>
      </c>
      <c r="M25" s="73">
        <f t="shared" si="28"/>
        <v>3.8725608287159721E-2</v>
      </c>
      <c r="N25" s="56">
        <f>'Data-Coastal-Chin-Esc (new)'!J32</f>
        <v>801.5948981734</v>
      </c>
      <c r="O25" s="74">
        <f t="shared" si="56"/>
        <v>1.7937853283830598</v>
      </c>
      <c r="P25" s="14">
        <f>'Data-Coastal-Chin-Esc (new)'!AA32</f>
        <v>1437.8891676501578</v>
      </c>
      <c r="R25" s="5">
        <f>SUM('[1]Data-SF-FW'!C8:H8)</f>
        <v>287.10379110691798</v>
      </c>
      <c r="S25" s="14">
        <f>'Data-Chin-Nisga''a'!P19+'Data-Chin-Nisga''a'!Q19+'Data-Chin-Nisga''a'!O19</f>
        <v>3990.2</v>
      </c>
      <c r="T25" s="14">
        <f t="shared" si="57"/>
        <v>4277.3037911069177</v>
      </c>
      <c r="U25" s="73">
        <f t="shared" si="83"/>
        <v>5.0235187714354354E-2</v>
      </c>
      <c r="V25" s="14">
        <f t="shared" si="3"/>
        <v>15174.489167650157</v>
      </c>
      <c r="X25" s="14">
        <f t="shared" si="29"/>
        <v>230</v>
      </c>
      <c r="Y25" s="14">
        <f t="shared" si="30"/>
        <v>930.10379110691792</v>
      </c>
      <c r="Z25" s="14">
        <f t="shared" si="30"/>
        <v>5984.6</v>
      </c>
      <c r="AA25" s="14">
        <f t="shared" si="4"/>
        <v>7144.7037911069183</v>
      </c>
      <c r="AC25" s="14">
        <f>'A3.1b CF-tidal-Harvests (Chin)'!G19</f>
        <v>7185.5119999999997</v>
      </c>
      <c r="AD25" s="14">
        <f>'A3.1b CF-tidal-Harvests (Chin)'!L19</f>
        <v>1925</v>
      </c>
      <c r="AE25" s="14">
        <f t="shared" si="58"/>
        <v>9110.5119999999988</v>
      </c>
      <c r="AJ25" s="14">
        <f t="shared" si="31"/>
        <v>31429.704958757076</v>
      </c>
      <c r="AK25" s="3">
        <v>598</v>
      </c>
      <c r="AL25" s="14">
        <f t="shared" si="59"/>
        <v>32027.704958757076</v>
      </c>
      <c r="AM25" s="14"/>
      <c r="AN25" s="14">
        <f>'[1]Data-FW Catch Rates - new'!CE19</f>
        <v>15736.751738356423</v>
      </c>
      <c r="AO25" s="76">
        <f t="shared" si="32"/>
        <v>1.4615468542939705E-2</v>
      </c>
      <c r="AP25" s="60">
        <f t="shared" si="33"/>
        <v>16</v>
      </c>
      <c r="AQ25" s="59"/>
      <c r="AR25" s="77">
        <f t="shared" si="34"/>
        <v>0.52620741363795021</v>
      </c>
      <c r="AS25" s="61">
        <f t="shared" si="60"/>
        <v>0.12011563478679836</v>
      </c>
      <c r="AT25" s="61">
        <f t="shared" si="35"/>
        <v>3.8725608287159721E-2</v>
      </c>
      <c r="AU25" s="61">
        <f t="shared" si="36"/>
        <v>0.17269332690917852</v>
      </c>
      <c r="AV25" s="61"/>
      <c r="AW25" s="33"/>
      <c r="AX25" s="61">
        <f t="shared" si="37"/>
        <v>0.18685697297719359</v>
      </c>
      <c r="AY25" s="61">
        <f t="shared" si="38"/>
        <v>0.22435300966001073</v>
      </c>
      <c r="AZ25" s="61">
        <f t="shared" si="39"/>
        <v>8.9144813678766893E-2</v>
      </c>
      <c r="BA25" s="61">
        <f t="shared" si="40"/>
        <v>7.181282589438647E-3</v>
      </c>
      <c r="BB25" s="61">
        <f t="shared" si="61"/>
        <v>0.50753607890540986</v>
      </c>
      <c r="BC25" s="108">
        <f t="shared" si="62"/>
        <v>1.8671334732540481E-2</v>
      </c>
      <c r="BD25" s="78">
        <f t="shared" si="41"/>
        <v>0.52620741363795021</v>
      </c>
      <c r="BE25" s="17"/>
      <c r="BF25" s="17"/>
      <c r="BG25" s="22">
        <f>'[1]Data-PSC CH Tables'!C19</f>
        <v>15184.751738356423</v>
      </c>
      <c r="BH25" s="22">
        <f>'[1]Data-PSC CH Tables'!AG19</f>
        <v>33130.599955108351</v>
      </c>
      <c r="BI25" s="22">
        <f>'[1]Data-PSC CH Tables'!AI19</f>
        <v>33728.599955108351</v>
      </c>
      <c r="BJ25" s="17"/>
      <c r="BK25" s="22">
        <f t="shared" si="63"/>
        <v>1448.1517383564224</v>
      </c>
      <c r="BL25" s="22">
        <f t="shared" si="64"/>
        <v>1700.894996351275</v>
      </c>
      <c r="BM25" s="22">
        <f t="shared" si="65"/>
        <v>1700.894996351275</v>
      </c>
      <c r="BO25" s="33"/>
      <c r="BP25" s="33"/>
      <c r="BQ25" s="33"/>
      <c r="BS25" s="62">
        <f t="shared" si="66"/>
        <v>7185.5119999999997</v>
      </c>
      <c r="BT25" s="62">
        <f t="shared" si="10"/>
        <v>5984.6</v>
      </c>
      <c r="BU25" s="62">
        <f t="shared" si="11"/>
        <v>230</v>
      </c>
      <c r="BV25" s="62">
        <f t="shared" si="12"/>
        <v>1925</v>
      </c>
      <c r="BW25" s="62">
        <f t="shared" si="13"/>
        <v>930.10379110691792</v>
      </c>
      <c r="BX25" s="62">
        <f t="shared" si="67"/>
        <v>16255.215791106919</v>
      </c>
      <c r="BY25" s="62">
        <f t="shared" si="15"/>
        <v>31429.704958757076</v>
      </c>
      <c r="BZ25" s="79">
        <f t="shared" si="68"/>
        <v>0.51719275801148823</v>
      </c>
      <c r="CA25" s="79">
        <f t="shared" si="69"/>
        <v>0.56046699822861024</v>
      </c>
      <c r="CB25" s="79">
        <f t="shared" si="70"/>
        <v>0.43953300177138965</v>
      </c>
      <c r="CC25" s="79">
        <f t="shared" si="19"/>
        <v>3.5482842408957452E-2</v>
      </c>
      <c r="CD25" s="33"/>
      <c r="CF25" s="36">
        <v>33146.899300017598</v>
      </c>
      <c r="CG25" s="36">
        <v>33744.899300017598</v>
      </c>
      <c r="CH25" s="81">
        <f t="shared" si="100"/>
        <v>-1717.1943412605215</v>
      </c>
      <c r="CI25" s="36">
        <f t="shared" si="101"/>
        <v>-1717.1943412605215</v>
      </c>
      <c r="CJ25" s="36">
        <v>16891.683508910683</v>
      </c>
      <c r="CK25" s="81">
        <f t="shared" si="73"/>
        <v>-1717.1943412605251</v>
      </c>
      <c r="CM25" s="33">
        <f t="shared" si="84"/>
        <v>2004</v>
      </c>
      <c r="CN25" s="96">
        <f t="shared" si="91"/>
        <v>31429.704958757076</v>
      </c>
      <c r="CO25" s="97">
        <f t="shared" si="92"/>
        <v>9829.4669174180908</v>
      </c>
      <c r="CP25" s="97">
        <f t="shared" si="93"/>
        <v>16429.704958757076</v>
      </c>
      <c r="CQ25" s="62">
        <f t="shared" si="94"/>
        <v>15174.489167650157</v>
      </c>
      <c r="CR25" s="98" t="str">
        <f t="shared" si="85"/>
        <v>Y</v>
      </c>
      <c r="CS25" s="98" t="str">
        <f t="shared" si="95"/>
        <v>Y</v>
      </c>
      <c r="CT25" s="99">
        <f t="shared" si="102"/>
        <v>6600.2380413389856</v>
      </c>
      <c r="CU25" s="100">
        <f t="shared" si="103"/>
        <v>6600.2380413389856</v>
      </c>
      <c r="CV25" s="100"/>
      <c r="CW25" s="100"/>
      <c r="CX25" s="101">
        <f t="shared" si="96"/>
        <v>5984.6</v>
      </c>
      <c r="CY25" s="102">
        <f t="shared" si="86"/>
        <v>-615.6380413389852</v>
      </c>
      <c r="CZ25" s="79">
        <v>0.1</v>
      </c>
      <c r="DA25" s="103">
        <f t="shared" si="97"/>
        <v>-660.02380413389858</v>
      </c>
      <c r="DB25" s="107">
        <f t="shared" si="87"/>
        <v>-615.6380413389852</v>
      </c>
      <c r="DC25" s="33"/>
      <c r="DD25" s="107">
        <f t="shared" ref="DD25:DD46" si="104">DB25+DD24</f>
        <v>1184.089527924433</v>
      </c>
      <c r="DE25" s="105">
        <f t="shared" si="98"/>
        <v>-615.6380413389852</v>
      </c>
      <c r="DF25" s="105">
        <f t="shared" si="99"/>
        <v>615.6380413389852</v>
      </c>
      <c r="DH25" s="66">
        <f t="shared" si="20"/>
        <v>9.4757006431263072E-2</v>
      </c>
      <c r="DK25" s="106">
        <f t="shared" si="88"/>
        <v>0.22862168160436205</v>
      </c>
      <c r="DL25" s="106">
        <f t="shared" si="89"/>
        <v>6.1247790983912767E-2</v>
      </c>
      <c r="DS25" s="14">
        <f t="shared" si="44"/>
        <v>15174.489167650157</v>
      </c>
      <c r="DT25" s="14">
        <v>17670.381390128794</v>
      </c>
      <c r="DU25" s="14">
        <f t="shared" si="77"/>
        <v>2495.8922224786365</v>
      </c>
      <c r="DW25" s="14">
        <f t="shared" si="45"/>
        <v>31429.704958757076</v>
      </c>
      <c r="DX25" s="14">
        <v>32875.501390128797</v>
      </c>
      <c r="DY25" s="14">
        <f t="shared" si="78"/>
        <v>1445.7964313717202</v>
      </c>
      <c r="EC25" s="3">
        <f t="shared" si="90"/>
        <v>0.78870561830114494</v>
      </c>
      <c r="ED25" s="3">
        <f t="shared" si="90"/>
        <v>0.21129438169885514</v>
      </c>
      <c r="EG25" s="14">
        <f t="shared" si="47"/>
        <v>10270.615791106917</v>
      </c>
      <c r="EI25" s="89">
        <f t="shared" si="81"/>
        <v>0.7175095646956875</v>
      </c>
      <c r="EJ25" s="89">
        <f t="shared" si="48"/>
        <v>9.4757006431263072E-2</v>
      </c>
      <c r="EL25" s="67"/>
      <c r="EM25" s="67">
        <f t="shared" si="49"/>
        <v>15.174489167650158</v>
      </c>
      <c r="EN25" s="67">
        <f t="shared" si="22"/>
        <v>5.9846000000000004</v>
      </c>
      <c r="EO25" s="67">
        <f t="shared" si="23"/>
        <v>10.270615791106916</v>
      </c>
      <c r="EP25" s="67">
        <f t="shared" si="24"/>
        <v>0.59799999999999998</v>
      </c>
      <c r="ET25" s="66">
        <f t="shared" si="25"/>
        <v>0.17269332690917852</v>
      </c>
      <c r="EW25" s="14">
        <f t="shared" si="27"/>
        <v>10270.615791106919</v>
      </c>
      <c r="EY25" s="14">
        <f t="shared" si="50"/>
        <v>873</v>
      </c>
      <c r="EZ25" s="14">
        <f t="shared" si="51"/>
        <v>1160.1037911069179</v>
      </c>
      <c r="FB25" s="14">
        <f t="shared" si="52"/>
        <v>29210.962160915675</v>
      </c>
      <c r="FC25" s="66">
        <f t="shared" si="53"/>
        <v>0.92030273801768203</v>
      </c>
      <c r="FE25" s="14">
        <f t="shared" si="26"/>
        <v>17000</v>
      </c>
    </row>
    <row r="26" spans="2:161" x14ac:dyDescent="0.2">
      <c r="B26" s="4">
        <v>2005</v>
      </c>
      <c r="C26" s="71">
        <f t="shared" si="54"/>
        <v>13109.8</v>
      </c>
      <c r="D26" s="71">
        <f t="shared" si="82"/>
        <v>10776.8</v>
      </c>
      <c r="E26" s="71">
        <f>'Bayesian Sum (10Feb26)'!H21</f>
        <v>2333</v>
      </c>
      <c r="G26" s="14">
        <f>'[1]Data-Nisgaa &amp; Other FN Catch'!BI18</f>
        <v>179</v>
      </c>
      <c r="H26" s="14">
        <f>'[1]Data-SF-FW'!U9</f>
        <v>600</v>
      </c>
      <c r="I26" s="14">
        <f>'Data-Chin-Nisga''a'!N20</f>
        <v>2290.1999999999998</v>
      </c>
      <c r="J26" s="14">
        <f t="shared" si="55"/>
        <v>3069.2</v>
      </c>
      <c r="L26" s="72">
        <f>'Bayesian Sum (10Feb26)'!K21</f>
        <v>16178.999999999998</v>
      </c>
      <c r="M26" s="73">
        <f t="shared" si="28"/>
        <v>3.7085110328203233E-2</v>
      </c>
      <c r="N26" s="56">
        <f>'Data-Coastal-Chin-Esc (new)'!J33</f>
        <v>996.39339008363618</v>
      </c>
      <c r="O26" s="74">
        <f t="shared" si="56"/>
        <v>1.6829648043389642</v>
      </c>
      <c r="P26" s="14">
        <f>'Data-Coastal-Chin-Esc (new)'!AA33</f>
        <v>1676.895006786744</v>
      </c>
      <c r="R26" s="5">
        <f>SUM('[1]Data-SF-FW'!C9:H9)</f>
        <v>156.13668283080534</v>
      </c>
      <c r="S26" s="14">
        <f>'Data-Chin-Nisga''a'!P20+'Data-Chin-Nisga''a'!Q20+'Data-Chin-Nisga''a'!O20</f>
        <v>4311.2000000000007</v>
      </c>
      <c r="T26" s="14">
        <f t="shared" si="57"/>
        <v>4467.3366828308062</v>
      </c>
      <c r="U26" s="73">
        <f t="shared" si="83"/>
        <v>2.5411913273817983E-2</v>
      </c>
      <c r="V26" s="14">
        <f t="shared" si="3"/>
        <v>14786.695006786744</v>
      </c>
      <c r="X26" s="14">
        <f t="shared" si="29"/>
        <v>179</v>
      </c>
      <c r="Y26" s="14">
        <f t="shared" si="30"/>
        <v>756.13668283080528</v>
      </c>
      <c r="Z26" s="14">
        <f t="shared" si="30"/>
        <v>6601.4000000000005</v>
      </c>
      <c r="AA26" s="14">
        <f t="shared" si="4"/>
        <v>7536.5366828308061</v>
      </c>
      <c r="AC26" s="14">
        <f>'A3.1b CF-tidal-Harvests (Chin)'!G20</f>
        <v>3448.6480000000001</v>
      </c>
      <c r="AD26" s="14">
        <f>'A3.1b CF-tidal-Harvests (Chin)'!L20</f>
        <v>1542</v>
      </c>
      <c r="AE26" s="14">
        <f t="shared" si="58"/>
        <v>4990.6480000000001</v>
      </c>
      <c r="AJ26" s="14">
        <f t="shared" si="31"/>
        <v>27313.879689617552</v>
      </c>
      <c r="AK26" s="3">
        <v>251</v>
      </c>
      <c r="AL26" s="14">
        <f t="shared" si="59"/>
        <v>27564.879689617552</v>
      </c>
      <c r="AM26" s="109">
        <v>622</v>
      </c>
      <c r="AN26" s="14">
        <f>'[1]Data-FW Catch Rates - new'!CE20</f>
        <v>14374.486895266944</v>
      </c>
      <c r="AO26" s="76">
        <f t="shared" si="32"/>
        <v>1.2452618399821905E-2</v>
      </c>
      <c r="AP26" s="60">
        <f t="shared" si="33"/>
        <v>15</v>
      </c>
      <c r="AQ26" s="59"/>
      <c r="AR26" s="77">
        <f t="shared" si="34"/>
        <v>0.46356758406762694</v>
      </c>
      <c r="AS26" s="61">
        <f t="shared" si="60"/>
        <v>0.14155386612275173</v>
      </c>
      <c r="AT26" s="61">
        <f t="shared" si="35"/>
        <v>3.7085110328203233E-2</v>
      </c>
      <c r="AU26" s="61">
        <f t="shared" si="36"/>
        <v>0.18970270103220224</v>
      </c>
      <c r="AV26" s="61"/>
      <c r="AW26" s="33"/>
      <c r="AX26" s="61">
        <f t="shared" si="37"/>
        <v>0.23948589924324795</v>
      </c>
      <c r="AY26" s="61">
        <f t="shared" si="38"/>
        <v>0.12511021411419221</v>
      </c>
      <c r="AZ26" s="61">
        <f t="shared" si="39"/>
        <v>8.337191051468329E-2</v>
      </c>
      <c r="BA26" s="61">
        <f t="shared" si="40"/>
        <v>6.4937704069653983E-3</v>
      </c>
      <c r="BB26" s="61">
        <f t="shared" si="61"/>
        <v>0.45446179427908884</v>
      </c>
      <c r="BC26" s="108">
        <f t="shared" si="62"/>
        <v>9.1057897885380712E-3</v>
      </c>
      <c r="BD26" s="78">
        <f t="shared" si="41"/>
        <v>0.46356758406762694</v>
      </c>
      <c r="BE26" s="17"/>
      <c r="BF26" s="17"/>
      <c r="BG26" s="22">
        <f>'[1]Data-PSC CH Tables'!C20</f>
        <v>13706.486895266944</v>
      </c>
      <c r="BH26" s="22">
        <f>'[1]Data-PSC CH Tables'!AG20</f>
        <v>28115.467449808668</v>
      </c>
      <c r="BI26" s="22">
        <f>'[1]Data-PSC CH Tables'!AI20</f>
        <v>28366.467449808668</v>
      </c>
      <c r="BJ26" s="17"/>
      <c r="BK26" s="22">
        <f t="shared" si="63"/>
        <v>596.6868952669447</v>
      </c>
      <c r="BL26" s="22">
        <f t="shared" si="64"/>
        <v>801.5877601911161</v>
      </c>
      <c r="BM26" s="22">
        <f t="shared" si="65"/>
        <v>801.5877601911161</v>
      </c>
      <c r="BO26" s="33"/>
      <c r="BP26" s="33"/>
      <c r="BQ26" s="33"/>
      <c r="BS26" s="62">
        <f t="shared" si="66"/>
        <v>3448.6480000000001</v>
      </c>
      <c r="BT26" s="62">
        <f t="shared" si="10"/>
        <v>6601.4000000000005</v>
      </c>
      <c r="BU26" s="62">
        <f t="shared" si="11"/>
        <v>179</v>
      </c>
      <c r="BV26" s="62">
        <f t="shared" si="12"/>
        <v>1542</v>
      </c>
      <c r="BW26" s="62">
        <f t="shared" si="13"/>
        <v>756.13668283080528</v>
      </c>
      <c r="BX26" s="62">
        <f t="shared" si="67"/>
        <v>12527.184682830806</v>
      </c>
      <c r="BY26" s="62">
        <f t="shared" si="15"/>
        <v>27313.879689617552</v>
      </c>
      <c r="BZ26" s="79">
        <f t="shared" si="68"/>
        <v>0.45863805600610419</v>
      </c>
      <c r="CA26" s="79">
        <f t="shared" si="69"/>
        <v>0.39838544145038085</v>
      </c>
      <c r="CB26" s="79">
        <f t="shared" si="70"/>
        <v>0.60161455854961909</v>
      </c>
      <c r="CC26" s="79">
        <f t="shared" si="19"/>
        <v>1.9642852739266786E-2</v>
      </c>
      <c r="CD26" s="33"/>
      <c r="CF26" s="36">
        <v>28133.445900143179</v>
      </c>
      <c r="CG26" s="36">
        <v>28384.445900143179</v>
      </c>
      <c r="CH26" s="81">
        <f t="shared" si="100"/>
        <v>-819.56621052562696</v>
      </c>
      <c r="CI26" s="36">
        <f t="shared" si="101"/>
        <v>-819.56621052562696</v>
      </c>
      <c r="CJ26" s="36">
        <v>15589.261217312373</v>
      </c>
      <c r="CK26" s="81">
        <f t="shared" si="73"/>
        <v>-802.56621052562878</v>
      </c>
      <c r="CM26" s="33">
        <f t="shared" si="84"/>
        <v>2005</v>
      </c>
      <c r="CN26" s="96">
        <f t="shared" si="91"/>
        <v>27313.879689617552</v>
      </c>
      <c r="CO26" s="97">
        <f t="shared" si="92"/>
        <v>6577.9649547978661</v>
      </c>
      <c r="CP26" s="97">
        <f t="shared" si="93"/>
        <v>12313.879689617552</v>
      </c>
      <c r="CQ26" s="62">
        <f t="shared" si="94"/>
        <v>14786.695006786744</v>
      </c>
      <c r="CR26" s="98" t="str">
        <f t="shared" si="85"/>
        <v>Y</v>
      </c>
      <c r="CS26" s="98" t="str">
        <f t="shared" si="95"/>
        <v>N</v>
      </c>
      <c r="CT26" s="99">
        <f t="shared" si="102"/>
        <v>5735.9147348196857</v>
      </c>
      <c r="CU26" s="100">
        <f>IF(CR26="N",0,IF(CS26="N",(BX26-BT26)+CT26,CT26))</f>
        <v>11661.699417650492</v>
      </c>
      <c r="CV26" s="100"/>
      <c r="CW26" s="100"/>
      <c r="CX26" s="101">
        <f t="shared" si="96"/>
        <v>6601.4000000000005</v>
      </c>
      <c r="CY26" s="102">
        <f t="shared" si="86"/>
        <v>-5060.2994176504917</v>
      </c>
      <c r="CZ26" s="79">
        <v>0.1</v>
      </c>
      <c r="DA26" s="103">
        <f t="shared" si="97"/>
        <v>-573.59147348196859</v>
      </c>
      <c r="DB26" s="107">
        <f t="shared" si="87"/>
        <v>-5060.2994176504917</v>
      </c>
      <c r="DC26" s="33"/>
      <c r="DD26" s="107">
        <f t="shared" si="104"/>
        <v>-3876.2098897260585</v>
      </c>
      <c r="DE26" s="105">
        <f t="shared" si="98"/>
        <v>-5060.2994176504917</v>
      </c>
      <c r="DF26" s="105">
        <f t="shared" si="99"/>
        <v>5060.2994176504917</v>
      </c>
      <c r="DH26" s="66">
        <f t="shared" si="20"/>
        <v>0.11340566678470672</v>
      </c>
      <c r="DK26" s="106">
        <f t="shared" si="88"/>
        <v>0.12625991031625167</v>
      </c>
      <c r="DL26" s="106">
        <f t="shared" si="89"/>
        <v>5.6454814091684645E-2</v>
      </c>
      <c r="DS26" s="14">
        <f t="shared" si="44"/>
        <v>14786.695006786744</v>
      </c>
      <c r="DT26" s="14">
        <v>16663.306215128945</v>
      </c>
      <c r="DU26" s="14">
        <f t="shared" si="77"/>
        <v>1876.6112083422013</v>
      </c>
      <c r="DW26" s="14">
        <f t="shared" si="45"/>
        <v>27313.879689617552</v>
      </c>
      <c r="DX26" s="14">
        <v>28324.306215128945</v>
      </c>
      <c r="DY26" s="14">
        <f t="shared" si="78"/>
        <v>1010.4265255113933</v>
      </c>
      <c r="EC26" s="3">
        <f t="shared" si="90"/>
        <v>0.69102208771285811</v>
      </c>
      <c r="ED26" s="3">
        <f t="shared" si="90"/>
        <v>0.30897791228714189</v>
      </c>
      <c r="EG26" s="14">
        <f t="shared" si="47"/>
        <v>5925.7846828308057</v>
      </c>
      <c r="EI26" s="89">
        <f t="shared" si="81"/>
        <v>0.83635661186371268</v>
      </c>
      <c r="EJ26" s="89">
        <f t="shared" si="48"/>
        <v>0.11340566678470672</v>
      </c>
      <c r="EL26" s="67"/>
      <c r="EM26" s="67">
        <f t="shared" si="49"/>
        <v>14.786695006786744</v>
      </c>
      <c r="EN26" s="67">
        <f t="shared" si="22"/>
        <v>6.6014000000000008</v>
      </c>
      <c r="EO26" s="67">
        <f t="shared" si="23"/>
        <v>5.9257846828308054</v>
      </c>
      <c r="EP26" s="67">
        <f t="shared" si="24"/>
        <v>0.251</v>
      </c>
      <c r="ET26" s="66">
        <f t="shared" si="25"/>
        <v>0.18970270103220224</v>
      </c>
      <c r="EW26" s="14">
        <f t="shared" si="27"/>
        <v>5925.7846828308057</v>
      </c>
      <c r="EY26" s="14">
        <f t="shared" si="50"/>
        <v>779</v>
      </c>
      <c r="EZ26" s="14">
        <f t="shared" si="51"/>
        <v>935.13668283080528</v>
      </c>
      <c r="FB26" s="14">
        <f t="shared" si="52"/>
        <v>24834.714414385606</v>
      </c>
      <c r="FC26" s="66">
        <f t="shared" si="53"/>
        <v>0.90608731703734924</v>
      </c>
      <c r="FE26" s="14">
        <f t="shared" si="26"/>
        <v>16000</v>
      </c>
    </row>
    <row r="27" spans="2:161" x14ac:dyDescent="0.2">
      <c r="B27" s="4">
        <v>2006</v>
      </c>
      <c r="C27" s="71">
        <f t="shared" si="54"/>
        <v>22580.6</v>
      </c>
      <c r="D27" s="71">
        <f t="shared" si="82"/>
        <v>18518.599999999999</v>
      </c>
      <c r="E27" s="71">
        <f>'Bayesian Sum (10Feb26)'!H22</f>
        <v>4062</v>
      </c>
      <c r="G27" s="14">
        <f>'[1]Data-Nisgaa &amp; Other FN Catch'!BI19</f>
        <v>456</v>
      </c>
      <c r="H27" s="14">
        <f>'[1]Data-SF-FW'!U10</f>
        <v>1012</v>
      </c>
      <c r="I27" s="14">
        <f>'Data-Chin-Nisga''a'!N21</f>
        <v>3584.4</v>
      </c>
      <c r="J27" s="14">
        <f t="shared" si="55"/>
        <v>5052.3999999999996</v>
      </c>
      <c r="L27" s="72">
        <f>'Bayesian Sum (10Feb26)'!K22</f>
        <v>27633</v>
      </c>
      <c r="M27" s="73">
        <f t="shared" si="28"/>
        <v>3.6622878442442011E-2</v>
      </c>
      <c r="N27" s="56">
        <f>'Data-Coastal-Chin-Esc (new)'!J34</f>
        <v>964.39827963336984</v>
      </c>
      <c r="O27" s="74">
        <f t="shared" si="56"/>
        <v>4.1676136499719521</v>
      </c>
      <c r="P27" s="14">
        <f>'Data-Coastal-Chin-Esc (new)'!AA34</f>
        <v>4019.2394342094994</v>
      </c>
      <c r="R27" s="5">
        <f>SUM('[1]Data-SF-FW'!C10:H10)</f>
        <v>267.9066579719829</v>
      </c>
      <c r="S27" s="14">
        <f>'Data-Chin-Nisga''a'!P21+'Data-Chin-Nisga''a'!Q21+'Data-Chin-Nisga''a'!O21</f>
        <v>4225.3999999999996</v>
      </c>
      <c r="T27" s="14">
        <f t="shared" si="57"/>
        <v>4493.3066579719825</v>
      </c>
      <c r="U27" s="73">
        <f t="shared" si="83"/>
        <v>3.1471977369737489E-2</v>
      </c>
      <c r="V27" s="14">
        <f t="shared" si="3"/>
        <v>26599.839434209498</v>
      </c>
      <c r="X27" s="14">
        <f t="shared" si="29"/>
        <v>456</v>
      </c>
      <c r="Y27" s="14">
        <f t="shared" si="30"/>
        <v>1279.9066579719829</v>
      </c>
      <c r="Z27" s="14">
        <f t="shared" si="30"/>
        <v>7809.7999999999993</v>
      </c>
      <c r="AA27" s="14">
        <f t="shared" si="4"/>
        <v>9545.7066579719831</v>
      </c>
      <c r="AC27" s="14">
        <f>'A3.1b CF-tidal-Harvests (Chin)'!G21</f>
        <v>4939.2640000000001</v>
      </c>
      <c r="AD27" s="14">
        <f>'A3.1b CF-tidal-Harvests (Chin)'!L21</f>
        <v>983</v>
      </c>
      <c r="AE27" s="14">
        <f t="shared" si="58"/>
        <v>5922.2640000000001</v>
      </c>
      <c r="AJ27" s="14">
        <f t="shared" si="31"/>
        <v>42067.810092181484</v>
      </c>
      <c r="AK27" s="3">
        <v>1750</v>
      </c>
      <c r="AL27" s="14">
        <f t="shared" si="59"/>
        <v>43817.810092181484</v>
      </c>
      <c r="AM27" s="109">
        <v>2741</v>
      </c>
      <c r="AN27" s="14">
        <f>'[1]Data-FW Catch Rates - new'!CE21</f>
        <v>24539.274081002797</v>
      </c>
      <c r="AO27" s="76">
        <f t="shared" si="32"/>
        <v>1.8582456779070524E-2</v>
      </c>
      <c r="AP27" s="60">
        <f t="shared" si="33"/>
        <v>30</v>
      </c>
      <c r="AQ27" s="59"/>
      <c r="AR27" s="77">
        <f t="shared" si="34"/>
        <v>0.39294457257790311</v>
      </c>
      <c r="AS27" s="61">
        <f t="shared" si="60"/>
        <v>0.12971447182716317</v>
      </c>
      <c r="AT27" s="61">
        <f t="shared" si="35"/>
        <v>3.6622878442442011E-2</v>
      </c>
      <c r="AU27" s="61">
        <f t="shared" si="36"/>
        <v>0.1828393587377411</v>
      </c>
      <c r="AV27" s="61"/>
      <c r="AW27" s="33"/>
      <c r="AX27" s="61">
        <f t="shared" si="37"/>
        <v>0.17823346222849051</v>
      </c>
      <c r="AY27" s="61">
        <f t="shared" si="38"/>
        <v>0.1127227488002949</v>
      </c>
      <c r="AZ27" s="61">
        <f t="shared" si="39"/>
        <v>5.1643536114913208E-2</v>
      </c>
      <c r="BA27" s="61">
        <f t="shared" si="40"/>
        <v>1.0406727288303374E-2</v>
      </c>
      <c r="BB27" s="61">
        <f t="shared" si="61"/>
        <v>0.353006474432002</v>
      </c>
      <c r="BC27" s="61">
        <f t="shared" si="62"/>
        <v>3.9938098145901102E-2</v>
      </c>
      <c r="BD27" s="78">
        <f t="shared" si="41"/>
        <v>0.39294457257790311</v>
      </c>
      <c r="BE27" s="17"/>
      <c r="BF27" s="17"/>
      <c r="BG27" s="22">
        <f>'[1]Data-PSC CH Tables'!C21</f>
        <v>23594.274081002797</v>
      </c>
      <c r="BH27" s="22">
        <f>'[1]Data-PSC CH Tables'!AG21</f>
        <v>43559.187215170736</v>
      </c>
      <c r="BI27" s="22">
        <f>'[1]Data-PSC CH Tables'!AI21</f>
        <v>45309.187215170736</v>
      </c>
      <c r="BJ27" s="17"/>
      <c r="BK27" s="22">
        <f t="shared" si="63"/>
        <v>1013.6740810027986</v>
      </c>
      <c r="BL27" s="22">
        <f t="shared" si="64"/>
        <v>1491.3771229892518</v>
      </c>
      <c r="BM27" s="22">
        <f t="shared" si="65"/>
        <v>1491.3771229892518</v>
      </c>
      <c r="BO27" s="33"/>
      <c r="BP27" s="33"/>
      <c r="BQ27" s="33"/>
      <c r="BS27" s="62">
        <f t="shared" si="66"/>
        <v>4939.2640000000001</v>
      </c>
      <c r="BT27" s="62">
        <f t="shared" si="10"/>
        <v>7809.7999999999993</v>
      </c>
      <c r="BU27" s="62">
        <f t="shared" si="11"/>
        <v>456</v>
      </c>
      <c r="BV27" s="62">
        <f t="shared" si="12"/>
        <v>983</v>
      </c>
      <c r="BW27" s="62">
        <f t="shared" si="13"/>
        <v>1279.9066579719829</v>
      </c>
      <c r="BX27" s="62">
        <f t="shared" si="67"/>
        <v>15467.970657971982</v>
      </c>
      <c r="BY27" s="62">
        <f t="shared" si="15"/>
        <v>42067.810092181484</v>
      </c>
      <c r="BZ27" s="79">
        <f t="shared" si="68"/>
        <v>0.36769136839016925</v>
      </c>
      <c r="CA27" s="79">
        <f t="shared" si="69"/>
        <v>0.38287272008417894</v>
      </c>
      <c r="CB27" s="79">
        <f t="shared" si="70"/>
        <v>0.61712727991582106</v>
      </c>
      <c r="CC27" s="79">
        <f t="shared" si="19"/>
        <v>0.10163799409135035</v>
      </c>
      <c r="CD27" s="33"/>
      <c r="CF27" s="36">
        <v>43603.252895802958</v>
      </c>
      <c r="CG27" s="36">
        <v>45353.252895802958</v>
      </c>
      <c r="CH27" s="81">
        <f t="shared" si="100"/>
        <v>-1535.442803621474</v>
      </c>
      <c r="CI27" s="36">
        <f t="shared" si="101"/>
        <v>-1535.442803621474</v>
      </c>
      <c r="CJ27" s="36">
        <v>28104.282237830972</v>
      </c>
      <c r="CK27" s="81">
        <f t="shared" si="73"/>
        <v>-1504.442803621474</v>
      </c>
      <c r="CM27" s="33">
        <f t="shared" si="84"/>
        <v>2006</v>
      </c>
      <c r="CN27" s="96">
        <f t="shared" si="91"/>
        <v>42067.810092181484</v>
      </c>
      <c r="CO27" s="97">
        <f t="shared" si="92"/>
        <v>18233.569972823374</v>
      </c>
      <c r="CP27" s="97">
        <f t="shared" si="93"/>
        <v>27067.810092181484</v>
      </c>
      <c r="CQ27" s="62">
        <f t="shared" si="94"/>
        <v>26599.839434209498</v>
      </c>
      <c r="CR27" s="98" t="str">
        <f t="shared" si="85"/>
        <v>Y</v>
      </c>
      <c r="CS27" s="98" t="str">
        <f t="shared" si="95"/>
        <v>Y</v>
      </c>
      <c r="CT27" s="99">
        <f t="shared" si="102"/>
        <v>8834.2401193581118</v>
      </c>
      <c r="CU27" s="100">
        <f t="shared" si="103"/>
        <v>8834.2401193581118</v>
      </c>
      <c r="CV27" s="100"/>
      <c r="CW27" s="100"/>
      <c r="CX27" s="101">
        <f t="shared" si="96"/>
        <v>7809.7999999999993</v>
      </c>
      <c r="CY27" s="102">
        <f t="shared" si="86"/>
        <v>-1024.4401193581125</v>
      </c>
      <c r="CZ27" s="79">
        <v>0.1</v>
      </c>
      <c r="DA27" s="103">
        <f t="shared" si="97"/>
        <v>-883.42401193581122</v>
      </c>
      <c r="DB27" s="107">
        <f t="shared" si="87"/>
        <v>-883.42401193581122</v>
      </c>
      <c r="DC27" s="33"/>
      <c r="DD27" s="107">
        <f t="shared" si="104"/>
        <v>-4759.6339016618695</v>
      </c>
      <c r="DE27" s="105">
        <f t="shared" si="98"/>
        <v>-883.42401193581122</v>
      </c>
      <c r="DF27" s="105">
        <f t="shared" si="99"/>
        <v>883.42401193581122</v>
      </c>
      <c r="DH27" s="66">
        <f t="shared" si="20"/>
        <v>0.1511001389369456</v>
      </c>
      <c r="DK27" s="106">
        <f t="shared" si="88"/>
        <v>0.11741195914826066</v>
      </c>
      <c r="DL27" s="106">
        <f t="shared" si="89"/>
        <v>2.3367035218757336E-2</v>
      </c>
      <c r="DS27" s="14">
        <f t="shared" si="44"/>
        <v>26599.839434209498</v>
      </c>
      <c r="DT27" s="14">
        <v>28577.107523933752</v>
      </c>
      <c r="DU27" s="14">
        <f t="shared" si="77"/>
        <v>1977.2680897242535</v>
      </c>
      <c r="DW27" s="14">
        <f t="shared" si="45"/>
        <v>42067.810092181484</v>
      </c>
      <c r="DX27" s="14">
        <v>42688.913623933746</v>
      </c>
      <c r="DY27" s="14">
        <f t="shared" si="78"/>
        <v>621.10353175226192</v>
      </c>
      <c r="EC27" s="3">
        <f t="shared" si="90"/>
        <v>0.83401618029861557</v>
      </c>
      <c r="ED27" s="3">
        <f t="shared" si="90"/>
        <v>0.16598381970138446</v>
      </c>
      <c r="EG27" s="14">
        <f t="shared" si="47"/>
        <v>7658.170657971983</v>
      </c>
      <c r="EI27" s="89">
        <f t="shared" si="81"/>
        <v>2.0036088904334495</v>
      </c>
      <c r="EJ27" s="89">
        <f t="shared" si="48"/>
        <v>0.1511001389369456</v>
      </c>
      <c r="EL27" s="67"/>
      <c r="EM27" s="67">
        <f t="shared" si="49"/>
        <v>26.5998394342095</v>
      </c>
      <c r="EN27" s="67">
        <f t="shared" si="22"/>
        <v>7.8097999999999992</v>
      </c>
      <c r="EO27" s="67">
        <f t="shared" si="23"/>
        <v>7.6581706579719828</v>
      </c>
      <c r="EP27" s="67">
        <f t="shared" si="24"/>
        <v>1.75</v>
      </c>
      <c r="ET27" s="66">
        <f t="shared" si="25"/>
        <v>0.1828393587377411</v>
      </c>
      <c r="EW27" s="14">
        <f t="shared" si="27"/>
        <v>7658.170657971983</v>
      </c>
      <c r="EY27" s="14">
        <f t="shared" si="50"/>
        <v>1468</v>
      </c>
      <c r="EZ27" s="14">
        <f t="shared" si="51"/>
        <v>1735.9066579719829</v>
      </c>
      <c r="FB27" s="14">
        <f t="shared" si="52"/>
        <v>38019.884314942654</v>
      </c>
      <c r="FC27" s="66">
        <f t="shared" si="53"/>
        <v>0.87301879721453335</v>
      </c>
      <c r="FE27" s="14">
        <f t="shared" si="26"/>
        <v>28000</v>
      </c>
    </row>
    <row r="28" spans="2:161" x14ac:dyDescent="0.2">
      <c r="B28" s="4">
        <v>2007</v>
      </c>
      <c r="C28" s="71">
        <f t="shared" si="54"/>
        <v>20640.400000000001</v>
      </c>
      <c r="D28" s="71">
        <f t="shared" si="82"/>
        <v>16385.400000000001</v>
      </c>
      <c r="E28" s="71">
        <f>'Bayesian Sum (10Feb26)'!H23</f>
        <v>4255</v>
      </c>
      <c r="G28" s="14">
        <f>'[1]Data-Nisgaa &amp; Other FN Catch'!BI20</f>
        <v>24</v>
      </c>
      <c r="H28" s="14">
        <f>'[1]Data-SF-FW'!U11</f>
        <v>965</v>
      </c>
      <c r="I28" s="14">
        <f>'Data-Chin-Nisga''a'!N22</f>
        <v>4092.6</v>
      </c>
      <c r="J28" s="14">
        <f t="shared" si="55"/>
        <v>5081.6000000000004</v>
      </c>
      <c r="L28" s="72">
        <f>'Bayesian Sum (10Feb26)'!K23</f>
        <v>25722</v>
      </c>
      <c r="M28" s="73">
        <f t="shared" si="28"/>
        <v>3.75165228209315E-2</v>
      </c>
      <c r="N28" s="56">
        <f>'Data-Coastal-Chin-Esc (new)'!J35</f>
        <v>1912.5599223080219</v>
      </c>
      <c r="O28" s="74">
        <f t="shared" si="56"/>
        <v>1.2961707598810583</v>
      </c>
      <c r="P28" s="14">
        <f>'Data-Coastal-Chin-Esc (new)'!AA35</f>
        <v>2479.0042478160467</v>
      </c>
      <c r="R28" s="5">
        <f>SUM('[1]Data-SF-FW'!C11:H11)</f>
        <v>525</v>
      </c>
      <c r="S28" s="14">
        <f>'Data-Chin-Nisga''a'!P22+'Data-Chin-Nisga''a'!Q22+'Data-Chin-Nisga''a'!O22</f>
        <v>2721.4</v>
      </c>
      <c r="T28" s="14">
        <f t="shared" si="57"/>
        <v>3246.4</v>
      </c>
      <c r="U28" s="73">
        <f t="shared" si="83"/>
        <v>9.1696581983754438E-2</v>
      </c>
      <c r="V28" s="14">
        <f t="shared" si="3"/>
        <v>23119.404247816048</v>
      </c>
      <c r="X28" s="14">
        <f t="shared" si="29"/>
        <v>24</v>
      </c>
      <c r="Y28" s="14">
        <f t="shared" si="30"/>
        <v>1490</v>
      </c>
      <c r="Z28" s="14">
        <f t="shared" si="30"/>
        <v>6814</v>
      </c>
      <c r="AA28" s="14">
        <f t="shared" si="4"/>
        <v>8328</v>
      </c>
      <c r="AC28" s="14">
        <f>'A3.1b CF-tidal-Harvests (Chin)'!G22</f>
        <v>4475.0479999999998</v>
      </c>
      <c r="AD28" s="14">
        <f>'A3.1b CF-tidal-Harvests (Chin)'!L22</f>
        <v>1810</v>
      </c>
      <c r="AE28" s="14">
        <f t="shared" si="58"/>
        <v>6285.0479999999998</v>
      </c>
      <c r="AJ28" s="14">
        <f t="shared" si="31"/>
        <v>37732.452247816051</v>
      </c>
      <c r="AK28" s="3">
        <v>1322</v>
      </c>
      <c r="AL28" s="14">
        <f t="shared" si="59"/>
        <v>39054.452247816051</v>
      </c>
      <c r="AM28" s="109">
        <v>1141</v>
      </c>
      <c r="AN28" s="14">
        <f>'[1]Data-FW Catch Rates - new'!CE22</f>
        <v>22649.31290378391</v>
      </c>
      <c r="AO28" s="76">
        <f t="shared" si="32"/>
        <v>1.05963479342415E-3</v>
      </c>
      <c r="AP28" s="60">
        <f t="shared" si="33"/>
        <v>27</v>
      </c>
      <c r="AQ28" s="59"/>
      <c r="AR28" s="77">
        <f t="shared" si="34"/>
        <v>0.4080212903483007</v>
      </c>
      <c r="AS28" s="61">
        <f t="shared" si="60"/>
        <v>0.15910893398647072</v>
      </c>
      <c r="AT28" s="61">
        <f t="shared" si="35"/>
        <v>3.75165228209315E-2</v>
      </c>
      <c r="AU28" s="61">
        <f t="shared" si="36"/>
        <v>0.19755851022471038</v>
      </c>
      <c r="AV28" s="61"/>
      <c r="AW28" s="33"/>
      <c r="AX28" s="61">
        <f t="shared" si="37"/>
        <v>0.17447434563318048</v>
      </c>
      <c r="AY28" s="61">
        <f t="shared" si="38"/>
        <v>0.11458483584929161</v>
      </c>
      <c r="AZ28" s="61">
        <f t="shared" si="39"/>
        <v>8.4497408363589016E-2</v>
      </c>
      <c r="BA28" s="61">
        <f t="shared" si="40"/>
        <v>6.1452660628064744E-4</v>
      </c>
      <c r="BB28" s="61">
        <f t="shared" si="61"/>
        <v>0.37417111645234175</v>
      </c>
      <c r="BC28" s="61">
        <f>AK28/AL28</f>
        <v>3.3850173895958999E-2</v>
      </c>
      <c r="BD28" s="78">
        <f t="shared" si="41"/>
        <v>0.4080212903483007</v>
      </c>
      <c r="BE28" s="17"/>
      <c r="BF28" s="17"/>
      <c r="BG28" s="22">
        <f>'[1]Data-PSC CH Tables'!C22</f>
        <v>22136.31290378391</v>
      </c>
      <c r="BH28" s="22">
        <f>'[1]Data-PSC CH Tables'!AG22</f>
        <v>39605.233147075145</v>
      </c>
      <c r="BI28" s="22">
        <f>'[1]Data-PSC CH Tables'!AI22</f>
        <v>40927.233147075145</v>
      </c>
      <c r="BJ28" s="17"/>
      <c r="BK28" s="22">
        <f t="shared" si="63"/>
        <v>1495.9129037839084</v>
      </c>
      <c r="BL28" s="22">
        <f t="shared" si="64"/>
        <v>1872.7808992590944</v>
      </c>
      <c r="BM28" s="22">
        <f t="shared" si="65"/>
        <v>1872.7808992590944</v>
      </c>
      <c r="BO28" s="33"/>
      <c r="BP28" s="33"/>
      <c r="BQ28" s="33"/>
      <c r="BS28" s="62">
        <f t="shared" si="66"/>
        <v>4475.0479999999998</v>
      </c>
      <c r="BT28" s="62">
        <f t="shared" si="10"/>
        <v>6814</v>
      </c>
      <c r="BU28" s="62">
        <f t="shared" si="11"/>
        <v>24</v>
      </c>
      <c r="BV28" s="62">
        <f t="shared" si="12"/>
        <v>1810</v>
      </c>
      <c r="BW28" s="62">
        <f t="shared" si="13"/>
        <v>1490</v>
      </c>
      <c r="BX28" s="62">
        <f t="shared" si="67"/>
        <v>14613.047999999999</v>
      </c>
      <c r="BY28" s="62">
        <f t="shared" si="15"/>
        <v>37732.452247816051</v>
      </c>
      <c r="BZ28" s="79">
        <f t="shared" si="68"/>
        <v>0.38728063323384448</v>
      </c>
      <c r="CA28" s="79">
        <f t="shared" si="69"/>
        <v>0.4300983614096115</v>
      </c>
      <c r="CB28" s="79">
        <f t="shared" si="70"/>
        <v>0.56990163859038856</v>
      </c>
      <c r="CC28" s="79">
        <f t="shared" si="19"/>
        <v>8.2961783359548097E-2</v>
      </c>
      <c r="CD28" s="33"/>
      <c r="CF28" s="36">
        <v>39632.49659260804</v>
      </c>
      <c r="CG28" s="36">
        <v>40954.49659260804</v>
      </c>
      <c r="CH28" s="81">
        <f t="shared" si="100"/>
        <v>-1900.0443447919897</v>
      </c>
      <c r="CI28" s="36">
        <f t="shared" si="101"/>
        <v>-1900.0443447919897</v>
      </c>
      <c r="CJ28" s="36">
        <v>24991.448592608034</v>
      </c>
      <c r="CK28" s="81">
        <f t="shared" si="73"/>
        <v>-1872.0443447919861</v>
      </c>
      <c r="CM28" s="33">
        <f t="shared" si="84"/>
        <v>2007</v>
      </c>
      <c r="CN28" s="96">
        <f t="shared" si="91"/>
        <v>37732.452247816051</v>
      </c>
      <c r="CO28" s="97">
        <f t="shared" si="92"/>
        <v>14808.637275774679</v>
      </c>
      <c r="CP28" s="97">
        <f t="shared" si="93"/>
        <v>22732.452247816051</v>
      </c>
      <c r="CQ28" s="62">
        <f t="shared" si="94"/>
        <v>23119.404247816048</v>
      </c>
      <c r="CR28" s="98" t="str">
        <f t="shared" si="85"/>
        <v>Y</v>
      </c>
      <c r="CS28" s="98" t="str">
        <f t="shared" si="95"/>
        <v>Y</v>
      </c>
      <c r="CT28" s="99">
        <f t="shared" si="102"/>
        <v>7923.8149720413703</v>
      </c>
      <c r="CU28" s="100">
        <f t="shared" si="103"/>
        <v>7923.8149720413703</v>
      </c>
      <c r="CV28" s="100"/>
      <c r="CW28" s="100"/>
      <c r="CX28" s="101">
        <f t="shared" si="96"/>
        <v>6814</v>
      </c>
      <c r="CY28" s="102">
        <f t="shared" si="86"/>
        <v>-1109.8149720413703</v>
      </c>
      <c r="CZ28" s="79">
        <v>0.1</v>
      </c>
      <c r="DA28" s="103">
        <f t="shared" si="97"/>
        <v>-792.38149720413708</v>
      </c>
      <c r="DB28" s="107">
        <f t="shared" si="87"/>
        <v>-792.38149720413708</v>
      </c>
      <c r="DC28" s="33"/>
      <c r="DD28" s="107">
        <f t="shared" si="104"/>
        <v>-5552.0153988660068</v>
      </c>
      <c r="DE28" s="105">
        <f t="shared" si="98"/>
        <v>-792.38149720413708</v>
      </c>
      <c r="DF28" s="105">
        <f t="shared" si="99"/>
        <v>792.38149720413708</v>
      </c>
      <c r="DH28" s="66">
        <f t="shared" si="20"/>
        <v>0.10722613010455161</v>
      </c>
      <c r="DK28" s="106">
        <f t="shared" si="88"/>
        <v>0.11859944778063067</v>
      </c>
      <c r="DL28" s="106">
        <f t="shared" si="89"/>
        <v>4.7969317978922572E-2</v>
      </c>
      <c r="DS28" s="14">
        <f t="shared" si="44"/>
        <v>23119.404247816048</v>
      </c>
      <c r="DT28" s="14">
        <v>27841.629482244516</v>
      </c>
      <c r="DU28" s="14">
        <f t="shared" si="77"/>
        <v>4722.225234428468</v>
      </c>
      <c r="DW28" s="14">
        <f t="shared" si="45"/>
        <v>37732.452247816051</v>
      </c>
      <c r="DX28" s="14">
        <v>41711.629482244512</v>
      </c>
      <c r="DY28" s="14">
        <f t="shared" si="78"/>
        <v>3979.1772344284618</v>
      </c>
      <c r="EC28" s="3">
        <f t="shared" si="90"/>
        <v>0.71201492812783607</v>
      </c>
      <c r="ED28" s="3">
        <f t="shared" si="90"/>
        <v>0.28798507187216393</v>
      </c>
      <c r="EG28" s="14">
        <f t="shared" si="47"/>
        <v>7799.0479999999998</v>
      </c>
      <c r="EI28" s="89">
        <f t="shared" si="81"/>
        <v>1.2351789974170637</v>
      </c>
      <c r="EJ28" s="89">
        <f t="shared" si="48"/>
        <v>0.10722613010455161</v>
      </c>
      <c r="EL28" s="67"/>
      <c r="EM28" s="67">
        <f t="shared" si="49"/>
        <v>23.11940424781605</v>
      </c>
      <c r="EN28" s="67">
        <f t="shared" si="22"/>
        <v>6.8140000000000001</v>
      </c>
      <c r="EO28" s="67">
        <f t="shared" si="23"/>
        <v>7.799048</v>
      </c>
      <c r="EP28" s="67">
        <f t="shared" si="24"/>
        <v>1.3220000000000001</v>
      </c>
      <c r="ET28" s="66">
        <f t="shared" si="25"/>
        <v>0.19755851022471038</v>
      </c>
      <c r="EW28" s="14">
        <f t="shared" si="27"/>
        <v>7799.0479999999989</v>
      </c>
      <c r="EY28" s="14">
        <f t="shared" si="50"/>
        <v>989</v>
      </c>
      <c r="EZ28" s="14">
        <f t="shared" si="51"/>
        <v>1514</v>
      </c>
      <c r="FB28" s="14">
        <f t="shared" si="52"/>
        <v>35142.527620982648</v>
      </c>
      <c r="FC28" s="66">
        <f t="shared" si="53"/>
        <v>0.91209517838330079</v>
      </c>
      <c r="FE28" s="14">
        <f t="shared" si="26"/>
        <v>26000</v>
      </c>
    </row>
    <row r="29" spans="2:161" x14ac:dyDescent="0.2">
      <c r="B29" s="4">
        <v>2008</v>
      </c>
      <c r="C29" s="71">
        <f t="shared" si="54"/>
        <v>21046.799999999999</v>
      </c>
      <c r="D29" s="71">
        <f t="shared" si="82"/>
        <v>17645.8</v>
      </c>
      <c r="E29" s="71">
        <f>'Bayesian Sum (10Feb26)'!H24</f>
        <v>3401</v>
      </c>
      <c r="G29" s="14">
        <f>'[1]Data-Nisgaa &amp; Other FN Catch'!BI21</f>
        <v>174</v>
      </c>
      <c r="H29" s="14">
        <f>'[1]Data-SF-FW'!U12</f>
        <v>775</v>
      </c>
      <c r="I29" s="14">
        <f>'Data-Chin-Nisga''a'!N23</f>
        <v>1092.2</v>
      </c>
      <c r="J29" s="14">
        <f t="shared" si="55"/>
        <v>2041.2</v>
      </c>
      <c r="L29" s="72">
        <f>'Bayesian Sum (10Feb26)'!K24</f>
        <v>23088</v>
      </c>
      <c r="M29" s="73">
        <f t="shared" si="28"/>
        <v>3.356722106722107E-2</v>
      </c>
      <c r="N29" s="56">
        <f>'Data-Coastal-Chin-Esc (new)'!J36</f>
        <v>616.19310226672303</v>
      </c>
      <c r="O29" s="74">
        <f t="shared" si="56"/>
        <v>4.1023093151267291</v>
      </c>
      <c r="P29" s="14">
        <f>'Data-Coastal-Chin-Esc (new)'!AA36</f>
        <v>2527.8147033456153</v>
      </c>
      <c r="R29" s="5">
        <f>SUM('[1]Data-SF-FW'!C12:H12)</f>
        <v>519</v>
      </c>
      <c r="S29" s="14">
        <f>'Data-Chin-Nisga''a'!P23+'Data-Chin-Nisga''a'!Q23+'Data-Chin-Nisga''a'!O23</f>
        <v>3382.9999999999995</v>
      </c>
      <c r="T29" s="14">
        <f t="shared" si="57"/>
        <v>3901.9999999999995</v>
      </c>
      <c r="U29" s="73">
        <f t="shared" si="83"/>
        <v>8.071772266313515E-2</v>
      </c>
      <c r="V29" s="14">
        <f t="shared" si="3"/>
        <v>23574.614703345615</v>
      </c>
      <c r="X29" s="14">
        <f t="shared" si="29"/>
        <v>174</v>
      </c>
      <c r="Y29" s="14">
        <f t="shared" si="30"/>
        <v>1294</v>
      </c>
      <c r="Z29" s="14">
        <f t="shared" si="30"/>
        <v>4475.2</v>
      </c>
      <c r="AA29" s="14">
        <f t="shared" si="4"/>
        <v>5943.2</v>
      </c>
      <c r="AC29" s="14">
        <f>'A3.1b CF-tidal-Harvests (Chin)'!G23</f>
        <v>466.62400000000002</v>
      </c>
      <c r="AD29" s="14">
        <f>'A3.1b CF-tidal-Harvests (Chin)'!L23</f>
        <v>1620</v>
      </c>
      <c r="AE29" s="14">
        <f t="shared" si="58"/>
        <v>2086.6239999999998</v>
      </c>
      <c r="AJ29" s="14">
        <f t="shared" si="31"/>
        <v>31604.438703345615</v>
      </c>
      <c r="AK29" s="3">
        <v>366</v>
      </c>
      <c r="AL29" s="14">
        <f t="shared" si="59"/>
        <v>31970.438703345615</v>
      </c>
      <c r="AM29" s="109">
        <v>353</v>
      </c>
      <c r="AN29" s="14">
        <f>'[1]Data-FW Catch Rates - new'!CE23</f>
        <v>20294.36</v>
      </c>
      <c r="AO29" s="76">
        <f t="shared" si="32"/>
        <v>8.5738106547829044E-3</v>
      </c>
      <c r="AP29" s="60">
        <f t="shared" si="33"/>
        <v>23</v>
      </c>
      <c r="AQ29" s="59"/>
      <c r="AR29" s="77">
        <f t="shared" si="34"/>
        <v>0.26261209856721174</v>
      </c>
      <c r="AS29" s="61">
        <f t="shared" si="60"/>
        <v>4.7305959805959807E-2</v>
      </c>
      <c r="AT29" s="61">
        <f t="shared" si="35"/>
        <v>3.356722106722107E-2</v>
      </c>
      <c r="AU29" s="61">
        <f t="shared" si="36"/>
        <v>8.8409563409563408E-2</v>
      </c>
      <c r="AV29" s="61"/>
      <c r="AW29" s="33"/>
      <c r="AX29" s="61">
        <f t="shared" si="37"/>
        <v>0.13997931156107918</v>
      </c>
      <c r="AY29" s="61">
        <f t="shared" si="38"/>
        <v>1.4595483168992897E-2</v>
      </c>
      <c r="AZ29" s="61">
        <f t="shared" si="39"/>
        <v>9.1146700457853211E-2</v>
      </c>
      <c r="BA29" s="61">
        <f t="shared" si="40"/>
        <v>5.4425277555478586E-3</v>
      </c>
      <c r="BB29" s="61">
        <f t="shared" si="61"/>
        <v>0.25116402294347312</v>
      </c>
      <c r="BC29" s="61">
        <f t="shared" si="62"/>
        <v>1.1448075623738599E-2</v>
      </c>
      <c r="BD29" s="78">
        <f t="shared" si="41"/>
        <v>0.26261209856721174</v>
      </c>
      <c r="BE29" s="17"/>
      <c r="BF29" s="17"/>
      <c r="BG29" s="22">
        <f>'[1]Data-PSC CH Tables'!C23</f>
        <v>19630</v>
      </c>
      <c r="BH29" s="22">
        <f>'[1]Data-PSC CH Tables'!AG23</f>
        <v>30190.519494596934</v>
      </c>
      <c r="BI29" s="22">
        <f>'[1]Data-PSC CH Tables'!AI23</f>
        <v>30556.519494596934</v>
      </c>
      <c r="BJ29" s="17"/>
      <c r="BK29" s="22">
        <f t="shared" si="63"/>
        <v>-1416.7999999999993</v>
      </c>
      <c r="BL29" s="22">
        <f t="shared" si="64"/>
        <v>-1413.9192087486808</v>
      </c>
      <c r="BM29" s="22">
        <f t="shared" si="65"/>
        <v>-1413.9192087486808</v>
      </c>
      <c r="BO29" s="33"/>
      <c r="BP29" s="33"/>
      <c r="BQ29" s="33"/>
      <c r="BS29" s="62">
        <f t="shared" si="66"/>
        <v>466.62400000000002</v>
      </c>
      <c r="BT29" s="62">
        <f t="shared" si="10"/>
        <v>4475.2</v>
      </c>
      <c r="BU29" s="62">
        <f t="shared" si="11"/>
        <v>174</v>
      </c>
      <c r="BV29" s="62">
        <f t="shared" si="12"/>
        <v>1620</v>
      </c>
      <c r="BW29" s="62">
        <f t="shared" si="13"/>
        <v>1294</v>
      </c>
      <c r="BX29" s="62">
        <f t="shared" si="67"/>
        <v>8029.8239999999996</v>
      </c>
      <c r="BY29" s="62">
        <f t="shared" si="15"/>
        <v>31604.438703345615</v>
      </c>
      <c r="BZ29" s="79">
        <f t="shared" si="68"/>
        <v>0.25407266603820339</v>
      </c>
      <c r="CA29" s="79">
        <f t="shared" si="69"/>
        <v>0.25985924473562555</v>
      </c>
      <c r="CB29" s="79">
        <f t="shared" si="70"/>
        <v>0.74014075526437439</v>
      </c>
      <c r="CC29" s="79">
        <f t="shared" si="19"/>
        <v>4.3593100569997656E-2</v>
      </c>
      <c r="CD29" s="33"/>
      <c r="CF29" s="36">
        <v>30214.69612410777</v>
      </c>
      <c r="CG29" s="36">
        <v>30580.69612410777</v>
      </c>
      <c r="CH29" s="81">
        <f t="shared" si="100"/>
        <v>1389.7425792378453</v>
      </c>
      <c r="CI29" s="36">
        <f t="shared" si="101"/>
        <v>1389.7425792378453</v>
      </c>
      <c r="CJ29" s="36">
        <v>22161.872124107769</v>
      </c>
      <c r="CK29" s="81">
        <f t="shared" si="73"/>
        <v>1412.7425792378453</v>
      </c>
      <c r="CM29" s="33">
        <f t="shared" si="84"/>
        <v>2008</v>
      </c>
      <c r="CN29" s="96">
        <f t="shared" si="91"/>
        <v>31604.438703345615</v>
      </c>
      <c r="CO29" s="97">
        <f t="shared" si="92"/>
        <v>9967.5065756430358</v>
      </c>
      <c r="CP29" s="97">
        <f t="shared" si="93"/>
        <v>16604.438703345615</v>
      </c>
      <c r="CQ29" s="62">
        <f t="shared" si="94"/>
        <v>23574.614703345615</v>
      </c>
      <c r="CR29" s="98" t="str">
        <f t="shared" si="85"/>
        <v>Y</v>
      </c>
      <c r="CS29" s="98" t="str">
        <f t="shared" si="95"/>
        <v>Y</v>
      </c>
      <c r="CT29" s="99">
        <f t="shared" si="102"/>
        <v>6636.9321277025792</v>
      </c>
      <c r="CU29" s="100">
        <f t="shared" si="103"/>
        <v>6636.9321277025792</v>
      </c>
      <c r="CV29" s="100"/>
      <c r="CW29" s="100"/>
      <c r="CX29" s="101">
        <f t="shared" si="96"/>
        <v>4475.2</v>
      </c>
      <c r="CY29" s="102">
        <f t="shared" si="86"/>
        <v>-2161.7321277025794</v>
      </c>
      <c r="CZ29" s="79">
        <v>0.1</v>
      </c>
      <c r="DA29" s="103">
        <f t="shared" si="97"/>
        <v>-663.69321277025801</v>
      </c>
      <c r="DB29" s="107">
        <f t="shared" si="87"/>
        <v>-663.69321277025801</v>
      </c>
      <c r="DC29" s="33"/>
      <c r="DD29" s="107">
        <f t="shared" si="104"/>
        <v>-6215.7086116362643</v>
      </c>
      <c r="DE29" s="105">
        <f t="shared" si="98"/>
        <v>-663.69321277025801</v>
      </c>
      <c r="DF29" s="105">
        <f t="shared" si="99"/>
        <v>663.69321277025801</v>
      </c>
      <c r="DH29" s="66">
        <f t="shared" si="20"/>
        <v>0.10722613010455175</v>
      </c>
      <c r="DK29" s="106">
        <f t="shared" si="88"/>
        <v>1.4764508377445211E-2</v>
      </c>
      <c r="DL29" s="106">
        <f t="shared" si="89"/>
        <v>5.1258622727209151E-2</v>
      </c>
      <c r="DS29" s="14">
        <f t="shared" si="44"/>
        <v>23574.614703345615</v>
      </c>
      <c r="DT29" s="14">
        <v>21390</v>
      </c>
      <c r="DU29" s="14">
        <f t="shared" si="77"/>
        <v>-2184.6147033456145</v>
      </c>
      <c r="DW29" s="14">
        <f t="shared" si="45"/>
        <v>31604.438703345615</v>
      </c>
      <c r="DX29" s="14">
        <v>29328.132232680142</v>
      </c>
      <c r="DY29" s="14">
        <f t="shared" si="78"/>
        <v>-2276.3064706654732</v>
      </c>
      <c r="EC29" s="3">
        <f t="shared" si="90"/>
        <v>0.22362629779011459</v>
      </c>
      <c r="ED29" s="3">
        <f t="shared" si="90"/>
        <v>0.77637370220988555</v>
      </c>
      <c r="EG29" s="14">
        <f t="shared" si="47"/>
        <v>3554.6239999999998</v>
      </c>
      <c r="EI29" s="89">
        <f t="shared" si="81"/>
        <v>1.2588718642159438</v>
      </c>
      <c r="EJ29" s="89">
        <f t="shared" si="48"/>
        <v>0.10722613010455175</v>
      </c>
      <c r="EL29" s="67"/>
      <c r="EM29" s="67">
        <f t="shared" si="49"/>
        <v>23.574614703345613</v>
      </c>
      <c r="EN29" s="67">
        <f t="shared" si="22"/>
        <v>4.4752000000000001</v>
      </c>
      <c r="EO29" s="67">
        <f t="shared" si="23"/>
        <v>3.554624</v>
      </c>
      <c r="EP29" s="67">
        <f t="shared" si="24"/>
        <v>0.36599999999999999</v>
      </c>
      <c r="ET29" s="66">
        <f t="shared" si="25"/>
        <v>8.8409563409563408E-2</v>
      </c>
      <c r="EW29" s="14">
        <f t="shared" si="27"/>
        <v>3554.6239999999998</v>
      </c>
      <c r="EY29" s="14">
        <f t="shared" si="50"/>
        <v>949</v>
      </c>
      <c r="EZ29" s="14">
        <f t="shared" si="51"/>
        <v>1468</v>
      </c>
      <c r="FB29" s="14">
        <f t="shared" si="52"/>
        <v>28347.754119567508</v>
      </c>
      <c r="FC29" s="66">
        <f t="shared" si="53"/>
        <v>0.9013182000018346</v>
      </c>
      <c r="FE29" s="14">
        <f t="shared" si="26"/>
        <v>23000</v>
      </c>
    </row>
    <row r="30" spans="2:161" x14ac:dyDescent="0.2">
      <c r="B30" s="4">
        <v>2009</v>
      </c>
      <c r="C30" s="71">
        <f t="shared" si="54"/>
        <v>26500.400000000001</v>
      </c>
      <c r="D30" s="71">
        <f t="shared" si="82"/>
        <v>22049.4</v>
      </c>
      <c r="E30" s="71">
        <f>'Bayesian Sum (10Feb26)'!H25</f>
        <v>4451</v>
      </c>
      <c r="G30" s="14">
        <f>'[1]Data-Nisgaa &amp; Other FN Catch'!BI22</f>
        <v>148</v>
      </c>
      <c r="H30" s="14">
        <f>'[1]Data-SF-FW'!U13</f>
        <v>1071</v>
      </c>
      <c r="I30" s="14">
        <f>'Data-Chin-Nisga''a'!N24</f>
        <v>2803.6</v>
      </c>
      <c r="J30" s="14">
        <f t="shared" si="55"/>
        <v>4022.6</v>
      </c>
      <c r="L30" s="72">
        <f>'Bayesian Sum (10Feb26)'!K25</f>
        <v>30523</v>
      </c>
      <c r="M30" s="73">
        <f t="shared" si="28"/>
        <v>3.5088294073321757E-2</v>
      </c>
      <c r="N30" s="56">
        <f>'Data-Coastal-Chin-Esc (new)'!J37</f>
        <v>2170.114761959102</v>
      </c>
      <c r="O30" s="74">
        <f t="shared" si="56"/>
        <v>1.4666581151645877</v>
      </c>
      <c r="P30" s="14">
        <f>'Data-Coastal-Chin-Esc (new)'!AA37</f>
        <v>3182.8164264657844</v>
      </c>
      <c r="R30" s="5">
        <f>SUM('[1]Data-SF-FW'!C13:H13)</f>
        <v>193</v>
      </c>
      <c r="S30" s="14">
        <f>'Data-Chin-Nisga''a'!P24+'Data-Chin-Nisga''a'!Q24+'Data-Chin-Nisga''a'!O24</f>
        <v>2714.8</v>
      </c>
      <c r="T30" s="14">
        <f t="shared" si="57"/>
        <v>2907.8</v>
      </c>
      <c r="U30" s="73">
        <f t="shared" si="83"/>
        <v>3.1688089757442257E-2</v>
      </c>
      <c r="V30" s="14">
        <f t="shared" si="3"/>
        <v>29683.216426465784</v>
      </c>
      <c r="X30" s="14">
        <f t="shared" si="29"/>
        <v>148</v>
      </c>
      <c r="Y30" s="14">
        <f t="shared" si="30"/>
        <v>1264</v>
      </c>
      <c r="Z30" s="14">
        <f t="shared" si="30"/>
        <v>5518.4</v>
      </c>
      <c r="AA30" s="14">
        <f t="shared" si="4"/>
        <v>6930.4</v>
      </c>
      <c r="AC30" s="14">
        <f>'A3.1b CF-tidal-Harvests (Chin)'!G24</f>
        <v>1366.0720000000001</v>
      </c>
      <c r="AD30" s="14">
        <f>'A3.1b CF-tidal-Harvests (Chin)'!L24</f>
        <v>1316</v>
      </c>
      <c r="AE30" s="14">
        <f t="shared" si="58"/>
        <v>2682.0720000000001</v>
      </c>
      <c r="AJ30" s="14">
        <f t="shared" si="31"/>
        <v>39295.688426465786</v>
      </c>
      <c r="AK30" s="3">
        <v>1152</v>
      </c>
      <c r="AL30" s="14">
        <f t="shared" si="59"/>
        <v>40447.688426465786</v>
      </c>
      <c r="AM30" s="109">
        <v>1056</v>
      </c>
      <c r="AN30" s="14">
        <f>'[1]Data-FW Catch Rates - new'!CE24</f>
        <v>26864</v>
      </c>
      <c r="AO30" s="76">
        <f t="shared" si="32"/>
        <v>5.5092316855270993E-3</v>
      </c>
      <c r="AP30" s="60">
        <f t="shared" si="33"/>
        <v>32</v>
      </c>
      <c r="AQ30" s="59"/>
      <c r="AR30" s="77">
        <f t="shared" si="34"/>
        <v>0.26613318137005271</v>
      </c>
      <c r="AS30" s="61">
        <f t="shared" si="60"/>
        <v>9.1852045998099791E-2</v>
      </c>
      <c r="AT30" s="61">
        <f t="shared" si="35"/>
        <v>3.5088294073321757E-2</v>
      </c>
      <c r="AU30" s="61">
        <f t="shared" si="36"/>
        <v>0.13178914261376667</v>
      </c>
      <c r="AV30" s="61"/>
      <c r="AW30" s="33"/>
      <c r="AX30" s="61">
        <f t="shared" si="37"/>
        <v>0.13643301297755234</v>
      </c>
      <c r="AY30" s="61">
        <f t="shared" si="38"/>
        <v>3.3773796554122736E-2</v>
      </c>
      <c r="AZ30" s="61">
        <f t="shared" si="39"/>
        <v>6.3786092614178933E-2</v>
      </c>
      <c r="BA30" s="61">
        <f t="shared" si="40"/>
        <v>3.6590471732164658E-3</v>
      </c>
      <c r="BB30" s="61">
        <f t="shared" si="61"/>
        <v>0.23765194931907047</v>
      </c>
      <c r="BC30" s="61">
        <f t="shared" si="62"/>
        <v>2.8481232050982221E-2</v>
      </c>
      <c r="BD30" s="78">
        <f t="shared" si="41"/>
        <v>0.26613318137005271</v>
      </c>
      <c r="BE30" s="17"/>
      <c r="BF30" s="17"/>
      <c r="BG30" s="22">
        <f>'[1]Data-PSC CH Tables'!C24</f>
        <v>26226</v>
      </c>
      <c r="BH30" s="22">
        <f>'[1]Data-PSC CH Tables'!AG24</f>
        <v>39219.794060178268</v>
      </c>
      <c r="BI30" s="22">
        <f>'[1]Data-PSC CH Tables'!AI24</f>
        <v>40371.794060178268</v>
      </c>
      <c r="BJ30" s="17"/>
      <c r="BK30" s="22">
        <f t="shared" si="63"/>
        <v>-274.40000000000146</v>
      </c>
      <c r="BL30" s="22">
        <f t="shared" si="64"/>
        <v>-75.894366287517187</v>
      </c>
      <c r="BM30" s="22">
        <f t="shared" si="65"/>
        <v>-75.894366287517187</v>
      </c>
      <c r="BO30" s="33"/>
      <c r="BP30" s="33"/>
      <c r="BQ30" s="33"/>
      <c r="BS30" s="62">
        <f t="shared" si="66"/>
        <v>1366.0720000000001</v>
      </c>
      <c r="BT30" s="62">
        <f t="shared" si="10"/>
        <v>5518.4</v>
      </c>
      <c r="BU30" s="62">
        <f t="shared" si="11"/>
        <v>148</v>
      </c>
      <c r="BV30" s="62">
        <f t="shared" si="12"/>
        <v>1316</v>
      </c>
      <c r="BW30" s="62">
        <f t="shared" si="13"/>
        <v>1264</v>
      </c>
      <c r="BX30" s="62">
        <f t="shared" si="67"/>
        <v>9612.4719999999998</v>
      </c>
      <c r="BY30" s="62">
        <f t="shared" si="15"/>
        <v>39295.688426465786</v>
      </c>
      <c r="BZ30" s="79">
        <f t="shared" si="68"/>
        <v>0.2446189998169358</v>
      </c>
      <c r="CA30" s="79">
        <f t="shared" si="69"/>
        <v>0.27902000650821146</v>
      </c>
      <c r="CB30" s="79">
        <f t="shared" si="70"/>
        <v>0.72097999349178854</v>
      </c>
      <c r="CC30" s="79">
        <f t="shared" si="19"/>
        <v>0.10701871861434542</v>
      </c>
      <c r="CD30" s="33"/>
      <c r="CF30" s="36">
        <v>39253.094431321973</v>
      </c>
      <c r="CG30" s="36">
        <v>40405.094431321973</v>
      </c>
      <c r="CH30" s="81">
        <f t="shared" si="100"/>
        <v>42.593995143812208</v>
      </c>
      <c r="CI30" s="36">
        <f t="shared" si="101"/>
        <v>42.593995143812208</v>
      </c>
      <c r="CJ30" s="36">
        <v>29608.622431321975</v>
      </c>
      <c r="CK30" s="81">
        <f t="shared" si="73"/>
        <v>74.59399514380857</v>
      </c>
      <c r="CM30" s="33">
        <f t="shared" si="84"/>
        <v>2009</v>
      </c>
      <c r="CN30" s="96">
        <f t="shared" si="91"/>
        <v>39295.688426465786</v>
      </c>
      <c r="CO30" s="97">
        <f t="shared" si="92"/>
        <v>16043.593856907972</v>
      </c>
      <c r="CP30" s="97">
        <f t="shared" si="93"/>
        <v>24295.688426465786</v>
      </c>
      <c r="CQ30" s="62">
        <f t="shared" si="94"/>
        <v>29683.216426465784</v>
      </c>
      <c r="CR30" s="98" t="str">
        <f t="shared" si="85"/>
        <v>Y</v>
      </c>
      <c r="CS30" s="98" t="str">
        <f t="shared" si="95"/>
        <v>Y</v>
      </c>
      <c r="CT30" s="99">
        <f t="shared" si="102"/>
        <v>8252.0945695578139</v>
      </c>
      <c r="CU30" s="100">
        <f t="shared" si="103"/>
        <v>8252.0945695578139</v>
      </c>
      <c r="CV30" s="100"/>
      <c r="CW30" s="100"/>
      <c r="CX30" s="101">
        <f t="shared" si="96"/>
        <v>5518.4</v>
      </c>
      <c r="CY30" s="102">
        <f t="shared" si="86"/>
        <v>-2733.6945695578142</v>
      </c>
      <c r="CZ30" s="79">
        <v>0.1</v>
      </c>
      <c r="DA30" s="103">
        <f t="shared" si="97"/>
        <v>-825.20945695578143</v>
      </c>
      <c r="DB30" s="107">
        <f t="shared" si="87"/>
        <v>-825.20945695578143</v>
      </c>
      <c r="DC30" s="33"/>
      <c r="DD30" s="107">
        <f t="shared" si="104"/>
        <v>-7040.9180685920455</v>
      </c>
      <c r="DE30" s="105">
        <f t="shared" si="98"/>
        <v>-825.20945695578143</v>
      </c>
      <c r="DF30" s="105">
        <f t="shared" si="99"/>
        <v>825.20945695578143</v>
      </c>
      <c r="DH30" s="66">
        <f t="shared" si="20"/>
        <v>0.10722613010455163</v>
      </c>
      <c r="DK30" s="106">
        <f t="shared" si="88"/>
        <v>3.476391570429762E-2</v>
      </c>
      <c r="DL30" s="106">
        <f t="shared" si="89"/>
        <v>3.3489679216655979E-2</v>
      </c>
      <c r="DS30" s="14">
        <f t="shared" si="44"/>
        <v>29683.216426465784</v>
      </c>
      <c r="DT30" s="14">
        <v>27829.656551783522</v>
      </c>
      <c r="DU30" s="14">
        <f t="shared" si="77"/>
        <v>-1853.5598746822616</v>
      </c>
      <c r="DW30" s="14">
        <f t="shared" si="45"/>
        <v>39295.688426465786</v>
      </c>
      <c r="DX30" s="14">
        <v>36851.656551783526</v>
      </c>
      <c r="DY30" s="14">
        <f t="shared" si="78"/>
        <v>-2444.0318746822595</v>
      </c>
      <c r="EC30" s="3">
        <f t="shared" si="90"/>
        <v>0.50933457416504857</v>
      </c>
      <c r="ED30" s="3">
        <f t="shared" si="90"/>
        <v>0.49066542583495149</v>
      </c>
      <c r="EG30" s="14">
        <f t="shared" si="47"/>
        <v>4094.0720000000001</v>
      </c>
      <c r="EI30" s="89">
        <f t="shared" si="81"/>
        <v>1.584278957922242</v>
      </c>
      <c r="EJ30" s="89">
        <f t="shared" si="48"/>
        <v>0.10722613010455163</v>
      </c>
      <c r="EL30" s="67"/>
      <c r="EM30" s="67">
        <f t="shared" si="49"/>
        <v>29.683216426465783</v>
      </c>
      <c r="EN30" s="67">
        <f t="shared" si="22"/>
        <v>5.5183999999999997</v>
      </c>
      <c r="EO30" s="67">
        <f t="shared" si="23"/>
        <v>4.0940719999999997</v>
      </c>
      <c r="EP30" s="67">
        <f t="shared" si="24"/>
        <v>1.1519999999999999</v>
      </c>
      <c r="ET30" s="66">
        <f t="shared" si="25"/>
        <v>0.13178914261376667</v>
      </c>
      <c r="EW30" s="14">
        <f t="shared" si="27"/>
        <v>4094.0720000000001</v>
      </c>
      <c r="EY30" s="14">
        <f t="shared" si="50"/>
        <v>1219</v>
      </c>
      <c r="EZ30" s="14">
        <f t="shared" si="51"/>
        <v>1412</v>
      </c>
      <c r="FB30" s="14">
        <f t="shared" si="52"/>
        <v>36453.466644891756</v>
      </c>
      <c r="FC30" s="66">
        <f t="shared" si="53"/>
        <v>0.90557070666395023</v>
      </c>
      <c r="FE30" s="14">
        <f t="shared" si="26"/>
        <v>31000</v>
      </c>
    </row>
    <row r="31" spans="2:161" x14ac:dyDescent="0.2">
      <c r="B31" s="4">
        <v>2010</v>
      </c>
      <c r="C31" s="71">
        <f t="shared" si="54"/>
        <v>17801.2</v>
      </c>
      <c r="D31" s="71">
        <f t="shared" si="82"/>
        <v>15566.2</v>
      </c>
      <c r="E31" s="71">
        <f>'Bayesian Sum (10Feb26)'!H26</f>
        <v>2235</v>
      </c>
      <c r="G31" s="14">
        <f>'[1]Data-Nisgaa &amp; Other FN Catch'!BI23</f>
        <v>88</v>
      </c>
      <c r="H31" s="14">
        <f>'[1]Data-SF-FW'!U14</f>
        <v>534</v>
      </c>
      <c r="I31" s="14">
        <f>'Data-Chin-Nisga''a'!N25</f>
        <v>1719.8</v>
      </c>
      <c r="J31" s="14">
        <f t="shared" si="55"/>
        <v>2341.8000000000002</v>
      </c>
      <c r="L31" s="72">
        <f>'Bayesian Sum (10Feb26)'!K26</f>
        <v>20143</v>
      </c>
      <c r="M31" s="73">
        <f t="shared" si="28"/>
        <v>2.6510450280494466E-2</v>
      </c>
      <c r="N31" s="56">
        <f>'Data-Coastal-Chin-Esc (new)'!J38</f>
        <v>586.51750323218971</v>
      </c>
      <c r="O31" s="74">
        <f t="shared" si="56"/>
        <v>3.6452512198597358</v>
      </c>
      <c r="P31" s="14">
        <f>'Data-Coastal-Chin-Esc (new)'!AA38</f>
        <v>2138.0036441262259</v>
      </c>
      <c r="R31" s="5">
        <f>SUM('[1]Data-SF-FW'!C14:H14)</f>
        <v>13</v>
      </c>
      <c r="S31" s="14">
        <f>'Data-Chin-Nisga''a'!P25+'Data-Chin-Nisga''a'!Q25+'Data-Chin-Nisga''a'!O25</f>
        <v>2923</v>
      </c>
      <c r="T31" s="14">
        <f t="shared" si="57"/>
        <v>2936</v>
      </c>
      <c r="U31" s="73">
        <f t="shared" si="83"/>
        <v>2.5620793581906621E-3</v>
      </c>
      <c r="V31" s="14">
        <f t="shared" si="3"/>
        <v>19939.203644126228</v>
      </c>
      <c r="X31" s="14">
        <f t="shared" si="29"/>
        <v>88</v>
      </c>
      <c r="Y31" s="14">
        <f t="shared" si="30"/>
        <v>547</v>
      </c>
      <c r="Z31" s="14">
        <f t="shared" si="30"/>
        <v>4642.8</v>
      </c>
      <c r="AA31" s="14">
        <f t="shared" si="4"/>
        <v>5277.8</v>
      </c>
      <c r="AC31" s="14">
        <f>'A3.1b CF-tidal-Harvests (Chin)'!G25</f>
        <v>973.32</v>
      </c>
      <c r="AD31" s="14">
        <f>'A3.1b CF-tidal-Harvests (Chin)'!L25</f>
        <v>399</v>
      </c>
      <c r="AE31" s="14">
        <f t="shared" si="58"/>
        <v>1372.3200000000002</v>
      </c>
      <c r="AJ31" s="14">
        <f t="shared" si="31"/>
        <v>26589.323644126227</v>
      </c>
      <c r="AK31" s="3">
        <v>805</v>
      </c>
      <c r="AL31" s="14">
        <f t="shared" si="59"/>
        <v>27394.323644126227</v>
      </c>
      <c r="AM31" s="109">
        <v>783</v>
      </c>
      <c r="AN31" s="14">
        <f>'[1]Data-FW Catch Rates - new'!CE25</f>
        <v>18773</v>
      </c>
      <c r="AO31" s="76">
        <f t="shared" si="32"/>
        <v>4.6875832312363499E-3</v>
      </c>
      <c r="AP31" s="60">
        <f t="shared" si="33"/>
        <v>21</v>
      </c>
      <c r="AQ31" s="59"/>
      <c r="AR31" s="77">
        <f t="shared" si="34"/>
        <v>0.27214104997983751</v>
      </c>
      <c r="AS31" s="61">
        <f t="shared" si="60"/>
        <v>8.5379536315345284E-2</v>
      </c>
      <c r="AT31" s="61">
        <f t="shared" si="35"/>
        <v>2.6510450280494466E-2</v>
      </c>
      <c r="AU31" s="61">
        <f t="shared" si="36"/>
        <v>0.11625874993794372</v>
      </c>
      <c r="AV31" s="61"/>
      <c r="AW31" s="33"/>
      <c r="AX31" s="61">
        <f t="shared" si="37"/>
        <v>0.16948036609020239</v>
      </c>
      <c r="AY31" s="61">
        <f t="shared" si="38"/>
        <v>3.5529988352484665E-2</v>
      </c>
      <c r="AZ31" s="61">
        <f t="shared" si="39"/>
        <v>3.4532701456304701E-2</v>
      </c>
      <c r="BA31" s="61">
        <f t="shared" si="40"/>
        <v>3.2123443215167163E-3</v>
      </c>
      <c r="BB31" s="61">
        <f t="shared" si="61"/>
        <v>0.24275540022050848</v>
      </c>
      <c r="BC31" s="61">
        <f t="shared" si="62"/>
        <v>2.9385649759329051E-2</v>
      </c>
      <c r="BD31" s="78">
        <f t="shared" si="41"/>
        <v>0.27214104997983751</v>
      </c>
      <c r="BE31" s="17"/>
      <c r="BF31" s="17"/>
      <c r="BG31" s="22">
        <f>'[1]Data-PSC CH Tables'!C25</f>
        <v>18381</v>
      </c>
      <c r="BH31" s="22">
        <f>'[1]Data-PSC CH Tables'!AG25</f>
        <v>27379.258099143466</v>
      </c>
      <c r="BI31" s="22">
        <f>'[1]Data-PSC CH Tables'!AI25</f>
        <v>28184.258099143466</v>
      </c>
      <c r="BJ31" s="17"/>
      <c r="BK31" s="22">
        <f t="shared" si="63"/>
        <v>579.79999999999927</v>
      </c>
      <c r="BL31" s="22">
        <f t="shared" si="64"/>
        <v>789.93445501723909</v>
      </c>
      <c r="BM31" s="22">
        <f t="shared" si="65"/>
        <v>789.93445501723909</v>
      </c>
      <c r="BO31" s="33"/>
      <c r="BP31" s="33"/>
      <c r="BQ31" s="33"/>
      <c r="BS31" s="62">
        <f t="shared" si="66"/>
        <v>973.32</v>
      </c>
      <c r="BT31" s="62">
        <f t="shared" si="10"/>
        <v>4642.8</v>
      </c>
      <c r="BU31" s="62">
        <f t="shared" si="11"/>
        <v>88</v>
      </c>
      <c r="BV31" s="62">
        <f t="shared" si="12"/>
        <v>399</v>
      </c>
      <c r="BW31" s="62">
        <f t="shared" si="13"/>
        <v>547</v>
      </c>
      <c r="BX31" s="62">
        <f t="shared" si="67"/>
        <v>6650.12</v>
      </c>
      <c r="BY31" s="62">
        <f t="shared" si="15"/>
        <v>26589.323644126227</v>
      </c>
      <c r="BZ31" s="79">
        <f t="shared" si="68"/>
        <v>0.25010489507013312</v>
      </c>
      <c r="CA31" s="79">
        <f t="shared" si="69"/>
        <v>0.20636018598160638</v>
      </c>
      <c r="CB31" s="79">
        <f t="shared" si="70"/>
        <v>0.79363981401839367</v>
      </c>
      <c r="CC31" s="79">
        <f t="shared" si="19"/>
        <v>0.10797948255695415</v>
      </c>
      <c r="CD31" s="33"/>
      <c r="CF31" s="36">
        <v>27401.8964397975</v>
      </c>
      <c r="CG31" s="36">
        <v>28206.8964397975</v>
      </c>
      <c r="CH31" s="81">
        <f t="shared" si="100"/>
        <v>-812.57279567127262</v>
      </c>
      <c r="CI31" s="36">
        <f t="shared" si="101"/>
        <v>-812.57279567127262</v>
      </c>
      <c r="CJ31" s="36">
        <v>20751.776439797501</v>
      </c>
      <c r="CK31" s="81">
        <f t="shared" si="73"/>
        <v>-812.57279567127262</v>
      </c>
      <c r="CM31" s="33">
        <f t="shared" si="84"/>
        <v>2010</v>
      </c>
      <c r="CN31" s="96">
        <f t="shared" si="91"/>
        <v>26589.323644126227</v>
      </c>
      <c r="CO31" s="97">
        <f t="shared" si="92"/>
        <v>6005.5656788597198</v>
      </c>
      <c r="CP31" s="97">
        <f t="shared" si="93"/>
        <v>11589.323644126227</v>
      </c>
      <c r="CQ31" s="62">
        <f t="shared" si="94"/>
        <v>19939.203644126228</v>
      </c>
      <c r="CR31" s="98" t="str">
        <f t="shared" si="85"/>
        <v>Y</v>
      </c>
      <c r="CS31" s="98" t="str">
        <f t="shared" si="95"/>
        <v>Y</v>
      </c>
      <c r="CT31" s="99">
        <f t="shared" si="102"/>
        <v>5583.7579652665072</v>
      </c>
      <c r="CU31" s="100">
        <f t="shared" si="103"/>
        <v>5583.7579652665072</v>
      </c>
      <c r="CV31" s="100"/>
      <c r="CW31" s="100"/>
      <c r="CX31" s="101">
        <f t="shared" si="96"/>
        <v>4642.8</v>
      </c>
      <c r="CY31" s="102">
        <f t="shared" si="86"/>
        <v>-940.95796526650702</v>
      </c>
      <c r="CZ31" s="79">
        <v>0.1</v>
      </c>
      <c r="DA31" s="103">
        <f t="shared" si="97"/>
        <v>-558.37579652665079</v>
      </c>
      <c r="DB31" s="107">
        <f t="shared" si="87"/>
        <v>-558.37579652665079</v>
      </c>
      <c r="DC31" s="33"/>
      <c r="DD31" s="107">
        <f t="shared" si="104"/>
        <v>-7599.293865118696</v>
      </c>
      <c r="DE31" s="105">
        <f t="shared" si="98"/>
        <v>-558.37579652665079</v>
      </c>
      <c r="DF31" s="105">
        <f t="shared" si="99"/>
        <v>558.37579652665079</v>
      </c>
      <c r="DH31" s="66">
        <f t="shared" si="20"/>
        <v>0.10722613010455148</v>
      </c>
      <c r="DK31" s="106">
        <f t="shared" si="88"/>
        <v>3.6605669742750806E-2</v>
      </c>
      <c r="DL31" s="106">
        <f t="shared" si="89"/>
        <v>1.500602291883201E-2</v>
      </c>
      <c r="DS31" s="14">
        <f t="shared" si="44"/>
        <v>19939.203644126228</v>
      </c>
      <c r="DT31" s="14">
        <v>19861.298355492483</v>
      </c>
      <c r="DU31" s="14">
        <f t="shared" si="77"/>
        <v>-77.905288633744931</v>
      </c>
      <c r="DW31" s="14">
        <f t="shared" si="45"/>
        <v>26589.323644126227</v>
      </c>
      <c r="DX31" s="14">
        <v>26393.298355492483</v>
      </c>
      <c r="DY31" s="14">
        <f t="shared" si="78"/>
        <v>-196.02528863374391</v>
      </c>
      <c r="EC31" s="3">
        <f t="shared" si="90"/>
        <v>0.70925148653375303</v>
      </c>
      <c r="ED31" s="3">
        <f t="shared" si="90"/>
        <v>0.29074851346624692</v>
      </c>
      <c r="EG31" s="14">
        <f t="shared" si="47"/>
        <v>2007.3200000000002</v>
      </c>
      <c r="EI31" s="89">
        <f t="shared" si="81"/>
        <v>1.0636834050379234</v>
      </c>
      <c r="EJ31" s="89">
        <f t="shared" si="48"/>
        <v>0.10722613010455148</v>
      </c>
      <c r="EL31" s="67"/>
      <c r="EM31" s="67">
        <f t="shared" si="49"/>
        <v>19.939203644126227</v>
      </c>
      <c r="EN31" s="67">
        <f t="shared" si="22"/>
        <v>4.6428000000000003</v>
      </c>
      <c r="EO31" s="67">
        <f t="shared" si="23"/>
        <v>2.00732</v>
      </c>
      <c r="EP31" s="67">
        <f t="shared" si="24"/>
        <v>0.80500000000000005</v>
      </c>
      <c r="ET31" s="66">
        <f t="shared" si="25"/>
        <v>0.11625874993794372</v>
      </c>
      <c r="EW31" s="14">
        <f t="shared" si="27"/>
        <v>2007.3199999999997</v>
      </c>
      <c r="EY31" s="14">
        <f t="shared" si="50"/>
        <v>622</v>
      </c>
      <c r="EZ31" s="14">
        <f t="shared" si="51"/>
        <v>635</v>
      </c>
      <c r="FB31" s="14">
        <f t="shared" si="52"/>
        <v>24753.911940992544</v>
      </c>
      <c r="FC31" s="66">
        <f t="shared" si="53"/>
        <v>0.90404365627892835</v>
      </c>
      <c r="FE31" s="14">
        <f t="shared" si="26"/>
        <v>20000</v>
      </c>
    </row>
    <row r="32" spans="2:161" x14ac:dyDescent="0.2">
      <c r="B32" s="4">
        <v>2011</v>
      </c>
      <c r="C32" s="71">
        <f t="shared" si="54"/>
        <v>10555.2</v>
      </c>
      <c r="D32" s="71">
        <f t="shared" si="82"/>
        <v>9282.2000000000007</v>
      </c>
      <c r="E32" s="71">
        <f>'Bayesian Sum (10Feb26)'!H27</f>
        <v>1273</v>
      </c>
      <c r="F32" s="110"/>
      <c r="G32" s="14">
        <f>'[1]Data-Nisgaa &amp; Other FN Catch'!BI24</f>
        <v>103</v>
      </c>
      <c r="H32" s="14">
        <f>'[1]Data-SF-FW'!U15</f>
        <v>542</v>
      </c>
      <c r="I32" s="14">
        <f>'Data-Chin-Nisga''a'!N26</f>
        <v>1236.8</v>
      </c>
      <c r="J32" s="14">
        <f t="shared" si="55"/>
        <v>1881.8</v>
      </c>
      <c r="L32" s="72">
        <f>'Bayesian Sum (10Feb26)'!K27</f>
        <v>12437</v>
      </c>
      <c r="M32" s="73">
        <f t="shared" si="28"/>
        <v>4.3579641392618801E-2</v>
      </c>
      <c r="N32" s="56">
        <f>'Data-Coastal-Chin-Esc (new)'!J39</f>
        <v>0</v>
      </c>
      <c r="O32" s="74" t="s">
        <v>107</v>
      </c>
      <c r="P32" s="14">
        <f>'Data-Coastal-Chin-Esc (new)'!AA39</f>
        <v>1267.726673734421</v>
      </c>
      <c r="Q32" s="110"/>
      <c r="R32" s="5">
        <f>SUM('[1]Data-SF-FW'!C15:H15)</f>
        <v>27</v>
      </c>
      <c r="S32" s="14">
        <f>'Data-Chin-Nisga''a'!P26+'Data-Chin-Nisga''a'!Q26+'Data-Chin-Nisga''a'!O26</f>
        <v>3368.2</v>
      </c>
      <c r="T32" s="14">
        <f t="shared" si="57"/>
        <v>3395.2</v>
      </c>
      <c r="U32" s="73">
        <f t="shared" si="83"/>
        <v>5.7903548327463573E-3</v>
      </c>
      <c r="V32" s="14">
        <f t="shared" si="3"/>
        <v>11822.926673734422</v>
      </c>
      <c r="W32" s="110"/>
      <c r="X32" s="111">
        <f t="shared" si="29"/>
        <v>103</v>
      </c>
      <c r="Y32" s="111">
        <f t="shared" si="30"/>
        <v>569</v>
      </c>
      <c r="Z32" s="111">
        <f t="shared" si="30"/>
        <v>4605</v>
      </c>
      <c r="AA32" s="111">
        <f t="shared" si="4"/>
        <v>5277</v>
      </c>
      <c r="AB32" s="110"/>
      <c r="AC32" s="14">
        <f>'A3.1b CF-tidal-Harvests (Chin)'!G26</f>
        <v>1371.232</v>
      </c>
      <c r="AD32" s="14">
        <f>'A3.1b CF-tidal-Harvests (Chin)'!L26</f>
        <v>898</v>
      </c>
      <c r="AE32" s="14">
        <f t="shared" si="58"/>
        <v>2269.232</v>
      </c>
      <c r="AF32" s="110"/>
      <c r="AJ32" s="14">
        <f t="shared" si="31"/>
        <v>19369.158673734422</v>
      </c>
      <c r="AK32" s="112">
        <v>1532</v>
      </c>
      <c r="AL32" s="111">
        <f t="shared" si="59"/>
        <v>20901.158673734422</v>
      </c>
      <c r="AM32" s="113">
        <v>1510</v>
      </c>
      <c r="AN32" s="14">
        <f>'[1]Data-FW Catch Rates - new'!CE26</f>
        <v>10204.537598204266</v>
      </c>
      <c r="AO32" s="76">
        <f t="shared" si="32"/>
        <v>1.0093548973559109E-2</v>
      </c>
      <c r="AP32" s="60">
        <f t="shared" si="33"/>
        <v>7</v>
      </c>
      <c r="AQ32" s="59"/>
      <c r="AR32" s="77">
        <f>SUM(AE32,AA32,AK32)/AL32</f>
        <v>0.43434108805691329</v>
      </c>
      <c r="AS32" s="61">
        <f t="shared" si="60"/>
        <v>9.9445203827289538E-2</v>
      </c>
      <c r="AT32" s="61">
        <f t="shared" si="35"/>
        <v>4.3579641392618801E-2</v>
      </c>
      <c r="AU32" s="61">
        <f t="shared" si="36"/>
        <v>0.15130658518935433</v>
      </c>
      <c r="AV32" s="61"/>
      <c r="AW32" s="33"/>
      <c r="AX32" s="61">
        <f t="shared" si="37"/>
        <v>0.22032271377313178</v>
      </c>
      <c r="AY32" s="61">
        <f>AC32/$AL32</f>
        <v>6.5605549501098592E-2</v>
      </c>
      <c r="AZ32" s="61">
        <f t="shared" si="39"/>
        <v>7.0187496439779437E-2</v>
      </c>
      <c r="BA32" s="61">
        <f t="shared" si="40"/>
        <v>4.9279564644153255E-3</v>
      </c>
      <c r="BB32" s="61">
        <f>SUM(AA32,AE32)/AL32</f>
        <v>0.36104371617842518</v>
      </c>
      <c r="BC32" s="61">
        <f>AK32/AL32</f>
        <v>7.3297371878488143E-2</v>
      </c>
      <c r="BD32" s="78">
        <f t="shared" si="41"/>
        <v>0.43434108805691329</v>
      </c>
      <c r="BE32" s="17"/>
      <c r="BF32" s="17"/>
      <c r="BG32" s="22">
        <f>'[1]Data-PSC CH Tables'!C26</f>
        <v>9599.5723199092463</v>
      </c>
      <c r="BH32" s="22">
        <f>'[1]Data-PSC CH Tables'!AG26</f>
        <v>18372.131587188611</v>
      </c>
      <c r="BI32" s="22">
        <f>'[1]Data-PSC CH Tables'!AI26</f>
        <v>19904.131587188611</v>
      </c>
      <c r="BJ32" s="17"/>
      <c r="BK32" s="22">
        <f t="shared" si="63"/>
        <v>-955.62768009075444</v>
      </c>
      <c r="BL32" s="22">
        <f t="shared" si="64"/>
        <v>-997.02708654581147</v>
      </c>
      <c r="BM32" s="22">
        <f t="shared" si="65"/>
        <v>-997.02708654581147</v>
      </c>
      <c r="BO32" s="33"/>
      <c r="BP32" s="33"/>
      <c r="BQ32" s="33"/>
      <c r="BS32" s="62">
        <f>AC32</f>
        <v>1371.232</v>
      </c>
      <c r="BT32" s="62">
        <f t="shared" si="10"/>
        <v>4605</v>
      </c>
      <c r="BU32" s="62">
        <f t="shared" si="11"/>
        <v>103</v>
      </c>
      <c r="BV32" s="62">
        <f>AD32</f>
        <v>898</v>
      </c>
      <c r="BW32" s="62">
        <f t="shared" si="13"/>
        <v>569</v>
      </c>
      <c r="BX32" s="62">
        <f>SUM(BS32:BW32)</f>
        <v>7546.232</v>
      </c>
      <c r="BY32" s="62">
        <f>AJ32</f>
        <v>19369.158673734422</v>
      </c>
      <c r="BZ32" s="79">
        <f>BX32/BY32</f>
        <v>0.38960040170630023</v>
      </c>
      <c r="CA32" s="79">
        <f>SUM(BV32,BS32)/BX32</f>
        <v>0.30071060629993884</v>
      </c>
      <c r="CB32" s="79">
        <f>SUM(BT32:BU32,BW32)/BX32</f>
        <v>0.69928939370006116</v>
      </c>
      <c r="CC32" s="79">
        <f>AK32/(BX32+AK32)</f>
        <v>0.16875532592689854</v>
      </c>
      <c r="CD32" s="33"/>
      <c r="CF32" s="36">
        <v>18383.954577684832</v>
      </c>
      <c r="CG32" s="36">
        <v>19915.954577684832</v>
      </c>
      <c r="CH32" s="81">
        <f t="shared" si="100"/>
        <v>985.20409604959059</v>
      </c>
      <c r="CI32" s="36">
        <f t="shared" si="101"/>
        <v>985.20409604959059</v>
      </c>
      <c r="CJ32" s="36">
        <v>10837.72257768483</v>
      </c>
      <c r="CK32" s="81">
        <f t="shared" si="73"/>
        <v>985.20409604959241</v>
      </c>
      <c r="CM32" s="33">
        <f t="shared" si="84"/>
        <v>2011</v>
      </c>
      <c r="CN32" s="96">
        <f t="shared" si="91"/>
        <v>19369.158673734422</v>
      </c>
      <c r="CO32" s="97">
        <f t="shared" si="92"/>
        <v>301.63535225019359</v>
      </c>
      <c r="CP32" s="97">
        <f t="shared" si="93"/>
        <v>4369.1586737344223</v>
      </c>
      <c r="CQ32" s="62">
        <f t="shared" si="94"/>
        <v>11822.926673734422</v>
      </c>
      <c r="CR32" s="98" t="str">
        <f t="shared" si="85"/>
        <v>Y</v>
      </c>
      <c r="CS32" s="114" t="str">
        <f t="shared" si="95"/>
        <v>N</v>
      </c>
      <c r="CT32" s="99">
        <f t="shared" si="102"/>
        <v>4067.5233214842287</v>
      </c>
      <c r="CU32" s="100">
        <f t="shared" si="103"/>
        <v>7008.7553214842283</v>
      </c>
      <c r="CV32" s="100">
        <f t="shared" ref="CV32:CV44" si="105">CX32-CT32-(BX32-CX32)</f>
        <v>-2403.7553214842287</v>
      </c>
      <c r="CW32" s="100"/>
      <c r="CX32" s="101">
        <f t="shared" si="96"/>
        <v>4605</v>
      </c>
      <c r="CY32" s="102">
        <f t="shared" si="86"/>
        <v>-2403.7553214842283</v>
      </c>
      <c r="CZ32" s="79">
        <v>0.1</v>
      </c>
      <c r="DA32" s="103">
        <f t="shared" si="97"/>
        <v>-406.75233214842291</v>
      </c>
      <c r="DB32" s="107">
        <f>IF(CX32&gt;CT32,CY32,(IF(CY32*-1&gt;(CT32*CZ32),CT32*CZ32*-1,CY32)))</f>
        <v>-2403.7553214842283</v>
      </c>
      <c r="DC32" s="33"/>
      <c r="DD32" s="107">
        <f t="shared" si="104"/>
        <v>-10003.049186602924</v>
      </c>
      <c r="DE32" s="105">
        <f t="shared" si="98"/>
        <v>-2403.7553214842283</v>
      </c>
      <c r="DF32" s="105">
        <f t="shared" si="99"/>
        <v>2403.7553214842283</v>
      </c>
      <c r="DH32" s="66">
        <f t="shared" si="20"/>
        <v>0.10722613010455162</v>
      </c>
      <c r="DK32" s="106">
        <f>AC32/AJ32</f>
        <v>7.0794608227329012E-2</v>
      </c>
      <c r="DL32" s="106">
        <f>AD32/AJ32</f>
        <v>4.6362364784472247E-2</v>
      </c>
      <c r="DS32" s="14">
        <f t="shared" si="44"/>
        <v>11822.926673734422</v>
      </c>
      <c r="DT32" s="14">
        <v>19861.298355492483</v>
      </c>
      <c r="DU32" s="14">
        <f t="shared" si="77"/>
        <v>8038.3716817580607</v>
      </c>
      <c r="DW32" s="14">
        <f>AJ32</f>
        <v>19369.158673734422</v>
      </c>
      <c r="DX32" s="14">
        <v>26393.298355492483</v>
      </c>
      <c r="DY32" s="14">
        <f t="shared" si="78"/>
        <v>7024.1396817580608</v>
      </c>
      <c r="EC32" s="3">
        <f>AC32/$AE32</f>
        <v>0.60427140107313837</v>
      </c>
      <c r="ED32" s="3">
        <f>AD32/$AE32</f>
        <v>0.39572859892686163</v>
      </c>
      <c r="EG32" s="14">
        <f t="shared" si="47"/>
        <v>2941.232</v>
      </c>
      <c r="EI32" s="89">
        <f t="shared" si="81"/>
        <v>0.63039615799822024</v>
      </c>
      <c r="EJ32" s="89">
        <f t="shared" si="48"/>
        <v>0.10722613010455162</v>
      </c>
      <c r="EL32" s="67"/>
      <c r="EM32" s="67">
        <f t="shared" si="49"/>
        <v>11.822926673734422</v>
      </c>
      <c r="EN32" s="67">
        <f t="shared" si="22"/>
        <v>4.6050000000000004</v>
      </c>
      <c r="EO32" s="67">
        <f t="shared" si="23"/>
        <v>2.9412319999999998</v>
      </c>
      <c r="EP32" s="67">
        <f>AK32/1000</f>
        <v>1.532</v>
      </c>
      <c r="ET32" s="66">
        <f t="shared" si="25"/>
        <v>0.15130658518935433</v>
      </c>
      <c r="EW32" s="14">
        <f t="shared" si="27"/>
        <v>2941.232</v>
      </c>
      <c r="EY32" s="14">
        <f t="shared" si="50"/>
        <v>645</v>
      </c>
      <c r="EZ32" s="14">
        <f t="shared" si="51"/>
        <v>672</v>
      </c>
      <c r="FB32" s="14">
        <f t="shared" si="52"/>
        <v>18943.238898940621</v>
      </c>
      <c r="FC32" s="66">
        <f t="shared" si="53"/>
        <v>0.90749712096308621</v>
      </c>
      <c r="FE32" s="14">
        <f t="shared" si="26"/>
        <v>12000</v>
      </c>
    </row>
    <row r="33" spans="2:161" ht="13.5" thickBot="1" x14ac:dyDescent="0.25">
      <c r="B33" s="4">
        <v>2012</v>
      </c>
      <c r="C33" s="71">
        <f t="shared" si="54"/>
        <v>9380.7999999999993</v>
      </c>
      <c r="D33" s="71">
        <f t="shared" si="82"/>
        <v>8178.7999999999993</v>
      </c>
      <c r="E33" s="71">
        <f>'Bayesian Sum (10Feb26)'!H28</f>
        <v>1202</v>
      </c>
      <c r="F33" s="110"/>
      <c r="G33" s="14">
        <f>'[1]Data-Nisgaa &amp; Other FN Catch'!BI25</f>
        <v>105</v>
      </c>
      <c r="H33" s="14">
        <f>'[1]Data-SF-FW'!U16</f>
        <v>532</v>
      </c>
      <c r="I33" s="14">
        <f>'Data-Chin-Nisga''a'!N27</f>
        <v>1467.2</v>
      </c>
      <c r="J33" s="14">
        <f t="shared" si="55"/>
        <v>2104.1999999999998</v>
      </c>
      <c r="L33" s="72">
        <f>'Bayesian Sum (10Feb26)'!K28</f>
        <v>11485</v>
      </c>
      <c r="M33" s="73">
        <f t="shared" si="28"/>
        <v>4.6321288637353068E-2</v>
      </c>
      <c r="N33" s="56">
        <f>'Data-Coastal-Chin-Esc (new)'!J40</f>
        <v>865.11331726747983</v>
      </c>
      <c r="O33" s="74">
        <f t="shared" si="56"/>
        <v>1.3023449816279855</v>
      </c>
      <c r="P33" s="14">
        <f>'Data-Coastal-Chin-Esc (new)'!AA40</f>
        <v>1126.6759872828416</v>
      </c>
      <c r="Q33" s="110"/>
      <c r="R33" s="5">
        <f>SUM('[1]Data-SF-FW'!C16:H16)</f>
        <v>18</v>
      </c>
      <c r="S33" s="14">
        <f>'Data-Chin-Nisga''a'!P27+'Data-Chin-Nisga''a'!Q27+'Data-Chin-Nisga''a'!O27</f>
        <v>2146.4</v>
      </c>
      <c r="T33" s="14">
        <f t="shared" si="57"/>
        <v>2164.4</v>
      </c>
      <c r="U33" s="73">
        <f t="shared" si="83"/>
        <v>5.469335885757245E-3</v>
      </c>
      <c r="V33" s="14">
        <f t="shared" si="3"/>
        <v>10507.47598728284</v>
      </c>
      <c r="W33" s="110"/>
      <c r="X33" s="111">
        <f t="shared" si="29"/>
        <v>105</v>
      </c>
      <c r="Y33" s="111">
        <f t="shared" si="30"/>
        <v>550</v>
      </c>
      <c r="Z33" s="111">
        <f t="shared" si="30"/>
        <v>3613.6000000000004</v>
      </c>
      <c r="AA33" s="111">
        <f t="shared" si="4"/>
        <v>4268.6000000000004</v>
      </c>
      <c r="AB33" s="110"/>
      <c r="AC33" s="14">
        <f>'A3.1b CF-tidal-Harvests (Chin)'!G27</f>
        <v>1247.576</v>
      </c>
      <c r="AD33" s="14">
        <f>'A3.1b CF-tidal-Harvests (Chin)'!L27</f>
        <v>494</v>
      </c>
      <c r="AE33" s="14">
        <f t="shared" si="58"/>
        <v>1741.576</v>
      </c>
      <c r="AF33" s="110"/>
      <c r="AJ33" s="14">
        <f t="shared" si="31"/>
        <v>16517.651987282839</v>
      </c>
      <c r="AK33" s="111">
        <v>1185</v>
      </c>
      <c r="AL33" s="111">
        <f t="shared" si="59"/>
        <v>17702.651987282839</v>
      </c>
      <c r="AM33" s="113">
        <v>1172</v>
      </c>
      <c r="AN33" s="14">
        <f>'[1]Data-FW Catch Rates - new'!CE27</f>
        <v>8995.6589262187081</v>
      </c>
      <c r="AO33" s="76">
        <f t="shared" si="32"/>
        <v>1.1672296700130267E-2</v>
      </c>
      <c r="AP33" s="60">
        <f t="shared" si="33"/>
        <v>2</v>
      </c>
      <c r="AQ33" s="59"/>
      <c r="AR33" s="77">
        <f t="shared" si="34"/>
        <v>0.40644622089214894</v>
      </c>
      <c r="AS33" s="61">
        <f t="shared" si="60"/>
        <v>0.12774923813670006</v>
      </c>
      <c r="AT33" s="61">
        <f t="shared" si="35"/>
        <v>4.6321288637353068E-2</v>
      </c>
      <c r="AU33" s="61">
        <f t="shared" si="36"/>
        <v>0.18321288637353067</v>
      </c>
      <c r="AV33" s="61"/>
      <c r="AW33" s="33"/>
      <c r="AX33" s="61">
        <f t="shared" si="37"/>
        <v>0.20412760769380339</v>
      </c>
      <c r="AY33" s="61">
        <f t="shared" si="38"/>
        <v>7.0473960675283498E-2</v>
      </c>
      <c r="AZ33" s="61">
        <f t="shared" si="39"/>
        <v>5.8974214753246268E-2</v>
      </c>
      <c r="BA33" s="61">
        <f t="shared" si="40"/>
        <v>5.9313147021943088E-3</v>
      </c>
      <c r="BB33" s="61">
        <f t="shared" si="61"/>
        <v>0.33950709782452748</v>
      </c>
      <c r="BC33" s="61">
        <f t="shared" si="62"/>
        <v>6.6939123067621481E-2</v>
      </c>
      <c r="BD33" s="78">
        <f t="shared" si="41"/>
        <v>0.40644622089214894</v>
      </c>
      <c r="BE33" s="17"/>
      <c r="BF33" s="17"/>
      <c r="BG33" s="22">
        <f>'[1]Data-PSC CH Tables'!C27</f>
        <v>8687.6589262187081</v>
      </c>
      <c r="BH33" s="22">
        <f>'[1]Data-PSC CH Tables'!AG27</f>
        <v>15807.666976543394</v>
      </c>
      <c r="BI33" s="22">
        <f>'[1]Data-PSC CH Tables'!AI27</f>
        <v>16992.666976543394</v>
      </c>
      <c r="BJ33" s="17"/>
      <c r="BK33" s="22">
        <f t="shared" si="63"/>
        <v>-693.1410737812912</v>
      </c>
      <c r="BL33" s="22">
        <f t="shared" si="64"/>
        <v>-709.98501073944499</v>
      </c>
      <c r="BM33" s="22">
        <f t="shared" si="65"/>
        <v>-709.98501073944499</v>
      </c>
      <c r="BO33" s="33"/>
      <c r="BP33" s="33"/>
      <c r="BQ33" s="33"/>
      <c r="BS33" s="62">
        <f t="shared" si="66"/>
        <v>1247.576</v>
      </c>
      <c r="BT33" s="62">
        <f t="shared" si="10"/>
        <v>3613.6000000000004</v>
      </c>
      <c r="BU33" s="62">
        <f t="shared" si="11"/>
        <v>105</v>
      </c>
      <c r="BV33" s="62">
        <f t="shared" si="12"/>
        <v>494</v>
      </c>
      <c r="BW33" s="62">
        <f t="shared" si="13"/>
        <v>550</v>
      </c>
      <c r="BX33" s="62">
        <f t="shared" si="67"/>
        <v>6010.1760000000004</v>
      </c>
      <c r="BY33" s="62">
        <f t="shared" si="15"/>
        <v>16517.651987282839</v>
      </c>
      <c r="BZ33" s="79">
        <f t="shared" si="68"/>
        <v>0.36386382305592313</v>
      </c>
      <c r="CA33" s="79">
        <f t="shared" si="69"/>
        <v>0.28977121468655825</v>
      </c>
      <c r="CB33" s="79">
        <f t="shared" si="70"/>
        <v>0.7102287853134418</v>
      </c>
      <c r="CC33" s="79">
        <f t="shared" si="19"/>
        <v>0.16469367809765875</v>
      </c>
      <c r="CD33" s="33"/>
      <c r="CF33" s="36">
        <v>15818.366839568131</v>
      </c>
      <c r="CG33" s="36">
        <v>17003.366839568131</v>
      </c>
      <c r="CH33" s="81">
        <f t="shared" si="100"/>
        <v>699.28514771470873</v>
      </c>
      <c r="CI33" s="36">
        <f t="shared" si="101"/>
        <v>699.28514771470873</v>
      </c>
      <c r="CJ33" s="36">
        <v>9808.1908395681312</v>
      </c>
      <c r="CK33" s="81">
        <f t="shared" si="73"/>
        <v>699.28514771470873</v>
      </c>
      <c r="CM33" s="33">
        <f t="shared" si="84"/>
        <v>2012</v>
      </c>
      <c r="CN33" s="96">
        <f t="shared" si="91"/>
        <v>16517.651987282839</v>
      </c>
      <c r="CO33" s="97">
        <f t="shared" si="92"/>
        <v>0</v>
      </c>
      <c r="CP33" s="97">
        <f t="shared" si="93"/>
        <v>3468.7069173293962</v>
      </c>
      <c r="CQ33" s="62">
        <f t="shared" si="94"/>
        <v>10507.47598728284</v>
      </c>
      <c r="CR33" s="98" t="str">
        <f t="shared" si="85"/>
        <v>Y</v>
      </c>
      <c r="CS33" s="114" t="str">
        <f t="shared" si="95"/>
        <v>N</v>
      </c>
      <c r="CT33" s="99">
        <f t="shared" si="102"/>
        <v>3468.7069173293962</v>
      </c>
      <c r="CU33" s="100">
        <f t="shared" si="103"/>
        <v>5865.2829173293958</v>
      </c>
      <c r="CV33" s="100">
        <f t="shared" si="105"/>
        <v>-2251.6829173293959</v>
      </c>
      <c r="CW33" s="100"/>
      <c r="CX33" s="101">
        <f t="shared" si="96"/>
        <v>3613.6000000000004</v>
      </c>
      <c r="CY33" s="102">
        <f t="shared" si="86"/>
        <v>-2251.6829173293954</v>
      </c>
      <c r="CZ33" s="79">
        <v>0.1</v>
      </c>
      <c r="DA33" s="103">
        <f t="shared" si="97"/>
        <v>-346.87069173293963</v>
      </c>
      <c r="DB33" s="107">
        <f t="shared" si="87"/>
        <v>-2251.6829173293954</v>
      </c>
      <c r="DC33" s="33"/>
      <c r="DD33" s="107">
        <f t="shared" si="104"/>
        <v>-12254.73210393232</v>
      </c>
      <c r="DE33" s="105">
        <f t="shared" si="98"/>
        <v>-2251.6829173293954</v>
      </c>
      <c r="DF33" s="105">
        <f t="shared" si="99"/>
        <v>2251.6829173293954</v>
      </c>
      <c r="DH33" s="66">
        <f t="shared" si="20"/>
        <v>0.10722613010455161</v>
      </c>
      <c r="DK33" s="106"/>
      <c r="DL33" s="106"/>
      <c r="DS33" s="14">
        <f t="shared" si="44"/>
        <v>10507.47598728284</v>
      </c>
      <c r="DT33" s="14">
        <v>19861.298355492483</v>
      </c>
      <c r="DU33" s="14">
        <f t="shared" si="77"/>
        <v>9353.8223682096432</v>
      </c>
      <c r="DW33" s="14">
        <f t="shared" si="45"/>
        <v>16517.651987282839</v>
      </c>
      <c r="DX33" s="14">
        <v>26393.298355492483</v>
      </c>
      <c r="DY33" s="14">
        <f t="shared" si="78"/>
        <v>9875.6463682096437</v>
      </c>
      <c r="EG33" s="14">
        <f t="shared" si="47"/>
        <v>2396.576</v>
      </c>
      <c r="EJ33" s="89">
        <f t="shared" si="48"/>
        <v>0.10722613010455161</v>
      </c>
      <c r="EL33" s="67"/>
      <c r="EM33" s="67">
        <f t="shared" si="49"/>
        <v>10.50747598728284</v>
      </c>
      <c r="EN33" s="67">
        <f t="shared" si="22"/>
        <v>3.6136000000000004</v>
      </c>
      <c r="EO33" s="67">
        <f t="shared" si="23"/>
        <v>2.396576</v>
      </c>
      <c r="EP33" s="67">
        <f t="shared" si="24"/>
        <v>1.1850000000000001</v>
      </c>
      <c r="ET33" s="66">
        <f t="shared" si="25"/>
        <v>0.18321288637353067</v>
      </c>
      <c r="EW33" s="14">
        <f t="shared" si="27"/>
        <v>2396.576</v>
      </c>
      <c r="EY33" s="14">
        <f t="shared" si="50"/>
        <v>637</v>
      </c>
      <c r="EZ33" s="14">
        <f t="shared" si="51"/>
        <v>655</v>
      </c>
      <c r="FB33" s="14">
        <f t="shared" si="52"/>
        <v>16104.776897119023</v>
      </c>
      <c r="FC33" s="66">
        <f t="shared" si="53"/>
        <v>0.91066405540239537</v>
      </c>
      <c r="FE33" s="14">
        <f t="shared" si="26"/>
        <v>11000</v>
      </c>
    </row>
    <row r="34" spans="2:161" x14ac:dyDescent="0.2">
      <c r="B34" s="4">
        <v>2013</v>
      </c>
      <c r="C34" s="71">
        <f t="shared" si="54"/>
        <v>9342.4</v>
      </c>
      <c r="D34" s="71">
        <f t="shared" si="82"/>
        <v>7746.4</v>
      </c>
      <c r="E34" s="71">
        <f>'Bayesian Sum (10Feb26)'!H29</f>
        <v>1596</v>
      </c>
      <c r="F34" s="110"/>
      <c r="G34" s="14">
        <f>'[1]Data-Nisgaa &amp; Other FN Catch'!BI26</f>
        <v>52</v>
      </c>
      <c r="H34" s="14">
        <f>'[1]Data-SF-FW'!U17</f>
        <v>466</v>
      </c>
      <c r="I34" s="14">
        <f>'Data-Chin-Nisga''a'!N28</f>
        <v>1735.6</v>
      </c>
      <c r="J34" s="14">
        <f t="shared" si="55"/>
        <v>2253.6</v>
      </c>
      <c r="L34" s="72">
        <f>'Bayesian Sum (10Feb26)'!K29</f>
        <v>11596</v>
      </c>
      <c r="M34" s="73">
        <f t="shared" si="28"/>
        <v>4.0186271127975161E-2</v>
      </c>
      <c r="N34" s="56">
        <f>'Data-Coastal-Chin-Esc (new)'!J41</f>
        <v>527.86575290897076</v>
      </c>
      <c r="O34" s="74">
        <f t="shared" si="56"/>
        <v>2.1256616280811071</v>
      </c>
      <c r="P34" s="14">
        <f>'Data-Coastal-Chin-Esc (new)'!AA41</f>
        <v>1122.0639757367421</v>
      </c>
      <c r="Q34" s="110"/>
      <c r="R34" s="5">
        <f>SUM('[1]Data-SF-FW'!C17:H17)</f>
        <v>6</v>
      </c>
      <c r="S34" s="14">
        <f>'Data-Chin-Nisga''a'!P28+'Data-Chin-Nisga''a'!Q28+'Data-Chin-Nisga''a'!O28</f>
        <v>2723.2</v>
      </c>
      <c r="T34" s="14">
        <f t="shared" si="57"/>
        <v>2729.2</v>
      </c>
      <c r="U34" s="115">
        <f>R34/SUM(T34,P34)</f>
        <v>1.5579300816044965E-3</v>
      </c>
      <c r="V34" s="14">
        <f t="shared" si="3"/>
        <v>10464.463975736742</v>
      </c>
      <c r="W34" s="110"/>
      <c r="X34" s="111">
        <f t="shared" si="29"/>
        <v>52</v>
      </c>
      <c r="Y34" s="111">
        <f t="shared" si="30"/>
        <v>472</v>
      </c>
      <c r="Z34" s="111">
        <f t="shared" si="30"/>
        <v>4458.7999999999993</v>
      </c>
      <c r="AA34" s="111">
        <f t="shared" si="4"/>
        <v>4982.7999999999993</v>
      </c>
      <c r="AB34" s="110"/>
      <c r="AC34" s="14">
        <f>'A3.1b CF-tidal-Harvests (Chin)'!G28</f>
        <v>1876.0720000000001</v>
      </c>
      <c r="AD34" s="14">
        <f>'A3.1b CF-tidal-Harvests (Chin)'!L28</f>
        <v>518</v>
      </c>
      <c r="AE34" s="14">
        <f t="shared" si="58"/>
        <v>2394.0720000000001</v>
      </c>
      <c r="AF34" s="110"/>
      <c r="AJ34" s="14">
        <f t="shared" si="31"/>
        <v>17841.335975736743</v>
      </c>
      <c r="AK34" s="111">
        <v>186</v>
      </c>
      <c r="AL34" s="111">
        <f t="shared" si="59"/>
        <v>18027.335975736743</v>
      </c>
      <c r="AM34" s="113">
        <v>178</v>
      </c>
      <c r="AN34" s="14">
        <f>'[1]Data-FW Catch Rates - new'!CE28</f>
        <v>8297.8356309650062</v>
      </c>
      <c r="AO34" s="76">
        <f t="shared" si="32"/>
        <v>6.2666943902759138E-3</v>
      </c>
      <c r="AP34" s="60">
        <f t="shared" si="33"/>
        <v>3</v>
      </c>
      <c r="AQ34" s="59"/>
      <c r="AR34" s="77">
        <f t="shared" si="34"/>
        <v>0.41952244137342198</v>
      </c>
      <c r="AS34" s="61">
        <f t="shared" si="60"/>
        <v>0.14967230079337701</v>
      </c>
      <c r="AT34" s="61">
        <f t="shared" si="35"/>
        <v>4.0186271127975161E-2</v>
      </c>
      <c r="AU34" s="61">
        <f t="shared" si="36"/>
        <v>0.1943428768540876</v>
      </c>
      <c r="AV34" s="61"/>
      <c r="AW34" s="33"/>
      <c r="AX34" s="61">
        <f t="shared" si="37"/>
        <v>0.24733549127842094</v>
      </c>
      <c r="AY34" s="61">
        <f t="shared" si="38"/>
        <v>0.10406817749028659</v>
      </c>
      <c r="AZ34" s="61">
        <f t="shared" si="39"/>
        <v>5.4916600064061356E-2</v>
      </c>
      <c r="BA34" s="61">
        <f t="shared" si="40"/>
        <v>2.8845082861931218E-3</v>
      </c>
      <c r="BB34" s="61">
        <f t="shared" si="61"/>
        <v>0.40920477711896197</v>
      </c>
      <c r="BC34" s="61">
        <f>AK34/AL34</f>
        <v>1.0317664254460013E-2</v>
      </c>
      <c r="BD34" s="78">
        <f t="shared" si="41"/>
        <v>0.41952244137342198</v>
      </c>
      <c r="BE34" s="17"/>
      <c r="BF34" s="17"/>
      <c r="BG34" s="22">
        <f>'[1]Data-PSC CH Tables'!C28</f>
        <v>8010.8356309650062</v>
      </c>
      <c r="BH34" s="22">
        <f>'[1]Data-PSC CH Tables'!AG28</f>
        <v>16411.076781231313</v>
      </c>
      <c r="BI34" s="22">
        <f>'[1]Data-PSC CH Tables'!AI28</f>
        <v>16597.076781231313</v>
      </c>
      <c r="BJ34" s="17"/>
      <c r="BK34" s="22">
        <f t="shared" si="63"/>
        <v>-1331.5643690349934</v>
      </c>
      <c r="BL34" s="22">
        <f t="shared" si="64"/>
        <v>-1430.2591945054301</v>
      </c>
      <c r="BM34" s="22">
        <f t="shared" si="65"/>
        <v>-1430.2591945054301</v>
      </c>
      <c r="BO34" s="33"/>
      <c r="BP34" s="33"/>
      <c r="BQ34" s="33"/>
      <c r="BS34" s="62">
        <f t="shared" si="66"/>
        <v>1876.0720000000001</v>
      </c>
      <c r="BT34" s="62">
        <f t="shared" si="10"/>
        <v>4458.7999999999993</v>
      </c>
      <c r="BU34" s="62">
        <f t="shared" si="11"/>
        <v>52</v>
      </c>
      <c r="BV34" s="62">
        <f t="shared" si="12"/>
        <v>518</v>
      </c>
      <c r="BW34" s="62">
        <f t="shared" si="13"/>
        <v>472</v>
      </c>
      <c r="BX34" s="62">
        <f t="shared" si="67"/>
        <v>7376.8719999999994</v>
      </c>
      <c r="BY34" s="62">
        <f t="shared" si="15"/>
        <v>17841.335975736743</v>
      </c>
      <c r="BZ34" s="79">
        <f t="shared" si="68"/>
        <v>0.41347083032527093</v>
      </c>
      <c r="CA34" s="79">
        <f t="shared" si="69"/>
        <v>0.32453755467086864</v>
      </c>
      <c r="CB34" s="79">
        <f t="shared" si="70"/>
        <v>0.67546244532913136</v>
      </c>
      <c r="CC34" s="79">
        <f t="shared" si="19"/>
        <v>2.4593831549707575E-2</v>
      </c>
      <c r="CD34" s="33"/>
      <c r="CF34" s="36">
        <v>16420.943057600234</v>
      </c>
      <c r="CG34" s="36">
        <v>16606.943057600234</v>
      </c>
      <c r="CH34" s="81">
        <f t="shared" si="100"/>
        <v>1420.3929181365093</v>
      </c>
      <c r="CI34" s="36">
        <f t="shared" si="101"/>
        <v>1420.3929181365093</v>
      </c>
      <c r="CJ34" s="36">
        <v>9044.0710576002366</v>
      </c>
      <c r="CK34" s="81">
        <f t="shared" si="73"/>
        <v>1420.3929181365056</v>
      </c>
      <c r="CM34" s="33">
        <f t="shared" si="84"/>
        <v>2013</v>
      </c>
      <c r="CN34" s="96">
        <f t="shared" si="91"/>
        <v>17841.335975736743</v>
      </c>
      <c r="CO34" s="97">
        <f t="shared" si="92"/>
        <v>0</v>
      </c>
      <c r="CP34" s="97">
        <f t="shared" si="93"/>
        <v>3746.6805549047158</v>
      </c>
      <c r="CQ34" s="62">
        <f t="shared" si="94"/>
        <v>10464.463975736742</v>
      </c>
      <c r="CR34" s="98" t="str">
        <f t="shared" si="85"/>
        <v>Y</v>
      </c>
      <c r="CS34" s="114" t="str">
        <f t="shared" si="95"/>
        <v>N</v>
      </c>
      <c r="CT34" s="99">
        <f t="shared" si="102"/>
        <v>3746.6805549047158</v>
      </c>
      <c r="CU34" s="100">
        <f t="shared" si="103"/>
        <v>6664.7525549047159</v>
      </c>
      <c r="CV34" s="100">
        <f t="shared" si="105"/>
        <v>-2205.9525549047166</v>
      </c>
      <c r="CW34" s="100"/>
      <c r="CX34" s="101">
        <f t="shared" si="96"/>
        <v>4458.7999999999993</v>
      </c>
      <c r="CY34" s="102">
        <f t="shared" si="86"/>
        <v>-2205.9525549047166</v>
      </c>
      <c r="CZ34" s="79">
        <v>0.1</v>
      </c>
      <c r="DA34" s="103">
        <f t="shared" si="97"/>
        <v>-374.6680554904716</v>
      </c>
      <c r="DB34" s="107">
        <f t="shared" si="87"/>
        <v>-2205.9525549047166</v>
      </c>
      <c r="DC34" s="33"/>
      <c r="DD34" s="107">
        <f t="shared" si="104"/>
        <v>-14460.684658837035</v>
      </c>
      <c r="DE34" s="105">
        <f t="shared" si="98"/>
        <v>-2205.9525549047166</v>
      </c>
      <c r="DF34" s="105">
        <f t="shared" si="99"/>
        <v>2205.9525549047166</v>
      </c>
      <c r="DH34" s="66">
        <f t="shared" si="20"/>
        <v>0.10722613010455169</v>
      </c>
      <c r="DK34" s="106"/>
      <c r="DL34" s="106"/>
      <c r="DS34" s="14">
        <f t="shared" si="44"/>
        <v>10464.463975736742</v>
      </c>
      <c r="DT34" s="14">
        <v>19861.298355492483</v>
      </c>
      <c r="DU34" s="14">
        <f t="shared" si="77"/>
        <v>9396.8343797557409</v>
      </c>
      <c r="DW34" s="14">
        <f t="shared" si="45"/>
        <v>17841.335975736743</v>
      </c>
      <c r="DX34" s="14">
        <v>26393.298355492483</v>
      </c>
      <c r="DY34" s="14">
        <f t="shared" si="78"/>
        <v>8551.9623797557397</v>
      </c>
      <c r="EG34" s="14">
        <f t="shared" si="47"/>
        <v>2918.0720000000001</v>
      </c>
      <c r="EJ34" s="89">
        <f t="shared" si="48"/>
        <v>0.10722613010455169</v>
      </c>
      <c r="EL34" s="67"/>
      <c r="EM34" s="67">
        <f t="shared" si="49"/>
        <v>10.464463975736741</v>
      </c>
      <c r="EN34" s="67">
        <f t="shared" si="22"/>
        <v>4.4587999999999992</v>
      </c>
      <c r="EO34" s="67">
        <f t="shared" si="23"/>
        <v>2.918072</v>
      </c>
      <c r="EP34" s="67">
        <f t="shared" si="24"/>
        <v>0.186</v>
      </c>
      <c r="ET34" s="66">
        <f t="shared" si="25"/>
        <v>0.1943428768540876</v>
      </c>
      <c r="EW34" s="14">
        <f t="shared" si="27"/>
        <v>2918.0720000000001</v>
      </c>
      <c r="EY34" s="14">
        <f t="shared" si="50"/>
        <v>518</v>
      </c>
      <c r="EZ34" s="14">
        <f t="shared" si="51"/>
        <v>524</v>
      </c>
      <c r="FB34" s="14">
        <f t="shared" si="52"/>
        <v>16431.385498085416</v>
      </c>
      <c r="FC34" s="66">
        <f t="shared" si="53"/>
        <v>0.91177399501391143</v>
      </c>
      <c r="FE34" s="14">
        <f t="shared" si="26"/>
        <v>12000</v>
      </c>
    </row>
    <row r="35" spans="2:161" ht="13.5" thickBot="1" x14ac:dyDescent="0.25">
      <c r="B35" s="4">
        <v>2014</v>
      </c>
      <c r="C35" s="71">
        <f t="shared" si="54"/>
        <v>13909.2</v>
      </c>
      <c r="D35" s="71">
        <f t="shared" si="82"/>
        <v>11354.2</v>
      </c>
      <c r="E35" s="71">
        <f>'Bayesian Sum (10Feb26)'!H30</f>
        <v>2555</v>
      </c>
      <c r="F35" s="110"/>
      <c r="G35" s="14">
        <f>'[1]Data-Nisgaa &amp; Other FN Catch'!BI27</f>
        <v>72</v>
      </c>
      <c r="H35" s="14">
        <f>'[1]Data-SF-FW'!U18</f>
        <v>863</v>
      </c>
      <c r="I35" s="14">
        <f>'Data-Chin-Nisga''a'!N29</f>
        <v>1945.8</v>
      </c>
      <c r="J35" s="14">
        <f t="shared" si="55"/>
        <v>2880.8</v>
      </c>
      <c r="L35" s="72">
        <f>'Bayesian Sum (10Feb26)'!K30</f>
        <v>16790</v>
      </c>
      <c r="M35" s="73">
        <f t="shared" si="28"/>
        <v>5.1399642644431212E-2</v>
      </c>
      <c r="N35" s="56">
        <f>'Data-Coastal-Chin-Esc (new)'!J42</f>
        <v>1490.7319873818155</v>
      </c>
      <c r="O35" s="74">
        <f t="shared" si="56"/>
        <v>1.120628705464463</v>
      </c>
      <c r="P35" s="14">
        <f>'Data-Coastal-Chin-Esc (new)'!AA42</f>
        <v>1670.5570572141503</v>
      </c>
      <c r="Q35" s="110"/>
      <c r="R35" s="5">
        <f>SUM('[1]Data-SF-FW'!C18:H18)</f>
        <v>1</v>
      </c>
      <c r="S35" s="14">
        <f>'Data-Chin-Nisga''a'!P29+'Data-Chin-Nisga''a'!Q29+'Data-Chin-Nisga''a'!O29</f>
        <v>4083.4000000000005</v>
      </c>
      <c r="T35" s="14">
        <f>SUM(R35:S35)</f>
        <v>4084.4000000000005</v>
      </c>
      <c r="U35" s="116">
        <f t="shared" si="83"/>
        <v>1.7376324272419126E-4</v>
      </c>
      <c r="V35" s="14">
        <f t="shared" si="3"/>
        <v>15579.75705721415</v>
      </c>
      <c r="W35" s="110"/>
      <c r="X35" s="111">
        <f t="shared" si="29"/>
        <v>72</v>
      </c>
      <c r="Y35" s="111">
        <f t="shared" si="30"/>
        <v>864</v>
      </c>
      <c r="Z35" s="111">
        <f t="shared" si="30"/>
        <v>6029.2000000000007</v>
      </c>
      <c r="AA35" s="111">
        <f t="shared" si="4"/>
        <v>6965.2000000000007</v>
      </c>
      <c r="AB35" s="110"/>
      <c r="AC35" s="14">
        <f>'A3.1b CF-tidal-Harvests (Chin)'!G29</f>
        <v>2046.4480000000001</v>
      </c>
      <c r="AD35" s="14">
        <f>'A3.1b CF-tidal-Harvests (Chin)'!L29</f>
        <v>734</v>
      </c>
      <c r="AE35" s="14">
        <f t="shared" si="58"/>
        <v>2780.4480000000003</v>
      </c>
      <c r="AF35" s="110"/>
      <c r="AJ35" s="14">
        <f t="shared" si="31"/>
        <v>25325.405057214153</v>
      </c>
      <c r="AK35" s="111">
        <v>1585</v>
      </c>
      <c r="AL35" s="111">
        <f t="shared" si="59"/>
        <v>26910.405057214153</v>
      </c>
      <c r="AM35" s="113">
        <v>1498</v>
      </c>
      <c r="AN35" s="14">
        <f>'[1]Data-FW Catch Rates - new'!CE29</f>
        <v>11914</v>
      </c>
      <c r="AO35" s="117">
        <f t="shared" si="32"/>
        <v>6.0433103911364779E-3</v>
      </c>
      <c r="AP35" s="60">
        <f t="shared" si="33"/>
        <v>17</v>
      </c>
      <c r="AQ35" s="59"/>
      <c r="AR35" s="77">
        <f t="shared" si="34"/>
        <v>0.42105081569415009</v>
      </c>
      <c r="AS35" s="61">
        <f t="shared" si="60"/>
        <v>0.11589041095890411</v>
      </c>
      <c r="AT35" s="61">
        <f t="shared" si="35"/>
        <v>5.1399642644431212E-2</v>
      </c>
      <c r="AU35" s="61">
        <f t="shared" si="36"/>
        <v>0.1715783204288267</v>
      </c>
      <c r="AV35" s="61"/>
      <c r="AW35" s="33"/>
      <c r="AX35" s="61">
        <f t="shared" si="37"/>
        <v>0.22404716640947364</v>
      </c>
      <c r="AY35" s="61">
        <f t="shared" si="38"/>
        <v>7.6046718570346727E-2</v>
      </c>
      <c r="AZ35" s="61">
        <f t="shared" si="39"/>
        <v>5.9382235109523458E-2</v>
      </c>
      <c r="BA35" s="61">
        <f t="shared" si="40"/>
        <v>2.6755450111925465E-3</v>
      </c>
      <c r="BB35" s="61">
        <f t="shared" si="61"/>
        <v>0.36215166510053642</v>
      </c>
      <c r="BC35" s="61">
        <f>AK35/AL35</f>
        <v>5.8899150593613697E-2</v>
      </c>
      <c r="BD35" s="78">
        <f t="shared" si="41"/>
        <v>0.42105081569415009</v>
      </c>
      <c r="BE35" s="17"/>
      <c r="BF35" s="17"/>
      <c r="BG35" s="22">
        <f>'[1]Data-PSC CH Tables'!C29</f>
        <v>11509</v>
      </c>
      <c r="BH35" s="22">
        <f>'[1]Data-PSC CH Tables'!AG29</f>
        <v>22724.901053862264</v>
      </c>
      <c r="BI35" s="22">
        <f>'[1]Data-PSC CH Tables'!AI29</f>
        <v>24309.901053862264</v>
      </c>
      <c r="BJ35" s="17"/>
      <c r="BK35" s="22">
        <f t="shared" si="63"/>
        <v>-2400.2000000000007</v>
      </c>
      <c r="BL35" s="22">
        <f t="shared" si="64"/>
        <v>-2600.504003351889</v>
      </c>
      <c r="BM35" s="22">
        <f t="shared" si="65"/>
        <v>-2600.504003351889</v>
      </c>
      <c r="BO35" s="33"/>
      <c r="BP35" s="33"/>
      <c r="BQ35" s="33"/>
      <c r="BS35" s="62">
        <f t="shared" si="66"/>
        <v>2046.4480000000001</v>
      </c>
      <c r="BT35" s="62">
        <f t="shared" si="10"/>
        <v>6029.2000000000007</v>
      </c>
      <c r="BU35" s="62">
        <f t="shared" si="11"/>
        <v>72</v>
      </c>
      <c r="BV35" s="62">
        <f t="shared" si="12"/>
        <v>734</v>
      </c>
      <c r="BW35" s="62">
        <f t="shared" si="13"/>
        <v>864</v>
      </c>
      <c r="BX35" s="62">
        <f t="shared" si="67"/>
        <v>9745.648000000001</v>
      </c>
      <c r="BY35" s="62">
        <f t="shared" si="15"/>
        <v>25325.405057214153</v>
      </c>
      <c r="BZ35" s="79">
        <f t="shared" si="68"/>
        <v>0.3848170632605093</v>
      </c>
      <c r="CA35" s="79">
        <f t="shared" si="69"/>
        <v>0.28530150073140337</v>
      </c>
      <c r="CB35" s="79">
        <f t="shared" si="70"/>
        <v>0.71469849926859663</v>
      </c>
      <c r="CC35" s="79">
        <f t="shared" si="19"/>
        <v>0.13988608595024749</v>
      </c>
      <c r="CD35" s="33"/>
      <c r="CF35" s="36">
        <v>22739.075726762934</v>
      </c>
      <c r="CG35" s="36">
        <v>24324.075726762934</v>
      </c>
      <c r="CH35" s="81">
        <f t="shared" si="100"/>
        <v>2586.329330451219</v>
      </c>
      <c r="CI35" s="36">
        <f t="shared" si="101"/>
        <v>2586.329330451219</v>
      </c>
      <c r="CJ35" s="36">
        <v>12993.427726762931</v>
      </c>
      <c r="CK35" s="81">
        <f t="shared" si="73"/>
        <v>2586.329330451219</v>
      </c>
      <c r="CM35" s="33">
        <f t="shared" si="84"/>
        <v>2014</v>
      </c>
      <c r="CN35" s="96">
        <f t="shared" si="91"/>
        <v>25325.405057214153</v>
      </c>
      <c r="CO35" s="97">
        <f t="shared" si="92"/>
        <v>5007.069995199181</v>
      </c>
      <c r="CP35" s="97">
        <f t="shared" si="93"/>
        <v>10325.405057214153</v>
      </c>
      <c r="CQ35" s="62">
        <f t="shared" si="94"/>
        <v>15579.75705721415</v>
      </c>
      <c r="CR35" s="98" t="str">
        <f t="shared" si="85"/>
        <v>Y</v>
      </c>
      <c r="CS35" s="114" t="str">
        <f t="shared" si="95"/>
        <v>Y</v>
      </c>
      <c r="CT35" s="99">
        <f t="shared" si="102"/>
        <v>5318.3350620149722</v>
      </c>
      <c r="CU35" s="100">
        <f t="shared" si="103"/>
        <v>5318.3350620149722</v>
      </c>
      <c r="CV35" s="100">
        <f t="shared" si="105"/>
        <v>-3005.5830620149718</v>
      </c>
      <c r="CW35" s="100"/>
      <c r="CX35" s="101">
        <f t="shared" si="96"/>
        <v>6029.2000000000007</v>
      </c>
      <c r="CY35" s="102">
        <f t="shared" si="86"/>
        <v>710.86493798502852</v>
      </c>
      <c r="CZ35" s="79">
        <v>0.1</v>
      </c>
      <c r="DA35" s="103">
        <f t="shared" si="97"/>
        <v>-531.83350620149724</v>
      </c>
      <c r="DB35" s="107">
        <f t="shared" si="87"/>
        <v>710.86493798502852</v>
      </c>
      <c r="DC35" s="33"/>
      <c r="DD35" s="107">
        <f t="shared" si="104"/>
        <v>-13749.819720852007</v>
      </c>
      <c r="DE35" s="105">
        <f t="shared" si="98"/>
        <v>710.86493798502852</v>
      </c>
      <c r="DF35" s="105">
        <f t="shared" si="99"/>
        <v>710.86493798502852</v>
      </c>
      <c r="DH35" s="66">
        <f t="shared" si="20"/>
        <v>0.10722613010455159</v>
      </c>
      <c r="DK35" s="106"/>
      <c r="DL35" s="106"/>
      <c r="DS35" s="14">
        <f t="shared" si="44"/>
        <v>15579.75705721415</v>
      </c>
      <c r="DT35" s="14">
        <v>19861.298355492483</v>
      </c>
      <c r="DU35" s="14">
        <f t="shared" si="77"/>
        <v>4281.5412982783328</v>
      </c>
      <c r="DW35" s="14">
        <f t="shared" si="45"/>
        <v>25325.405057214153</v>
      </c>
      <c r="DX35" s="14">
        <v>26393.298355492483</v>
      </c>
      <c r="DY35" s="14">
        <f t="shared" si="78"/>
        <v>1067.8932982783299</v>
      </c>
      <c r="EG35" s="14">
        <f t="shared" si="47"/>
        <v>3716.4480000000003</v>
      </c>
      <c r="EJ35" s="89">
        <f t="shared" si="48"/>
        <v>0.10722613010455159</v>
      </c>
      <c r="EL35" s="67"/>
      <c r="EM35" s="67">
        <f t="shared" si="49"/>
        <v>15.579757057214151</v>
      </c>
      <c r="EN35" s="67">
        <f t="shared" si="22"/>
        <v>6.0292000000000003</v>
      </c>
      <c r="EO35" s="67">
        <f t="shared" si="23"/>
        <v>3.7164480000000002</v>
      </c>
      <c r="EP35" s="67">
        <f t="shared" si="24"/>
        <v>1.585</v>
      </c>
      <c r="ET35" s="66">
        <f t="shared" si="25"/>
        <v>0.1715783204288267</v>
      </c>
      <c r="EW35" s="14">
        <f t="shared" si="27"/>
        <v>3716.4480000000003</v>
      </c>
      <c r="EY35" s="14">
        <f t="shared" si="50"/>
        <v>935</v>
      </c>
      <c r="EZ35" s="14">
        <f t="shared" si="51"/>
        <v>936</v>
      </c>
      <c r="FB35" s="14">
        <f t="shared" si="52"/>
        <v>24474.283712585177</v>
      </c>
      <c r="FC35" s="66">
        <f t="shared" si="53"/>
        <v>0.90950668216367181</v>
      </c>
      <c r="FE35" s="14">
        <f t="shared" si="26"/>
        <v>17000</v>
      </c>
    </row>
    <row r="36" spans="2:161" x14ac:dyDescent="0.2">
      <c r="B36" s="4">
        <v>2015</v>
      </c>
      <c r="C36" s="71">
        <f t="shared" si="54"/>
        <v>19532.2</v>
      </c>
      <c r="D36" s="71">
        <f t="shared" si="82"/>
        <v>16035.2</v>
      </c>
      <c r="E36" s="71">
        <f>'Bayesian Sum (10Feb26)'!H31</f>
        <v>3497</v>
      </c>
      <c r="F36" s="110"/>
      <c r="G36" s="14">
        <f>'[1]Data-Nisgaa &amp; Other FN Catch'!BI28</f>
        <v>252</v>
      </c>
      <c r="H36" s="14">
        <f>'[1]Data-SF-FW'!U19</f>
        <v>573</v>
      </c>
      <c r="I36" s="14">
        <f>'Data-Chin-Nisga''a'!N30</f>
        <v>3197.8</v>
      </c>
      <c r="J36" s="14">
        <f t="shared" si="55"/>
        <v>4022.8</v>
      </c>
      <c r="L36" s="72">
        <f>'Bayesian Sum (10Feb26)'!K31</f>
        <v>23555</v>
      </c>
      <c r="M36" s="115">
        <f>H36/L36</f>
        <v>2.4326045425599661E-2</v>
      </c>
      <c r="N36" s="56">
        <f>'Data-Coastal-Chin-Esc (new)'!J43</f>
        <v>723.37158731970067</v>
      </c>
      <c r="O36" s="74">
        <f t="shared" si="56"/>
        <v>3.2430144039732749</v>
      </c>
      <c r="P36" s="14">
        <f>'Data-Coastal-Chin-Esc (new)'!AA43</f>
        <v>2345.9044771028007</v>
      </c>
      <c r="Q36" s="110"/>
      <c r="R36" s="5">
        <f>SUM('[1]Data-SF-FW'!C19:H19)</f>
        <v>16</v>
      </c>
      <c r="S36" s="14">
        <f>'Data-Chin-Nisga''a'!P30+'Data-Chin-Nisga''a'!Q30+'Data-Chin-Nisga''a'!O30</f>
        <v>5136.828148276747</v>
      </c>
      <c r="T36" s="14">
        <f t="shared" si="57"/>
        <v>5152.828148276747</v>
      </c>
      <c r="U36" s="116">
        <f t="shared" si="83"/>
        <v>2.1336938919315263E-3</v>
      </c>
      <c r="V36" s="14">
        <f t="shared" si="3"/>
        <v>21878.104477102803</v>
      </c>
      <c r="W36" s="110"/>
      <c r="X36" s="111">
        <f t="shared" si="29"/>
        <v>252</v>
      </c>
      <c r="Y36" s="111">
        <f t="shared" si="30"/>
        <v>589</v>
      </c>
      <c r="Z36" s="111">
        <f t="shared" si="30"/>
        <v>8334.6281482767481</v>
      </c>
      <c r="AA36" s="111">
        <f t="shared" si="4"/>
        <v>9175.6281482767481</v>
      </c>
      <c r="AB36" s="110"/>
      <c r="AC36" s="14">
        <f>'A3.1b CF-tidal-Harvests (Chin)'!G30</f>
        <v>2500.8719999999998</v>
      </c>
      <c r="AD36" s="14">
        <f>'A3.1b CF-tidal-Harvests (Chin)'!L30</f>
        <v>686</v>
      </c>
      <c r="AE36" s="14">
        <f t="shared" si="58"/>
        <v>3186.8719999999998</v>
      </c>
      <c r="AF36" s="110"/>
      <c r="AJ36" s="14">
        <f t="shared" si="31"/>
        <v>34240.60462537955</v>
      </c>
      <c r="AK36" s="111">
        <v>2176</v>
      </c>
      <c r="AL36" s="111">
        <f t="shared" si="59"/>
        <v>36416.60462537955</v>
      </c>
      <c r="AM36" s="113">
        <v>2013</v>
      </c>
      <c r="AN36" s="14">
        <f>'[1]Data-FW Catch Rates - new'!CE30</f>
        <v>18778</v>
      </c>
      <c r="AO36" s="117">
        <f t="shared" si="32"/>
        <v>1.3419959527106187E-2</v>
      </c>
      <c r="AP36" s="60">
        <f t="shared" si="33"/>
        <v>25</v>
      </c>
      <c r="AQ36" s="59"/>
      <c r="AR36" s="77">
        <f t="shared" si="34"/>
        <v>0.39922722883792794</v>
      </c>
      <c r="AS36" s="61">
        <f t="shared" si="60"/>
        <v>0.13575886223731692</v>
      </c>
      <c r="AT36" s="61">
        <f t="shared" si="35"/>
        <v>2.4326045425599661E-2</v>
      </c>
      <c r="AU36" s="61">
        <f t="shared" si="36"/>
        <v>0.17078327319040545</v>
      </c>
      <c r="AV36" s="61"/>
      <c r="AW36" s="33"/>
      <c r="AX36" s="61">
        <f t="shared" si="37"/>
        <v>0.22886889741687116</v>
      </c>
      <c r="AY36" s="61">
        <f t="shared" si="38"/>
        <v>6.8673947660048626E-2</v>
      </c>
      <c r="AZ36" s="61">
        <f t="shared" si="39"/>
        <v>3.5011501294973116E-2</v>
      </c>
      <c r="BA36" s="61">
        <f t="shared" si="40"/>
        <v>6.9199202559476272E-3</v>
      </c>
      <c r="BB36" s="61">
        <f t="shared" si="61"/>
        <v>0.33947426662784053</v>
      </c>
      <c r="BC36" s="61">
        <f>AK36/AL36</f>
        <v>5.9752962210087447E-2</v>
      </c>
      <c r="BD36" s="78">
        <f t="shared" si="41"/>
        <v>0.39922722883792794</v>
      </c>
      <c r="BE36" s="17"/>
      <c r="BF36" s="17"/>
      <c r="BG36" s="22">
        <f>'[1]Data-PSC CH Tables'!C30</f>
        <v>18262</v>
      </c>
      <c r="BH36" s="22">
        <f>'[1]Data-PSC CH Tables'!AG30</f>
        <v>32957.436221752512</v>
      </c>
      <c r="BI36" s="22">
        <f>'[1]Data-PSC CH Tables'!AI30</f>
        <v>35133.436221752512</v>
      </c>
      <c r="BJ36" s="17"/>
      <c r="BK36" s="22">
        <f t="shared" si="63"/>
        <v>-1270.2000000000007</v>
      </c>
      <c r="BL36" s="22">
        <f t="shared" si="64"/>
        <v>-1283.1684036270381</v>
      </c>
      <c r="BM36" s="22">
        <f t="shared" si="65"/>
        <v>-1283.1684036270381</v>
      </c>
      <c r="BO36" s="33"/>
      <c r="BP36" s="33"/>
      <c r="BQ36" s="33"/>
      <c r="BS36" s="62">
        <f t="shared" si="66"/>
        <v>2500.8719999999998</v>
      </c>
      <c r="BT36" s="62">
        <f t="shared" si="10"/>
        <v>8334.6281482767481</v>
      </c>
      <c r="BU36" s="62">
        <f t="shared" si="11"/>
        <v>252</v>
      </c>
      <c r="BV36" s="62">
        <f t="shared" si="12"/>
        <v>686</v>
      </c>
      <c r="BW36" s="62">
        <f t="shared" si="13"/>
        <v>589</v>
      </c>
      <c r="BX36" s="62">
        <f t="shared" si="67"/>
        <v>12362.500148276747</v>
      </c>
      <c r="BY36" s="62">
        <f t="shared" si="15"/>
        <v>34240.60462537955</v>
      </c>
      <c r="BZ36" s="79">
        <f t="shared" si="68"/>
        <v>0.36104795121268135</v>
      </c>
      <c r="CA36" s="79">
        <f t="shared" si="69"/>
        <v>0.25778539630142933</v>
      </c>
      <c r="CB36" s="79">
        <f t="shared" si="70"/>
        <v>0.74221460369857073</v>
      </c>
      <c r="CC36" s="79">
        <f t="shared" si="19"/>
        <v>0.14967156018895952</v>
      </c>
      <c r="CD36" s="33"/>
      <c r="CF36" s="36">
        <v>32979.928000057495</v>
      </c>
      <c r="CG36" s="36">
        <v>35155.928000057495</v>
      </c>
      <c r="CH36" s="81">
        <f t="shared" si="100"/>
        <v>1260.6766253220558</v>
      </c>
      <c r="CI36" s="36">
        <f t="shared" si="101"/>
        <v>1260.6766253220558</v>
      </c>
      <c r="CJ36" s="36">
        <v>20617.427851780747</v>
      </c>
      <c r="CK36" s="81">
        <f t="shared" si="73"/>
        <v>1260.6766253220558</v>
      </c>
      <c r="CM36" s="33">
        <f t="shared" si="84"/>
        <v>2015</v>
      </c>
      <c r="CN36" s="96">
        <f t="shared" si="91"/>
        <v>34240.60462537955</v>
      </c>
      <c r="CO36" s="97">
        <f t="shared" si="92"/>
        <v>12050.077654049845</v>
      </c>
      <c r="CP36" s="97">
        <f t="shared" si="93"/>
        <v>19240.60462537955</v>
      </c>
      <c r="CQ36" s="62">
        <f t="shared" si="94"/>
        <v>21878.104477102803</v>
      </c>
      <c r="CR36" s="98" t="str">
        <f t="shared" si="85"/>
        <v>Y</v>
      </c>
      <c r="CS36" s="114" t="str">
        <f t="shared" si="95"/>
        <v>Y</v>
      </c>
      <c r="CT36" s="99">
        <f t="shared" si="102"/>
        <v>7190.5269713297057</v>
      </c>
      <c r="CU36" s="100">
        <f t="shared" si="103"/>
        <v>7190.5269713297057</v>
      </c>
      <c r="CV36" s="100">
        <f t="shared" si="105"/>
        <v>-2883.770823052957</v>
      </c>
      <c r="CW36" s="100"/>
      <c r="CX36" s="101">
        <f t="shared" si="96"/>
        <v>8334.6281482767481</v>
      </c>
      <c r="CY36" s="102">
        <f t="shared" si="86"/>
        <v>1144.1011769470424</v>
      </c>
      <c r="CZ36" s="79">
        <v>0.1</v>
      </c>
      <c r="DA36" s="103">
        <f t="shared" si="97"/>
        <v>-719.05269713297059</v>
      </c>
      <c r="DB36" s="107">
        <f t="shared" si="87"/>
        <v>1144.1011769470424</v>
      </c>
      <c r="DC36" s="33"/>
      <c r="DD36" s="107">
        <f t="shared" si="104"/>
        <v>-12605.718543904964</v>
      </c>
      <c r="DE36" s="105">
        <f t="shared" si="98"/>
        <v>1144.1011769470424</v>
      </c>
      <c r="DF36" s="105">
        <f t="shared" si="99"/>
        <v>1144.1011769470424</v>
      </c>
      <c r="DH36" s="66">
        <f t="shared" si="20"/>
        <v>0.10722613010455172</v>
      </c>
      <c r="DK36" s="106"/>
      <c r="DL36" s="106"/>
      <c r="DS36" s="14">
        <f t="shared" si="44"/>
        <v>21878.104477102803</v>
      </c>
      <c r="DT36" s="14">
        <v>19861.298355492483</v>
      </c>
      <c r="DU36" s="14">
        <f t="shared" si="77"/>
        <v>-2016.8061216103197</v>
      </c>
      <c r="DW36" s="14">
        <f t="shared" si="45"/>
        <v>34240.60462537955</v>
      </c>
      <c r="DX36" s="14">
        <v>26393.298355492483</v>
      </c>
      <c r="DY36" s="14">
        <f t="shared" si="78"/>
        <v>-7847.3062698870672</v>
      </c>
      <c r="EG36" s="14">
        <f t="shared" si="47"/>
        <v>4027.8719999999998</v>
      </c>
      <c r="EJ36" s="89">
        <f t="shared" si="48"/>
        <v>0.10722613010455172</v>
      </c>
      <c r="EL36" s="67"/>
      <c r="EM36" s="67">
        <f t="shared" si="49"/>
        <v>21.878104477102802</v>
      </c>
      <c r="EN36" s="67">
        <f t="shared" si="22"/>
        <v>8.3346281482767477</v>
      </c>
      <c r="EO36" s="67">
        <f t="shared" si="23"/>
        <v>4.0278719999999995</v>
      </c>
      <c r="EP36" s="67">
        <f t="shared" si="24"/>
        <v>2.1760000000000002</v>
      </c>
      <c r="ET36" s="66">
        <f t="shared" si="25"/>
        <v>0.17078327319040545</v>
      </c>
      <c r="EW36" s="14">
        <f t="shared" si="27"/>
        <v>4027.8719999999994</v>
      </c>
      <c r="EY36" s="14">
        <f t="shared" si="50"/>
        <v>825</v>
      </c>
      <c r="EZ36" s="14">
        <f t="shared" si="51"/>
        <v>841</v>
      </c>
      <c r="FB36" s="14">
        <f t="shared" si="52"/>
        <v>33103.71816199692</v>
      </c>
      <c r="FC36" s="66">
        <f t="shared" si="53"/>
        <v>0.90942770052000876</v>
      </c>
      <c r="FE36" s="14">
        <f t="shared" si="26"/>
        <v>24000</v>
      </c>
    </row>
    <row r="37" spans="2:161" x14ac:dyDescent="0.2">
      <c r="B37" s="4">
        <v>2016</v>
      </c>
      <c r="C37" s="71">
        <f t="shared" si="54"/>
        <v>11020.6</v>
      </c>
      <c r="D37" s="71">
        <f t="shared" si="82"/>
        <v>9067.6</v>
      </c>
      <c r="E37" s="71">
        <f>'Bayesian Sum (10Feb26)'!H32</f>
        <v>1953</v>
      </c>
      <c r="F37" s="110"/>
      <c r="G37" s="14">
        <f>'[1]Data-Nisgaa &amp; Other FN Catch'!BI29</f>
        <v>114</v>
      </c>
      <c r="H37" s="14">
        <f>'[1]Data-SF-FW'!U20</f>
        <v>339</v>
      </c>
      <c r="I37" s="14">
        <f>'Data-Chin-Nisga''a'!N31</f>
        <v>1524.4</v>
      </c>
      <c r="J37" s="14">
        <f t="shared" ref="J37:J46" si="106">SUM(G37:I37)</f>
        <v>1977.4</v>
      </c>
      <c r="L37" s="72">
        <f>'Bayesian Sum (10Feb26)'!K32</f>
        <v>12998</v>
      </c>
      <c r="M37" s="116">
        <f t="shared" si="28"/>
        <v>2.6080935528542851E-2</v>
      </c>
      <c r="N37" s="56">
        <f>'Data-Coastal-Chin-Esc (new)'!J44</f>
        <v>0</v>
      </c>
      <c r="O37" s="74" t="s">
        <v>107</v>
      </c>
      <c r="P37" s="14">
        <f>'Data-Coastal-Chin-Esc (new)'!AA44</f>
        <v>1323.6232928374238</v>
      </c>
      <c r="Q37" s="110"/>
      <c r="R37" s="5">
        <f>SUM('[1]Data-SF-FW'!C20:H20)</f>
        <v>2</v>
      </c>
      <c r="S37" s="14">
        <f>'Data-Chin-Nisga''a'!P31+'Data-Chin-Nisga''a'!Q31+'Data-Chin-Nisga''a'!O31</f>
        <v>3893.2</v>
      </c>
      <c r="T37" s="14">
        <f t="shared" si="57"/>
        <v>3895.2</v>
      </c>
      <c r="U37" s="116">
        <f t="shared" si="83"/>
        <v>3.8322815082566619E-4</v>
      </c>
      <c r="V37" s="14">
        <f t="shared" si="3"/>
        <v>12344.223292837425</v>
      </c>
      <c r="W37" s="110"/>
      <c r="X37" s="111">
        <f t="shared" si="29"/>
        <v>114</v>
      </c>
      <c r="Y37" s="111">
        <f t="shared" si="30"/>
        <v>341</v>
      </c>
      <c r="Z37" s="111">
        <f t="shared" si="30"/>
        <v>5417.6</v>
      </c>
      <c r="AA37" s="111">
        <f t="shared" si="4"/>
        <v>5872.6</v>
      </c>
      <c r="AB37" s="110"/>
      <c r="AC37" s="14">
        <f>'A3.1b CF-tidal-Harvests (Chin)'!G31</f>
        <v>856.38400000000001</v>
      </c>
      <c r="AD37" s="14">
        <f>'A3.1b CF-tidal-Harvests (Chin)'!L31</f>
        <v>764</v>
      </c>
      <c r="AE37" s="14">
        <f t="shared" si="58"/>
        <v>1620.384</v>
      </c>
      <c r="AF37" s="110"/>
      <c r="AJ37" s="14">
        <f t="shared" si="31"/>
        <v>19837.207292837425</v>
      </c>
      <c r="AK37" s="111">
        <v>1684</v>
      </c>
      <c r="AL37" s="111">
        <f t="shared" si="59"/>
        <v>21521.207292837425</v>
      </c>
      <c r="AM37" s="113">
        <v>1240</v>
      </c>
      <c r="AN37" s="14">
        <f>'[1]Data-FW Catch Rates - new'!CE31</f>
        <v>9379.17808219178</v>
      </c>
      <c r="AO37" s="117">
        <f t="shared" si="32"/>
        <v>1.2154583162937431E-2</v>
      </c>
      <c r="AP37" s="60">
        <f t="shared" si="33"/>
        <v>8</v>
      </c>
      <c r="AQ37" s="59"/>
      <c r="AR37" s="77">
        <f t="shared" si="34"/>
        <v>0.42641585460933856</v>
      </c>
      <c r="AS37" s="61">
        <f t="shared" si="60"/>
        <v>0.11727958147407294</v>
      </c>
      <c r="AT37" s="61">
        <f t="shared" si="35"/>
        <v>2.6080935528542851E-2</v>
      </c>
      <c r="AU37" s="61">
        <f t="shared" si="36"/>
        <v>0.15213109709186029</v>
      </c>
      <c r="AV37" s="61"/>
      <c r="AW37" s="33"/>
      <c r="AX37" s="61">
        <f t="shared" si="37"/>
        <v>0.25173308942584544</v>
      </c>
      <c r="AY37" s="61">
        <f t="shared" si="38"/>
        <v>3.9792563137711012E-2</v>
      </c>
      <c r="AZ37" s="61">
        <f t="shared" si="39"/>
        <v>5.1344703155559508E-2</v>
      </c>
      <c r="BA37" s="61">
        <f t="shared" si="40"/>
        <v>5.2971005970441484E-3</v>
      </c>
      <c r="BB37" s="61">
        <f t="shared" si="61"/>
        <v>0.34816745631616008</v>
      </c>
      <c r="BC37" s="61">
        <f>AK37/AL37</f>
        <v>7.8248398293178464E-2</v>
      </c>
      <c r="BD37" s="78">
        <f t="shared" si="41"/>
        <v>0.42641585460933856</v>
      </c>
      <c r="BE37" s="17"/>
      <c r="BF37" s="17"/>
      <c r="BG37" s="22">
        <f>'[1]Data-PSC CH Tables'!C31</f>
        <v>9037.17808219178</v>
      </c>
      <c r="BH37" s="22">
        <f>'[1]Data-PSC CH Tables'!AG31</f>
        <v>17684.644545797615</v>
      </c>
      <c r="BI37" s="22">
        <f>'[1]Data-PSC CH Tables'!AI31</f>
        <v>19368.644545797615</v>
      </c>
      <c r="BJ37" s="17"/>
      <c r="BK37" s="22">
        <f t="shared" si="63"/>
        <v>-1983.4219178082203</v>
      </c>
      <c r="BL37" s="22">
        <f t="shared" si="64"/>
        <v>-2152.5627470398103</v>
      </c>
      <c r="BM37" s="22">
        <f t="shared" si="65"/>
        <v>-2152.5627470398103</v>
      </c>
      <c r="BO37" s="33"/>
      <c r="BP37" s="33"/>
      <c r="BQ37" s="33"/>
      <c r="BS37" s="62">
        <f t="shared" si="66"/>
        <v>856.38400000000001</v>
      </c>
      <c r="BT37" s="62">
        <f t="shared" si="10"/>
        <v>5417.6</v>
      </c>
      <c r="BU37" s="62">
        <f t="shared" si="11"/>
        <v>114</v>
      </c>
      <c r="BV37" s="62">
        <f t="shared" si="12"/>
        <v>764</v>
      </c>
      <c r="BW37" s="62">
        <f t="shared" si="13"/>
        <v>341</v>
      </c>
      <c r="BX37" s="62">
        <f t="shared" si="67"/>
        <v>7492.9840000000004</v>
      </c>
      <c r="BY37" s="62">
        <f t="shared" si="15"/>
        <v>19837.207292837425</v>
      </c>
      <c r="BZ37" s="79">
        <f t="shared" si="68"/>
        <v>0.3777237334564465</v>
      </c>
      <c r="CA37" s="79">
        <f t="shared" si="69"/>
        <v>0.21625349793887189</v>
      </c>
      <c r="CB37" s="79">
        <f t="shared" si="70"/>
        <v>0.78374650206112817</v>
      </c>
      <c r="CC37" s="79">
        <f t="shared" si="19"/>
        <v>0.1835025537801962</v>
      </c>
      <c r="CD37" s="33"/>
      <c r="CF37" s="36">
        <v>17695.774882339465</v>
      </c>
      <c r="CG37" s="36">
        <v>19379.774882339465</v>
      </c>
      <c r="CH37" s="81">
        <f t="shared" si="100"/>
        <v>2141.4324104979605</v>
      </c>
      <c r="CI37" s="36">
        <f t="shared" si="101"/>
        <v>2141.4324104979605</v>
      </c>
      <c r="CJ37" s="36">
        <v>10202.790882339465</v>
      </c>
      <c r="CK37" s="81">
        <f t="shared" si="73"/>
        <v>2141.4324104979605</v>
      </c>
      <c r="CM37" s="33">
        <f t="shared" si="84"/>
        <v>2016</v>
      </c>
      <c r="CN37" s="96">
        <f t="shared" si="91"/>
        <v>19837.207292837425</v>
      </c>
      <c r="CO37" s="97">
        <f t="shared" si="92"/>
        <v>671.39376134156646</v>
      </c>
      <c r="CP37" s="97">
        <f t="shared" si="93"/>
        <v>4837.2072928374255</v>
      </c>
      <c r="CQ37" s="62">
        <f t="shared" si="94"/>
        <v>12344.223292837425</v>
      </c>
      <c r="CR37" s="98" t="str">
        <f t="shared" si="85"/>
        <v>Y</v>
      </c>
      <c r="CS37" s="114" t="str">
        <f t="shared" si="95"/>
        <v>N</v>
      </c>
      <c r="CT37" s="99">
        <f t="shared" si="102"/>
        <v>4165.813531495859</v>
      </c>
      <c r="CU37" s="100">
        <f t="shared" si="103"/>
        <v>6241.197531495859</v>
      </c>
      <c r="CV37" s="100">
        <f t="shared" si="105"/>
        <v>-823.59753149585868</v>
      </c>
      <c r="CW37" s="100"/>
      <c r="CX37" s="101">
        <f t="shared" si="96"/>
        <v>5417.6</v>
      </c>
      <c r="CY37" s="102">
        <f t="shared" si="86"/>
        <v>-823.59753149585868</v>
      </c>
      <c r="CZ37" s="79">
        <v>0.1</v>
      </c>
      <c r="DA37" s="103">
        <f t="shared" si="97"/>
        <v>-416.58135314958594</v>
      </c>
      <c r="DB37" s="107">
        <f t="shared" si="87"/>
        <v>-823.59753149585868</v>
      </c>
      <c r="DC37" s="33"/>
      <c r="DD37" s="107">
        <f t="shared" si="104"/>
        <v>-13429.316075400824</v>
      </c>
      <c r="DE37" s="105">
        <f t="shared" si="98"/>
        <v>-823.59753149585868</v>
      </c>
      <c r="DF37" s="105">
        <f t="shared" si="99"/>
        <v>823.59753149585868</v>
      </c>
      <c r="DH37" s="66">
        <f t="shared" si="20"/>
        <v>0.10722613010455175</v>
      </c>
      <c r="DK37" s="106"/>
      <c r="DL37" s="106"/>
      <c r="DS37" s="14">
        <f t="shared" si="44"/>
        <v>12344.223292837425</v>
      </c>
      <c r="DT37" s="14">
        <v>19861.298355492483</v>
      </c>
      <c r="DU37" s="14">
        <f t="shared" si="77"/>
        <v>7517.075062655058</v>
      </c>
      <c r="DW37" s="14">
        <f t="shared" si="45"/>
        <v>19837.207292837425</v>
      </c>
      <c r="DX37" s="14">
        <v>26393.298355492483</v>
      </c>
      <c r="DY37" s="14">
        <f t="shared" si="78"/>
        <v>6556.0910626550576</v>
      </c>
      <c r="EG37" s="14">
        <f t="shared" si="47"/>
        <v>2075.384</v>
      </c>
      <c r="EJ37" s="89">
        <f t="shared" si="48"/>
        <v>0.10722613010455175</v>
      </c>
      <c r="EL37" s="67"/>
      <c r="EM37" s="67">
        <f t="shared" si="49"/>
        <v>12.344223292837425</v>
      </c>
      <c r="EN37" s="67">
        <f t="shared" si="22"/>
        <v>5.4176000000000002</v>
      </c>
      <c r="EO37" s="67">
        <f t="shared" si="23"/>
        <v>2.0753840000000001</v>
      </c>
      <c r="EP37" s="67">
        <f t="shared" si="24"/>
        <v>1.6839999999999999</v>
      </c>
      <c r="ET37" s="66">
        <f t="shared" si="25"/>
        <v>0.15213109709186029</v>
      </c>
      <c r="EW37" s="14">
        <f t="shared" si="27"/>
        <v>2075.384</v>
      </c>
      <c r="EY37" s="14">
        <f t="shared" si="50"/>
        <v>453</v>
      </c>
      <c r="EZ37" s="14">
        <f t="shared" si="51"/>
        <v>455</v>
      </c>
      <c r="FB37" s="14">
        <f t="shared" si="52"/>
        <v>19530.373804217335</v>
      </c>
      <c r="FC37" s="66">
        <f t="shared" si="53"/>
        <v>0.90757868254366125</v>
      </c>
      <c r="FE37" s="14">
        <f t="shared" si="26"/>
        <v>13000</v>
      </c>
    </row>
    <row r="38" spans="2:161" ht="13.5" thickBot="1" x14ac:dyDescent="0.25">
      <c r="B38" s="4">
        <v>2017</v>
      </c>
      <c r="C38" s="71">
        <f t="shared" si="54"/>
        <v>5793.8</v>
      </c>
      <c r="D38" s="71">
        <f t="shared" si="82"/>
        <v>4591.8</v>
      </c>
      <c r="E38" s="71">
        <f>'Bayesian Sum (10Feb26)'!H33</f>
        <v>1202</v>
      </c>
      <c r="F38" s="110"/>
      <c r="G38" s="14">
        <f>'[1]Data-Nisgaa &amp; Other FN Catch'!BI30</f>
        <v>76</v>
      </c>
      <c r="H38" s="14">
        <f>'[1]Data-SF-FW'!U21</f>
        <v>146</v>
      </c>
      <c r="I38" s="14">
        <f>'Data-Chin-Nisga''a'!N32</f>
        <v>1054.2</v>
      </c>
      <c r="J38" s="14">
        <f t="shared" si="106"/>
        <v>1276.2</v>
      </c>
      <c r="L38" s="72">
        <f>'Bayesian Sum (10Feb26)'!K33</f>
        <v>7070</v>
      </c>
      <c r="M38" s="118">
        <f t="shared" si="28"/>
        <v>2.065063649222065E-2</v>
      </c>
      <c r="N38" s="56">
        <f>'Data-Coastal-Chin-Esc (new)'!J45</f>
        <v>0</v>
      </c>
      <c r="O38" s="74" t="s">
        <v>107</v>
      </c>
      <c r="P38" s="14">
        <f>'Data-Coastal-Chin-Esc (new)'!AA45</f>
        <v>695.86126291140852</v>
      </c>
      <c r="Q38" s="110"/>
      <c r="R38" s="5">
        <f>SUM('[1]Data-SF-FW'!C21:H21)</f>
        <v>53</v>
      </c>
      <c r="S38" s="14">
        <f>'Data-Chin-Nisga''a'!P32+'Data-Chin-Nisga''a'!Q32+'Data-Chin-Nisga''a'!O32</f>
        <v>2633.8</v>
      </c>
      <c r="T38" s="14">
        <f>SUM(R38:S38)</f>
        <v>2686.8</v>
      </c>
      <c r="U38" s="118">
        <f t="shared" si="83"/>
        <v>1.5668136972835301E-2</v>
      </c>
      <c r="V38" s="14">
        <f t="shared" si="3"/>
        <v>6489.6612629114088</v>
      </c>
      <c r="W38" s="110"/>
      <c r="X38" s="14">
        <f t="shared" si="29"/>
        <v>76</v>
      </c>
      <c r="Y38" s="14">
        <f t="shared" si="30"/>
        <v>199</v>
      </c>
      <c r="Z38" s="111">
        <f t="shared" si="30"/>
        <v>3688</v>
      </c>
      <c r="AA38" s="111">
        <f t="shared" si="4"/>
        <v>3963</v>
      </c>
      <c r="AB38" s="110"/>
      <c r="AC38" s="14">
        <f>'A3.1b CF-tidal-Harvests (Chin)'!G32</f>
        <v>1355.16</v>
      </c>
      <c r="AD38" s="14">
        <f>'A3.1b CF-tidal-Harvests (Chin)'!L32</f>
        <v>776</v>
      </c>
      <c r="AE38" s="14">
        <f t="shared" si="58"/>
        <v>2131.16</v>
      </c>
      <c r="AF38" s="110"/>
      <c r="AJ38" s="14">
        <f t="shared" si="31"/>
        <v>12583.82126291141</v>
      </c>
      <c r="AK38" s="111">
        <v>682</v>
      </c>
      <c r="AL38" s="111">
        <f t="shared" si="59"/>
        <v>13265.82126291141</v>
      </c>
      <c r="AM38" s="113">
        <v>325</v>
      </c>
      <c r="AN38" s="14">
        <f>'[1]Data-FW Catch Rates - new'!CE32</f>
        <v>4567.583333333333</v>
      </c>
      <c r="AO38" s="117">
        <f t="shared" si="32"/>
        <v>1.6638995822006532E-2</v>
      </c>
      <c r="AP38" s="60">
        <f t="shared" si="33"/>
        <v>1</v>
      </c>
      <c r="AQ38" s="59"/>
      <c r="AR38" s="77">
        <f t="shared" si="34"/>
        <v>0.51079837921115312</v>
      </c>
      <c r="AS38" s="61">
        <f t="shared" si="60"/>
        <v>0.1491089108910891</v>
      </c>
      <c r="AT38" s="61">
        <f>H38/$L38</f>
        <v>2.065063649222065E-2</v>
      </c>
      <c r="AU38" s="61">
        <f t="shared" si="36"/>
        <v>0.18050919377652053</v>
      </c>
      <c r="AV38" s="61"/>
      <c r="AW38" s="33"/>
      <c r="AX38" s="61">
        <f t="shared" si="37"/>
        <v>0.27800766548173783</v>
      </c>
      <c r="AY38" s="61">
        <f t="shared" si="38"/>
        <v>0.10215424836069194</v>
      </c>
      <c r="AZ38" s="61">
        <f t="shared" si="39"/>
        <v>7.3497145836413882E-2</v>
      </c>
      <c r="BA38" s="61">
        <f t="shared" si="40"/>
        <v>5.7290082908384148E-3</v>
      </c>
      <c r="BB38" s="61">
        <f t="shared" si="61"/>
        <v>0.45938806796968201</v>
      </c>
      <c r="BC38" s="61">
        <f>AK38/AL38</f>
        <v>5.1410311241471038E-2</v>
      </c>
      <c r="BD38" s="78">
        <f t="shared" si="41"/>
        <v>0.51079837921115312</v>
      </c>
      <c r="BE38" s="17"/>
      <c r="BF38" s="17"/>
      <c r="BG38" s="22">
        <f>'[1]Data-PSC CH Tables'!C32</f>
        <v>4419.2475499677621</v>
      </c>
      <c r="BH38" s="22">
        <f>'[1]Data-PSC CH Tables'!AG32</f>
        <v>11077.95809355221</v>
      </c>
      <c r="BI38" s="22">
        <f>'[1]Data-PSC CH Tables'!AI32</f>
        <v>11759.95809355221</v>
      </c>
      <c r="BJ38" s="17"/>
      <c r="BK38" s="22">
        <f t="shared" si="63"/>
        <v>-1374.5524500322381</v>
      </c>
      <c r="BL38" s="22">
        <f t="shared" si="64"/>
        <v>-1505.8631693591997</v>
      </c>
      <c r="BM38" s="22">
        <f t="shared" si="65"/>
        <v>-1505.8631693591997</v>
      </c>
      <c r="BO38" s="33"/>
      <c r="BP38" s="33"/>
      <c r="BQ38" s="33"/>
      <c r="BS38" s="62">
        <f t="shared" si="66"/>
        <v>1355.16</v>
      </c>
      <c r="BT38" s="62">
        <f t="shared" si="10"/>
        <v>3688</v>
      </c>
      <c r="BU38" s="62">
        <f t="shared" si="11"/>
        <v>76</v>
      </c>
      <c r="BV38" s="62">
        <f t="shared" si="12"/>
        <v>776</v>
      </c>
      <c r="BW38" s="62">
        <f t="shared" si="13"/>
        <v>199</v>
      </c>
      <c r="BX38" s="62">
        <f t="shared" si="67"/>
        <v>6094.16</v>
      </c>
      <c r="BY38" s="62">
        <f t="shared" si="15"/>
        <v>12583.82126291141</v>
      </c>
      <c r="BZ38" s="79">
        <f t="shared" si="68"/>
        <v>0.48428532737996366</v>
      </c>
      <c r="CA38" s="79">
        <f t="shared" si="69"/>
        <v>0.34970529162345587</v>
      </c>
      <c r="CB38" s="79">
        <f t="shared" si="70"/>
        <v>0.65029470837654413</v>
      </c>
      <c r="CC38" s="79">
        <f t="shared" si="19"/>
        <v>0.10064697409742392</v>
      </c>
      <c r="CD38" s="33"/>
      <c r="CF38" s="36">
        <v>11083.400911215593</v>
      </c>
      <c r="CG38" s="36">
        <v>11765.400911215593</v>
      </c>
      <c r="CH38" s="81">
        <f t="shared" si="100"/>
        <v>1500.4203516958169</v>
      </c>
      <c r="CI38" s="36">
        <f t="shared" si="101"/>
        <v>1500.4203516958169</v>
      </c>
      <c r="CJ38" s="36">
        <v>4989.2409112155929</v>
      </c>
      <c r="CK38" s="81">
        <f t="shared" si="73"/>
        <v>1500.420351695816</v>
      </c>
      <c r="CM38" s="33">
        <f t="shared" si="84"/>
        <v>2017</v>
      </c>
      <c r="CN38" s="96">
        <f t="shared" si="91"/>
        <v>12583.82126291141</v>
      </c>
      <c r="CO38" s="97">
        <f t="shared" si="92"/>
        <v>0</v>
      </c>
      <c r="CP38" s="97">
        <f t="shared" si="93"/>
        <v>2642.6024652113961</v>
      </c>
      <c r="CQ38" s="62">
        <f t="shared" si="94"/>
        <v>6489.6612629114088</v>
      </c>
      <c r="CR38" s="98" t="str">
        <f t="shared" si="85"/>
        <v>N</v>
      </c>
      <c r="CS38" s="114" t="str">
        <f t="shared" si="95"/>
        <v>N</v>
      </c>
      <c r="CT38" s="99">
        <f t="shared" si="102"/>
        <v>2642.6024652113961</v>
      </c>
      <c r="CU38" s="100">
        <f t="shared" si="103"/>
        <v>0</v>
      </c>
      <c r="CV38" s="100">
        <f t="shared" si="105"/>
        <v>-1360.7624652113959</v>
      </c>
      <c r="CW38" s="100"/>
      <c r="CX38" s="101">
        <f t="shared" si="96"/>
        <v>3688</v>
      </c>
      <c r="CY38" s="102">
        <f t="shared" si="86"/>
        <v>3688</v>
      </c>
      <c r="CZ38" s="79">
        <v>0.1</v>
      </c>
      <c r="DA38" s="103">
        <f t="shared" si="97"/>
        <v>-264.26024652113961</v>
      </c>
      <c r="DB38" s="107">
        <f t="shared" si="87"/>
        <v>3688</v>
      </c>
      <c r="DC38" s="33"/>
      <c r="DD38" s="107">
        <f t="shared" si="104"/>
        <v>-9741.316075400824</v>
      </c>
      <c r="DE38" s="105">
        <f t="shared" si="98"/>
        <v>3688</v>
      </c>
      <c r="DF38" s="105">
        <f t="shared" si="99"/>
        <v>3688</v>
      </c>
      <c r="DH38" s="66">
        <f t="shared" si="20"/>
        <v>0.10722613010455177</v>
      </c>
      <c r="DK38" s="106"/>
      <c r="DL38" s="106"/>
      <c r="DS38" s="14">
        <f t="shared" si="44"/>
        <v>6489.6612629114088</v>
      </c>
      <c r="DT38" s="14">
        <v>19861.298355492483</v>
      </c>
      <c r="DU38" s="14">
        <f>DT38-DS38</f>
        <v>13371.637092581073</v>
      </c>
      <c r="DW38" s="14">
        <f t="shared" si="45"/>
        <v>12583.82126291141</v>
      </c>
      <c r="DX38" s="14">
        <v>26393.298355492483</v>
      </c>
      <c r="DY38" s="14">
        <f>DX38-DW38</f>
        <v>13809.477092581074</v>
      </c>
      <c r="EG38" s="14">
        <f t="shared" si="47"/>
        <v>2406.16</v>
      </c>
      <c r="EJ38" s="89">
        <f t="shared" si="48"/>
        <v>0.10722613010455177</v>
      </c>
      <c r="EL38" s="67"/>
      <c r="EM38" s="67">
        <f t="shared" si="49"/>
        <v>6.489661262911409</v>
      </c>
      <c r="EN38" s="67">
        <f t="shared" si="22"/>
        <v>3.6880000000000002</v>
      </c>
      <c r="EO38" s="67">
        <f t="shared" si="23"/>
        <v>2.4061599999999999</v>
      </c>
      <c r="EP38" s="67">
        <f t="shared" si="24"/>
        <v>0.68200000000000005</v>
      </c>
      <c r="ET38" s="66">
        <f t="shared" si="25"/>
        <v>0.18050919377652053</v>
      </c>
      <c r="EW38" s="14">
        <f t="shared" si="27"/>
        <v>2406.16</v>
      </c>
      <c r="EY38" s="14">
        <f t="shared" si="50"/>
        <v>222</v>
      </c>
      <c r="EZ38" s="14">
        <f t="shared" si="51"/>
        <v>275</v>
      </c>
      <c r="FB38" s="14">
        <f t="shared" si="52"/>
        <v>12028.884262318468</v>
      </c>
      <c r="FC38" s="66">
        <f t="shared" si="53"/>
        <v>0.91039483717862202</v>
      </c>
      <c r="FE38" s="14">
        <f t="shared" si="26"/>
        <v>7000</v>
      </c>
    </row>
    <row r="39" spans="2:161" x14ac:dyDescent="0.2">
      <c r="B39" s="4">
        <v>2018</v>
      </c>
      <c r="C39" s="71">
        <f t="shared" si="54"/>
        <v>17886.500664740754</v>
      </c>
      <c r="D39" s="71">
        <f t="shared" si="82"/>
        <v>14639.500664740754</v>
      </c>
      <c r="E39" s="71">
        <f>'Bayesian Sum (10Feb26)'!H34</f>
        <v>3247</v>
      </c>
      <c r="F39" s="110"/>
      <c r="G39" s="14">
        <f>'[1]Data-Nisgaa &amp; Other FN Catch'!BI31</f>
        <v>40</v>
      </c>
      <c r="H39" s="119">
        <f>'Data-Sport-Inriver (CH - new)'!C31</f>
        <v>339.09933525924703</v>
      </c>
      <c r="I39" s="14">
        <f>'Data-Chin-Nisga''a'!N33</f>
        <v>1817.4</v>
      </c>
      <c r="J39" s="14">
        <f t="shared" si="106"/>
        <v>2196.4993352592473</v>
      </c>
      <c r="L39" s="72">
        <f>'Bayesian Sum (10Feb26)'!K34</f>
        <v>20083</v>
      </c>
      <c r="M39" s="120">
        <f>H39/L39</f>
        <v>1.6884894450990739E-2</v>
      </c>
      <c r="N39" s="56">
        <f>'Data-Coastal-Chin-Esc (new)'!J46</f>
        <v>542.5286904897755</v>
      </c>
      <c r="O39" s="74">
        <f t="shared" si="56"/>
        <v>3.9596959067544328</v>
      </c>
      <c r="P39" s="14">
        <f>'Data-Coastal-Chin-Esc (new)'!AA46</f>
        <v>2148.2486350292065</v>
      </c>
      <c r="Q39" s="110"/>
      <c r="R39" s="121">
        <f t="shared" ref="R39:R44" si="107">(SUM(P39,S39)/(1-AVERAGE(U$34:U$38))-SUM(P39,S39))</f>
        <v>23.333493452081711</v>
      </c>
      <c r="S39" s="14">
        <f>'Data-Chin-Nisga''a'!P33+'Data-Chin-Nisga''a'!Q33+'Data-Chin-Nisga''a'!O33</f>
        <v>3686.1734568285642</v>
      </c>
      <c r="T39" s="14">
        <f t="shared" si="57"/>
        <v>3709.5069502806459</v>
      </c>
      <c r="U39" s="120">
        <f>R39/SUM(T39,P39)</f>
        <v>3.9833504679843102E-3</v>
      </c>
      <c r="V39" s="14">
        <f t="shared" si="3"/>
        <v>20034.749299769959</v>
      </c>
      <c r="W39" s="110"/>
      <c r="X39" s="14">
        <f t="shared" si="29"/>
        <v>40</v>
      </c>
      <c r="Y39" s="14">
        <f t="shared" ref="Y39:Z46" si="108">SUM(H39,R39)</f>
        <v>362.43282871132874</v>
      </c>
      <c r="Z39" s="111">
        <f t="shared" si="108"/>
        <v>5503.5734568285643</v>
      </c>
      <c r="AA39" s="111">
        <f t="shared" si="4"/>
        <v>5906.0062855398928</v>
      </c>
      <c r="AB39" s="110"/>
      <c r="AC39" s="14">
        <f>'A3.1b CF-tidal-Harvests (Chin)'!G33</f>
        <v>353.64</v>
      </c>
      <c r="AD39" s="14">
        <f>'A3.1b CF-tidal-Harvests (Chin)'!L33</f>
        <v>237</v>
      </c>
      <c r="AE39" s="14">
        <f t="shared" si="58"/>
        <v>590.64</v>
      </c>
      <c r="AF39" s="110"/>
      <c r="AJ39" s="14">
        <f t="shared" si="31"/>
        <v>26531.395585309852</v>
      </c>
      <c r="AK39" s="122">
        <f>HLOOKUP($B39,AZ$57:BF$64,7,FALSE)</f>
        <v>1268.7747882179683</v>
      </c>
      <c r="AL39" s="111">
        <f t="shared" ref="AL39:AL46" si="109">SUM(AJ39:AK39)</f>
        <v>27800.170373527821</v>
      </c>
      <c r="AM39" s="113">
        <v>697</v>
      </c>
      <c r="AN39" s="14">
        <f>'[1]Data-FW Catch Rates - new'!CE33</f>
        <v>14639.500664740754</v>
      </c>
      <c r="AO39" s="117">
        <f>X39/AN39</f>
        <v>2.7323336305001182E-3</v>
      </c>
      <c r="AP39" s="60">
        <f t="shared" si="33"/>
        <v>20</v>
      </c>
      <c r="AQ39" s="59"/>
      <c r="AR39" s="77">
        <f t="shared" si="34"/>
        <v>0.27932998141451443</v>
      </c>
      <c r="AS39" s="61">
        <f t="shared" si="60"/>
        <v>9.0494448040631378E-2</v>
      </c>
      <c r="AT39" s="61">
        <f t="shared" si="35"/>
        <v>1.6884894450990739E-2</v>
      </c>
      <c r="AU39" s="61">
        <f t="shared" si="36"/>
        <v>0.10937107679426616</v>
      </c>
      <c r="AV39" s="61"/>
      <c r="AW39" s="33"/>
      <c r="AX39" s="61">
        <f t="shared" si="37"/>
        <v>0.19796905496914641</v>
      </c>
      <c r="AY39" s="61">
        <f>AC39/$AL39</f>
        <v>1.2720785349457675E-2</v>
      </c>
      <c r="AZ39" s="61">
        <f t="shared" si="39"/>
        <v>2.156219982313947E-2</v>
      </c>
      <c r="BA39" s="61">
        <f t="shared" si="40"/>
        <v>1.4388401028681908E-3</v>
      </c>
      <c r="BB39" s="61">
        <f t="shared" si="61"/>
        <v>0.23369088024461174</v>
      </c>
      <c r="BC39" s="61">
        <f>BC$53</f>
        <v>4.5639101169902656E-2</v>
      </c>
      <c r="BD39" s="78">
        <f t="shared" si="41"/>
        <v>0.27932998141451443</v>
      </c>
      <c r="BE39" s="17"/>
      <c r="BF39" s="17"/>
      <c r="BG39" s="22">
        <f>'[1]Data-PSC CH Tables'!C33</f>
        <v>14470</v>
      </c>
      <c r="BH39" s="22">
        <f>'[1]Data-PSC CH Tables'!AG33</f>
        <v>22814.743227555235</v>
      </c>
      <c r="BI39" s="22">
        <f>'[1]Data-PSC CH Tables'!AI33</f>
        <v>23972.759764732047</v>
      </c>
      <c r="BJ39" s="17"/>
      <c r="BK39" s="22">
        <f t="shared" si="63"/>
        <v>-3416.5006647407536</v>
      </c>
      <c r="BL39" s="22">
        <f t="shared" si="64"/>
        <v>-3716.6523577546177</v>
      </c>
      <c r="BM39" s="22">
        <f t="shared" si="65"/>
        <v>-3827.4106087957734</v>
      </c>
      <c r="BO39" s="33"/>
      <c r="BP39" s="33"/>
      <c r="BQ39" s="33"/>
      <c r="BS39" s="62">
        <f t="shared" si="66"/>
        <v>353.64</v>
      </c>
      <c r="BT39" s="62">
        <f t="shared" si="10"/>
        <v>5503.5734568285643</v>
      </c>
      <c r="BU39" s="62">
        <f t="shared" si="11"/>
        <v>40</v>
      </c>
      <c r="BV39" s="62">
        <f t="shared" si="12"/>
        <v>237</v>
      </c>
      <c r="BW39" s="62">
        <f t="shared" si="13"/>
        <v>362.43282871132874</v>
      </c>
      <c r="BX39" s="62">
        <f t="shared" si="67"/>
        <v>6496.6462855398931</v>
      </c>
      <c r="BY39" s="62">
        <f t="shared" si="15"/>
        <v>26531.395585309852</v>
      </c>
      <c r="BZ39" s="79">
        <f t="shared" si="68"/>
        <v>0.24486636086105534</v>
      </c>
      <c r="CA39" s="79">
        <f t="shared" si="69"/>
        <v>9.0914600247613109E-2</v>
      </c>
      <c r="CB39" s="79">
        <f t="shared" si="70"/>
        <v>0.90908539975238678</v>
      </c>
      <c r="CC39" s="79">
        <f t="shared" si="19"/>
        <v>0.16338776431655622</v>
      </c>
      <c r="CD39" s="33"/>
      <c r="CF39" s="36">
        <v>22832.598312709997</v>
      </c>
      <c r="CG39" s="36">
        <v>23990.769389826299</v>
      </c>
      <c r="CH39" s="81">
        <f t="shared" si="100"/>
        <v>3698.7972725998552</v>
      </c>
      <c r="CI39" s="36">
        <f t="shared" si="101"/>
        <v>3809.4009837015219</v>
      </c>
      <c r="CJ39" s="36">
        <v>16336.336710944441</v>
      </c>
      <c r="CK39" s="81">
        <f t="shared" si="73"/>
        <v>3698.4125888255185</v>
      </c>
      <c r="CM39" s="33">
        <f t="shared" si="84"/>
        <v>2018</v>
      </c>
      <c r="CN39" s="96">
        <f t="shared" si="91"/>
        <v>26531.395585309852</v>
      </c>
      <c r="CO39" s="97">
        <f t="shared" si="92"/>
        <v>5959.8025123947837</v>
      </c>
      <c r="CP39" s="97">
        <f t="shared" si="93"/>
        <v>11531.395585309852</v>
      </c>
      <c r="CQ39" s="62">
        <f t="shared" si="94"/>
        <v>20034.749299769959</v>
      </c>
      <c r="CR39" s="98" t="str">
        <f t="shared" si="85"/>
        <v>Y</v>
      </c>
      <c r="CS39" s="114" t="str">
        <f t="shared" si="95"/>
        <v>Y</v>
      </c>
      <c r="CT39" s="99">
        <f t="shared" si="102"/>
        <v>5571.5930729150687</v>
      </c>
      <c r="CU39" s="100">
        <f t="shared" si="103"/>
        <v>5571.5930729150687</v>
      </c>
      <c r="CV39" s="100">
        <f t="shared" si="105"/>
        <v>-1061.0924447978332</v>
      </c>
      <c r="CW39" s="100"/>
      <c r="CX39" s="101">
        <f t="shared" si="96"/>
        <v>5503.5734568285643</v>
      </c>
      <c r="CY39" s="102">
        <f t="shared" si="86"/>
        <v>-68.019616086504357</v>
      </c>
      <c r="CZ39" s="79">
        <v>0.1</v>
      </c>
      <c r="DA39" s="103">
        <f t="shared" si="97"/>
        <v>-557.15930729150693</v>
      </c>
      <c r="DB39" s="107">
        <f t="shared" si="87"/>
        <v>-68.019616086504357</v>
      </c>
      <c r="DC39" s="33"/>
      <c r="DD39" s="107">
        <f t="shared" si="104"/>
        <v>-9809.3356914873293</v>
      </c>
      <c r="DE39" s="105">
        <f t="shared" si="98"/>
        <v>-68.019616086504357</v>
      </c>
      <c r="DF39" s="105">
        <f t="shared" si="99"/>
        <v>68.019616086504357</v>
      </c>
      <c r="DH39" s="66">
        <f t="shared" si="20"/>
        <v>0.10722613010455154</v>
      </c>
      <c r="DK39" s="106"/>
      <c r="DL39" s="106"/>
      <c r="DS39" s="14">
        <f t="shared" si="44"/>
        <v>20034.749299769959</v>
      </c>
      <c r="DT39" s="14">
        <v>19861.298355492483</v>
      </c>
      <c r="DU39" s="14">
        <f>DT39-DS39</f>
        <v>-173.45094427747608</v>
      </c>
      <c r="DW39" s="14">
        <f t="shared" si="45"/>
        <v>26531.395585309852</v>
      </c>
      <c r="DX39" s="14">
        <v>26393.298355492483</v>
      </c>
      <c r="DY39" s="14">
        <f>DX39-DW39</f>
        <v>-138.09722981736923</v>
      </c>
      <c r="EG39" s="14">
        <f t="shared" si="47"/>
        <v>993.07282871132873</v>
      </c>
      <c r="EJ39" s="89">
        <f t="shared" si="48"/>
        <v>0.10722613010455154</v>
      </c>
      <c r="EL39" s="67"/>
      <c r="EM39" s="67">
        <f t="shared" si="49"/>
        <v>20.03474929976996</v>
      </c>
      <c r="EN39" s="67">
        <f t="shared" si="22"/>
        <v>5.5035734568285646</v>
      </c>
      <c r="EO39" s="67">
        <f t="shared" si="23"/>
        <v>0.99307282871132874</v>
      </c>
      <c r="EP39" s="67">
        <f t="shared" si="24"/>
        <v>1.2687747882179683</v>
      </c>
      <c r="ET39" s="66">
        <f t="shared" si="25"/>
        <v>0.10937107679426616</v>
      </c>
      <c r="EW39" s="14">
        <f t="shared" si="27"/>
        <v>993.07282871132884</v>
      </c>
      <c r="EY39" s="14">
        <f t="shared" si="50"/>
        <v>379.09933525924703</v>
      </c>
      <c r="EZ39" s="14">
        <f t="shared" si="51"/>
        <v>402.43282871132874</v>
      </c>
      <c r="FB39" s="14">
        <f t="shared" si="52"/>
        <v>25092.707306758446</v>
      </c>
      <c r="FC39" s="66">
        <f t="shared" si="53"/>
        <v>0.90336806221292199</v>
      </c>
      <c r="FE39" s="14">
        <f t="shared" si="26"/>
        <v>20000</v>
      </c>
    </row>
    <row r="40" spans="2:161" x14ac:dyDescent="0.2">
      <c r="B40" s="4">
        <v>2019</v>
      </c>
      <c r="C40" s="71">
        <f t="shared" si="54"/>
        <v>11713.507023075654</v>
      </c>
      <c r="D40" s="71">
        <f t="shared" si="82"/>
        <v>9264.5070230756537</v>
      </c>
      <c r="E40" s="71">
        <f>'Bayesian Sum (10Feb26)'!H35</f>
        <v>2449</v>
      </c>
      <c r="F40" s="110"/>
      <c r="G40" s="14">
        <f>'[1]Data-Nisgaa &amp; Other FN Catch'!BI32</f>
        <v>110</v>
      </c>
      <c r="H40" s="119">
        <f>'Data-Sport-Inriver (CH - new)'!C32</f>
        <v>252.29297692434648</v>
      </c>
      <c r="I40" s="14">
        <f>'Data-Chin-Nisga''a'!N34</f>
        <v>2242.1999999999998</v>
      </c>
      <c r="J40" s="14">
        <f t="shared" si="106"/>
        <v>2604.4929769243463</v>
      </c>
      <c r="L40" s="72">
        <f>'Bayesian Sum (10Feb26)'!K35</f>
        <v>14318</v>
      </c>
      <c r="M40" s="120">
        <f t="shared" si="28"/>
        <v>1.7620685635168772E-2</v>
      </c>
      <c r="N40" s="56">
        <f>'Data-Coastal-Chin-Esc (new)'!J47</f>
        <v>1001.9674013549908</v>
      </c>
      <c r="O40" s="74">
        <f t="shared" si="56"/>
        <v>1.4040821286819958</v>
      </c>
      <c r="P40" s="14">
        <f>'Data-Coastal-Chin-Esc (new)'!AA47</f>
        <v>1406.844521764483</v>
      </c>
      <c r="Q40" s="110"/>
      <c r="R40" s="121">
        <f t="shared" si="107"/>
        <v>23.381512085982649</v>
      </c>
      <c r="S40" s="14">
        <f>'Data-Chin-Nisga''a'!P34+'Data-Chin-Nisga''a'!Q34+'Data-Chin-Nisga''a'!O34</f>
        <v>4439.5843867763651</v>
      </c>
      <c r="T40" s="14">
        <f t="shared" si="57"/>
        <v>4462.9658988623478</v>
      </c>
      <c r="U40" s="120">
        <f t="shared" si="83"/>
        <v>3.9833504679842391E-3</v>
      </c>
      <c r="V40" s="14">
        <f t="shared" si="3"/>
        <v>13120.351544840138</v>
      </c>
      <c r="W40" s="110"/>
      <c r="X40" s="14">
        <f t="shared" si="29"/>
        <v>110</v>
      </c>
      <c r="Y40" s="14">
        <f t="shared" si="108"/>
        <v>275.67448901032913</v>
      </c>
      <c r="Z40" s="111">
        <f t="shared" si="108"/>
        <v>6681.784386776365</v>
      </c>
      <c r="AA40" s="111">
        <f t="shared" si="4"/>
        <v>7067.4588757866941</v>
      </c>
      <c r="AB40" s="110"/>
      <c r="AC40" s="14">
        <f>'A3.1b CF-tidal-Harvests (Chin)'!G34</f>
        <v>364.87200000000001</v>
      </c>
      <c r="AD40" s="14">
        <f>'A3.1b CF-tidal-Harvests (Chin)'!L34</f>
        <v>879</v>
      </c>
      <c r="AE40" s="14">
        <f t="shared" si="58"/>
        <v>1243.8720000000001</v>
      </c>
      <c r="AF40" s="110"/>
      <c r="AJ40" s="14">
        <f t="shared" si="31"/>
        <v>21431.682420626832</v>
      </c>
      <c r="AK40" s="122">
        <f>HLOOKUP($B40,AZ$57:BF$64,7,FALSE)</f>
        <v>1024.8981527169053</v>
      </c>
      <c r="AL40" s="111">
        <f t="shared" si="109"/>
        <v>22456.580573343737</v>
      </c>
      <c r="AM40" s="113">
        <v>681</v>
      </c>
      <c r="AN40" s="14">
        <f>'[1]Data-FW Catch Rates - new'!CE34</f>
        <v>9264.5070230756537</v>
      </c>
      <c r="AO40" s="123">
        <f>AVERAGE(AO35:AO39)</f>
        <v>1.019783650673735E-2</v>
      </c>
      <c r="AP40" s="60">
        <f t="shared" si="33"/>
        <v>10</v>
      </c>
      <c r="AQ40" s="59"/>
      <c r="AR40" s="77">
        <f t="shared" si="34"/>
        <v>0.41574579878763152</v>
      </c>
      <c r="AS40" s="61">
        <f>I40/L40</f>
        <v>0.15660008381058807</v>
      </c>
      <c r="AT40" s="61">
        <f>H40/$L40</f>
        <v>1.7620685635168772E-2</v>
      </c>
      <c r="AU40" s="61">
        <f>J40/$L40</f>
        <v>0.18190340668559479</v>
      </c>
      <c r="AV40" s="61"/>
      <c r="AW40" s="33"/>
      <c r="AX40" s="61">
        <f>Z40/$AL40</f>
        <v>0.29754237805499795</v>
      </c>
      <c r="AY40" s="61">
        <f t="shared" si="38"/>
        <v>1.6247887731986585E-2</v>
      </c>
      <c r="AZ40" s="61">
        <f>SUM(Y40,AD40)/$AL40</f>
        <v>5.1418090356149027E-2</v>
      </c>
      <c r="BA40" s="61">
        <f>X40/AL40</f>
        <v>4.8983414745952672E-3</v>
      </c>
      <c r="BB40" s="61">
        <f t="shared" si="61"/>
        <v>0.37010669761772885</v>
      </c>
      <c r="BC40" s="61">
        <f>BC$53</f>
        <v>4.5639101169902656E-2</v>
      </c>
      <c r="BD40" s="78">
        <f t="shared" si="41"/>
        <v>0.41574579878763152</v>
      </c>
      <c r="BE40" s="17"/>
      <c r="BF40" s="17"/>
      <c r="BG40" s="22">
        <f>'[1]Data-PSC CH Tables'!C34</f>
        <v>10492.571428571428</v>
      </c>
      <c r="BH40" s="22">
        <f>'[1]Data-PSC CH Tables'!AG34</f>
        <v>20144.856913645377</v>
      </c>
      <c r="BI40" s="22">
        <f>'[1]Data-PSC CH Tables'!AI34</f>
        <v>21167.357022999524</v>
      </c>
      <c r="BJ40" s="17"/>
      <c r="BK40" s="22">
        <f t="shared" si="63"/>
        <v>-1220.9355945042262</v>
      </c>
      <c r="BL40" s="22">
        <f t="shared" si="64"/>
        <v>-1286.825506981455</v>
      </c>
      <c r="BM40" s="22">
        <f t="shared" si="65"/>
        <v>-1289.2235503442134</v>
      </c>
      <c r="BO40" s="33"/>
      <c r="BP40" s="33"/>
      <c r="BQ40" s="33"/>
      <c r="BS40" s="62">
        <f t="shared" si="66"/>
        <v>364.87200000000001</v>
      </c>
      <c r="BT40" s="62">
        <f t="shared" si="10"/>
        <v>6681.784386776365</v>
      </c>
      <c r="BU40" s="62">
        <f t="shared" si="11"/>
        <v>110</v>
      </c>
      <c r="BV40" s="62">
        <f t="shared" si="12"/>
        <v>879</v>
      </c>
      <c r="BW40" s="62">
        <f t="shared" si="13"/>
        <v>275.67448901032913</v>
      </c>
      <c r="BX40" s="62">
        <f t="shared" si="67"/>
        <v>8311.3308757866944</v>
      </c>
      <c r="BY40" s="62">
        <f t="shared" si="15"/>
        <v>21431.682420626832</v>
      </c>
      <c r="BZ40" s="79">
        <f t="shared" si="68"/>
        <v>0.38780580603357062</v>
      </c>
      <c r="CA40" s="79">
        <f t="shared" si="69"/>
        <v>0.14965978597047053</v>
      </c>
      <c r="CB40" s="79">
        <f t="shared" si="70"/>
        <v>0.85034021402952942</v>
      </c>
      <c r="CC40" s="79">
        <f t="shared" si="19"/>
        <v>0.10977645788121533</v>
      </c>
      <c r="CD40" s="33"/>
      <c r="CF40" s="36">
        <v>20157.790213668082</v>
      </c>
      <c r="CG40" s="36">
        <v>21180.283111073128</v>
      </c>
      <c r="CH40" s="81">
        <f t="shared" si="100"/>
        <v>1273.8922069587497</v>
      </c>
      <c r="CI40" s="36">
        <f t="shared" si="101"/>
        <v>1276.2974622706097</v>
      </c>
      <c r="CJ40" s="36">
        <v>11845.900471373752</v>
      </c>
      <c r="CK40" s="81">
        <f t="shared" si="73"/>
        <v>1274.4510734663854</v>
      </c>
      <c r="CM40" s="33">
        <f t="shared" si="84"/>
        <v>2019</v>
      </c>
      <c r="CN40" s="96">
        <f t="shared" si="91"/>
        <v>21431.682420626832</v>
      </c>
      <c r="CO40" s="97">
        <f>IF((CN40-DE$2-CT40)&gt;0, (CN40-DE$2-CT40),0)</f>
        <v>1931.0291122951976</v>
      </c>
      <c r="CP40" s="97">
        <f t="shared" si="93"/>
        <v>6431.682420626832</v>
      </c>
      <c r="CQ40" s="62">
        <f>V40</f>
        <v>13120.351544840138</v>
      </c>
      <c r="CR40" s="98" t="str">
        <f t="shared" si="85"/>
        <v>Y</v>
      </c>
      <c r="CS40" s="114" t="str">
        <f t="shared" si="95"/>
        <v>N</v>
      </c>
      <c r="CT40" s="99">
        <f t="shared" si="102"/>
        <v>4500.6533083316344</v>
      </c>
      <c r="CU40" s="100">
        <f>IF(CR40="N",0,IF(CS40="N",(BX40-BT40)+CT40,CT40))</f>
        <v>6130.1997973419639</v>
      </c>
      <c r="CV40" s="100">
        <f t="shared" si="105"/>
        <v>551.5845894344011</v>
      </c>
      <c r="CW40" s="100"/>
      <c r="CX40" s="101">
        <f t="shared" si="96"/>
        <v>6681.784386776365</v>
      </c>
      <c r="CY40" s="102">
        <f t="shared" si="86"/>
        <v>551.5845894344011</v>
      </c>
      <c r="CZ40" s="79">
        <v>0.1</v>
      </c>
      <c r="DA40" s="103">
        <f t="shared" si="97"/>
        <v>-450.06533083316344</v>
      </c>
      <c r="DB40" s="107">
        <f>IF(CX40&gt;CT40,CY40,(IF(CY40*-1&gt;(CT40*CZ40),CT40*CZ40*-1,CY40)))</f>
        <v>551.5845894344011</v>
      </c>
      <c r="DC40" s="33"/>
      <c r="DD40" s="107">
        <f t="shared" si="104"/>
        <v>-9257.7511020529273</v>
      </c>
      <c r="DE40" s="105">
        <f t="shared" si="98"/>
        <v>551.5845894344011</v>
      </c>
      <c r="DF40" s="105">
        <f t="shared" si="99"/>
        <v>551.5845894344011</v>
      </c>
      <c r="DH40" s="66">
        <f>P40/V40</f>
        <v>0.10722613010455159</v>
      </c>
      <c r="DK40" s="106"/>
      <c r="DL40" s="106"/>
      <c r="DS40" s="14">
        <f>V40</f>
        <v>13120.351544840138</v>
      </c>
      <c r="DT40" s="14">
        <v>19861.298355492483</v>
      </c>
      <c r="DU40" s="14">
        <f>DT40-DS40</f>
        <v>6740.9468106523454</v>
      </c>
      <c r="DW40" s="14">
        <f>AJ40</f>
        <v>21431.682420626832</v>
      </c>
      <c r="DX40" s="14">
        <v>26393.298355492483</v>
      </c>
      <c r="DY40" s="14">
        <f>DX40-DW40</f>
        <v>4961.6159348656511</v>
      </c>
      <c r="EG40" s="14">
        <f>SUM(X40:Y40,AE40)</f>
        <v>1629.5464890103292</v>
      </c>
      <c r="EJ40" s="89">
        <f>$P40/V40</f>
        <v>0.10722613010455159</v>
      </c>
      <c r="EL40" s="67"/>
      <c r="EM40" s="67">
        <f>V40/1000</f>
        <v>13.120351544840137</v>
      </c>
      <c r="EN40" s="67">
        <f>Z40/1000</f>
        <v>6.6817843867763651</v>
      </c>
      <c r="EO40" s="67">
        <f>SUM(X40:Y40,AE40)/1000</f>
        <v>1.6295464890103293</v>
      </c>
      <c r="EP40" s="67">
        <f>AK40/1000</f>
        <v>1.0248981527169052</v>
      </c>
      <c r="ET40" s="66">
        <f>J40/L40</f>
        <v>0.18190340668559479</v>
      </c>
      <c r="EW40" s="14">
        <f>BX40-BT40</f>
        <v>1629.5464890103294</v>
      </c>
      <c r="EY40" s="14">
        <f>G40+H40</f>
        <v>362.29297692434648</v>
      </c>
      <c r="EZ40" s="14">
        <f>EY40+R40</f>
        <v>385.67448901032913</v>
      </c>
      <c r="FB40" s="14">
        <f>L40+SUM(S40,AE40,AK40)*FC40</f>
        <v>20426.182511027262</v>
      </c>
      <c r="FC40" s="66">
        <f>L40/SUM(L40,P40)</f>
        <v>0.91053364503430889</v>
      </c>
      <c r="FE40" s="14">
        <f>ROUND(L40,-3)</f>
        <v>14000</v>
      </c>
    </row>
    <row r="41" spans="2:161" x14ac:dyDescent="0.2">
      <c r="B41" s="4">
        <v>2020</v>
      </c>
      <c r="C41" s="71">
        <f t="shared" si="54"/>
        <v>12828.597538855378</v>
      </c>
      <c r="D41" s="71">
        <f t="shared" si="82"/>
        <v>10238.597538855378</v>
      </c>
      <c r="E41" s="71">
        <f>'Bayesian Sum (10Feb26)'!H36</f>
        <v>2590</v>
      </c>
      <c r="F41" s="110"/>
      <c r="G41" s="14">
        <f>'[1]Data-Nisgaa &amp; Other FN Catch'!BI33</f>
        <v>266</v>
      </c>
      <c r="H41" s="119">
        <f>'Data-Sport-Inriver (CH - new)'!C33</f>
        <v>229.60246114462157</v>
      </c>
      <c r="I41" s="14">
        <f>'Data-Chin-Nisga''a'!N35</f>
        <v>1984.8</v>
      </c>
      <c r="J41" s="14">
        <f t="shared" si="106"/>
        <v>2480.4024611446216</v>
      </c>
      <c r="L41" s="72">
        <f>'Bayesian Sum (10Feb26)'!K36</f>
        <v>15309</v>
      </c>
      <c r="M41" s="120">
        <f t="shared" si="28"/>
        <v>1.4997874527704068E-2</v>
      </c>
      <c r="N41" s="56">
        <f>'Data-Coastal-Chin-Esc (new)'!J48</f>
        <v>870.64279376325646</v>
      </c>
      <c r="O41" s="74">
        <f t="shared" si="56"/>
        <v>1.769694627052941</v>
      </c>
      <c r="P41" s="14">
        <f>'Data-Coastal-Chin-Esc (new)'!AA48</f>
        <v>1540.7718742051968</v>
      </c>
      <c r="Q41" s="110"/>
      <c r="R41" s="121">
        <f t="shared" si="107"/>
        <v>20.529796632476064</v>
      </c>
      <c r="S41" s="14">
        <f>'Data-Chin-Nisga''a'!P35+'Data-Chin-Nisga''a'!Q35+'Data-Chin-Nisga''a'!O35</f>
        <v>3592.6</v>
      </c>
      <c r="T41" s="14">
        <f t="shared" si="57"/>
        <v>3613.129796632476</v>
      </c>
      <c r="U41" s="120">
        <f t="shared" si="83"/>
        <v>3.9833504679842521E-3</v>
      </c>
      <c r="V41" s="14">
        <f t="shared" si="3"/>
        <v>14369.369413060575</v>
      </c>
      <c r="W41" s="110"/>
      <c r="X41" s="14">
        <f t="shared" si="29"/>
        <v>266</v>
      </c>
      <c r="Y41" s="14">
        <f t="shared" si="108"/>
        <v>250.13225777709764</v>
      </c>
      <c r="Z41" s="111">
        <f t="shared" si="108"/>
        <v>5577.4</v>
      </c>
      <c r="AA41" s="111">
        <f t="shared" si="4"/>
        <v>6093.5322577770976</v>
      </c>
      <c r="AB41" s="110"/>
      <c r="AC41" s="14">
        <f>'A3.1b CF-tidal-Harvests (Chin)'!G35</f>
        <v>138.28</v>
      </c>
      <c r="AD41" s="14">
        <f>'A3.1b CF-tidal-Harvests (Chin)'!L35</f>
        <v>330</v>
      </c>
      <c r="AE41" s="14">
        <f t="shared" si="58"/>
        <v>468.28</v>
      </c>
      <c r="AF41" s="110"/>
      <c r="AJ41" s="14">
        <f t="shared" si="31"/>
        <v>20931.181670837672</v>
      </c>
      <c r="AK41" s="122">
        <f>HLOOKUP($B41,AZ$57:BF$64,7,FALSE)</f>
        <v>1000.9633871756523</v>
      </c>
      <c r="AL41" s="111">
        <f t="shared" si="109"/>
        <v>21932.145058013324</v>
      </c>
      <c r="AM41" s="113">
        <v>505</v>
      </c>
      <c r="AN41" s="14">
        <f>'[1]Data-FW Catch Rates - new'!CE35</f>
        <v>10238.597538855378</v>
      </c>
      <c r="AO41" s="123">
        <f>AVERAGE(AO36:AO40)</f>
        <v>1.1028741729857523E-2</v>
      </c>
      <c r="AP41" s="60">
        <f t="shared" si="33"/>
        <v>13</v>
      </c>
      <c r="AQ41" s="59"/>
      <c r="AR41" s="77">
        <f>SUM(AE41,AA41,AK41)/AL41</f>
        <v>0.34482608176027663</v>
      </c>
      <c r="AS41" s="61">
        <f>I41/L41</f>
        <v>0.12964922594552225</v>
      </c>
      <c r="AT41" s="61">
        <f>H41/$L41</f>
        <v>1.4997874527704068E-2</v>
      </c>
      <c r="AU41" s="61">
        <f>J41/$L41</f>
        <v>0.16202250056467579</v>
      </c>
      <c r="AV41" s="61"/>
      <c r="AW41" s="33"/>
      <c r="AX41" s="61">
        <f>Z41/$AL41</f>
        <v>0.25430253106784878</v>
      </c>
      <c r="AY41" s="61">
        <f t="shared" si="38"/>
        <v>6.3049008491523166E-3</v>
      </c>
      <c r="AZ41" s="61">
        <f>SUM(Y41,AD41)/$AL41</f>
        <v>2.6451232026898131E-2</v>
      </c>
      <c r="BA41" s="61">
        <f>X41/AL41</f>
        <v>1.2128316646474662E-2</v>
      </c>
      <c r="BB41" s="61">
        <f t="shared" si="61"/>
        <v>0.29918698059037391</v>
      </c>
      <c r="BC41" s="61">
        <f>BC$53</f>
        <v>4.5639101169902656E-2</v>
      </c>
      <c r="BD41" s="78">
        <f t="shared" si="41"/>
        <v>0.34482608176027663</v>
      </c>
      <c r="BE41" s="17"/>
      <c r="BF41" s="17"/>
      <c r="BG41" s="22">
        <f>'[1]Data-PSC CH Tables'!C35</f>
        <v>12265.648310387985</v>
      </c>
      <c r="BH41" s="22">
        <f>'[1]Data-PSC CH Tables'!AG35</f>
        <v>20765.726660226421</v>
      </c>
      <c r="BI41" s="22">
        <f>'[1]Data-PSC CH Tables'!AI35</f>
        <v>21819.740489757143</v>
      </c>
      <c r="BJ41" s="17"/>
      <c r="BK41" s="22">
        <f t="shared" si="63"/>
        <v>-562.94922846739246</v>
      </c>
      <c r="BL41" s="22">
        <f t="shared" si="64"/>
        <v>-165.45501061125105</v>
      </c>
      <c r="BM41" s="22">
        <f t="shared" si="65"/>
        <v>-112.40456825618094</v>
      </c>
      <c r="BO41" s="33"/>
      <c r="BP41" s="33"/>
      <c r="BQ41" s="33"/>
      <c r="BS41" s="62">
        <f t="shared" si="66"/>
        <v>138.28</v>
      </c>
      <c r="BT41" s="62">
        <f t="shared" si="10"/>
        <v>5577.4</v>
      </c>
      <c r="BU41" s="62">
        <f t="shared" si="11"/>
        <v>266</v>
      </c>
      <c r="BV41" s="62">
        <f t="shared" si="12"/>
        <v>330</v>
      </c>
      <c r="BW41" s="62">
        <f t="shared" si="13"/>
        <v>250.13225777709764</v>
      </c>
      <c r="BX41" s="62">
        <f t="shared" si="67"/>
        <v>6561.8122577770973</v>
      </c>
      <c r="BY41" s="62">
        <f t="shared" si="15"/>
        <v>20931.181670837672</v>
      </c>
      <c r="BZ41" s="79">
        <f t="shared" si="68"/>
        <v>0.31349459199044311</v>
      </c>
      <c r="CA41" s="79">
        <f t="shared" si="69"/>
        <v>7.1364431288778771E-2</v>
      </c>
      <c r="CB41" s="79">
        <f t="shared" si="70"/>
        <v>0.92863556871122122</v>
      </c>
      <c r="CC41" s="79">
        <f t="shared" si="19"/>
        <v>0.13235397083922171</v>
      </c>
      <c r="CD41" s="33"/>
      <c r="CF41" s="36">
        <v>20410.336035638335</v>
      </c>
      <c r="CG41" s="36">
        <v>21445.639181909788</v>
      </c>
      <c r="CH41" s="81">
        <f t="shared" si="100"/>
        <v>520.84563519933727</v>
      </c>
      <c r="CI41" s="36">
        <f t="shared" si="101"/>
        <v>486.50587610353614</v>
      </c>
      <c r="CJ41" s="36">
        <v>13847.668332862815</v>
      </c>
      <c r="CK41" s="81">
        <f t="shared" si="73"/>
        <v>521.70108019775944</v>
      </c>
      <c r="CM41" s="33">
        <f t="shared" si="84"/>
        <v>2020</v>
      </c>
      <c r="CN41" s="96">
        <f t="shared" si="91"/>
        <v>20931.181670837672</v>
      </c>
      <c r="CO41" s="97">
        <f>IF((CN41-DE$2-CT41)&gt;0, (CN41-DE$2-CT41),0)</f>
        <v>1535.6335199617606</v>
      </c>
      <c r="CP41" s="97">
        <f t="shared" si="93"/>
        <v>5931.1816708376718</v>
      </c>
      <c r="CQ41" s="62">
        <f>V41</f>
        <v>14369.369413060575</v>
      </c>
      <c r="CR41" s="98" t="str">
        <f t="shared" si="85"/>
        <v>Y</v>
      </c>
      <c r="CS41" s="114" t="str">
        <f t="shared" si="95"/>
        <v>N</v>
      </c>
      <c r="CT41" s="99">
        <f t="shared" si="102"/>
        <v>4395.5481508759112</v>
      </c>
      <c r="CU41" s="100">
        <f>IF(CR41="N",0,IF(CS41="N",(BX41-BT41)+CT41,CT41))</f>
        <v>5379.9604086530089</v>
      </c>
      <c r="CV41" s="100">
        <f t="shared" si="105"/>
        <v>197.43959134699071</v>
      </c>
      <c r="CW41" s="100"/>
      <c r="CX41" s="101">
        <f t="shared" si="96"/>
        <v>5577.4</v>
      </c>
      <c r="CY41" s="102">
        <f t="shared" si="86"/>
        <v>197.43959134699071</v>
      </c>
      <c r="CZ41" s="79">
        <v>0.1</v>
      </c>
      <c r="DA41" s="103">
        <f t="shared" si="97"/>
        <v>-439.55481508759112</v>
      </c>
      <c r="DB41" s="107">
        <f>IF(CX41&gt;CT41,CY41,(IF(CY41*-1&gt;(CT41*CZ41),CT41*CZ41*-1,CY41)))</f>
        <v>197.43959134699071</v>
      </c>
      <c r="DC41" s="33"/>
      <c r="DD41" s="107">
        <f t="shared" si="104"/>
        <v>-9060.3115107059366</v>
      </c>
      <c r="DE41" s="105">
        <f t="shared" si="98"/>
        <v>197.43959134699071</v>
      </c>
      <c r="DF41" s="105">
        <f t="shared" si="99"/>
        <v>197.43959134699071</v>
      </c>
      <c r="DH41" s="66">
        <f>P41/V41</f>
        <v>0.10722613010455155</v>
      </c>
      <c r="DK41" s="106"/>
      <c r="DL41" s="106"/>
      <c r="DS41" s="14">
        <f>V41</f>
        <v>14369.369413060575</v>
      </c>
      <c r="DT41" s="14">
        <v>19861.298355492483</v>
      </c>
      <c r="DU41" s="14">
        <f>DT41-DS41</f>
        <v>5491.9289424319086</v>
      </c>
      <c r="DW41" s="14">
        <f>AJ41</f>
        <v>20931.181670837672</v>
      </c>
      <c r="DX41" s="14">
        <v>26393.298355492483</v>
      </c>
      <c r="DY41" s="14">
        <f>DX41-DW41</f>
        <v>5462.1166846548113</v>
      </c>
      <c r="EG41" s="14">
        <f>SUM(X41:Y41,AE41)</f>
        <v>984.41225777709758</v>
      </c>
      <c r="EJ41" s="89">
        <f>$P41/V41</f>
        <v>0.10722613010455155</v>
      </c>
      <c r="EL41" s="67"/>
      <c r="EM41" s="67">
        <f>V41/1000</f>
        <v>14.369369413060575</v>
      </c>
      <c r="EN41" s="67">
        <f>Z41/1000</f>
        <v>5.5773999999999999</v>
      </c>
      <c r="EO41" s="67">
        <f>SUM(X41:Y41,AE41)/1000</f>
        <v>0.98441225777709762</v>
      </c>
      <c r="EP41" s="67">
        <f>AK41/1000</f>
        <v>1.0009633871756523</v>
      </c>
      <c r="ET41" s="66">
        <f>J41/L41</f>
        <v>0.16202250056467579</v>
      </c>
      <c r="EW41" s="14">
        <f>BX41-BT41</f>
        <v>984.41225777709769</v>
      </c>
      <c r="EY41" s="14" t="e">
        <f>#REF!+H41</f>
        <v>#REF!</v>
      </c>
      <c r="EZ41" s="14" t="e">
        <f>EY41+R41</f>
        <v>#REF!</v>
      </c>
      <c r="FB41" s="14">
        <f>L41+SUM(S41,AE41,AK41)*FC41</f>
        <v>19907.979795857165</v>
      </c>
      <c r="FC41" s="66">
        <f>L41/SUM(L41,P41)</f>
        <v>0.90855829469335903</v>
      </c>
      <c r="FE41" s="14">
        <f>ROUND(L41,-3)</f>
        <v>15000</v>
      </c>
    </row>
    <row r="42" spans="2:161" ht="14.45" customHeight="1" x14ac:dyDescent="0.2">
      <c r="B42" s="4">
        <v>2021</v>
      </c>
      <c r="C42" s="71">
        <f t="shared" si="54"/>
        <v>11766.207465205587</v>
      </c>
      <c r="D42" s="71">
        <f t="shared" si="82"/>
        <v>10134.207465205587</v>
      </c>
      <c r="E42" s="71">
        <f>'Bayesian Sum (10Feb26)'!H37</f>
        <v>1632</v>
      </c>
      <c r="F42" s="110"/>
      <c r="G42" s="14">
        <f>'[1]Data-Nisgaa &amp; Other FN Catch'!BI34</f>
        <v>299</v>
      </c>
      <c r="H42" s="119">
        <f>'Data-Sport-Inriver (CH - new)'!C34</f>
        <v>250.79253479441255</v>
      </c>
      <c r="I42" s="14">
        <f>'Data-Chin-Nisga''a'!N36</f>
        <v>1064</v>
      </c>
      <c r="J42" s="14">
        <f t="shared" si="106"/>
        <v>1613.7925347944124</v>
      </c>
      <c r="L42" s="72">
        <f>'Bayesian Sum (10Feb26)'!K37</f>
        <v>13380</v>
      </c>
      <c r="M42" s="120">
        <f t="shared" si="28"/>
        <v>1.8743836681196752E-2</v>
      </c>
      <c r="N42" s="56">
        <f>'Data-Coastal-Chin-Esc (new)'!J49</f>
        <v>737.4474409860419</v>
      </c>
      <c r="O42" s="74">
        <f t="shared" si="56"/>
        <v>1.9163048127278899</v>
      </c>
      <c r="P42" s="14">
        <f>'Data-Coastal-Chin-Esc (new)'!AA49</f>
        <v>1413.1740802954187</v>
      </c>
      <c r="Q42" s="110"/>
      <c r="R42" s="121">
        <f t="shared" si="107"/>
        <v>23.697236011884343</v>
      </c>
      <c r="S42" s="14">
        <f>'Data-Chin-Nisga''a'!P36+'Data-Chin-Nisga''a'!Q36+'Data-Chin-Nisga''a'!O36</f>
        <v>4512.2000000000007</v>
      </c>
      <c r="T42" s="14">
        <f t="shared" si="57"/>
        <v>4535.8972360118851</v>
      </c>
      <c r="U42" s="120">
        <f t="shared" si="83"/>
        <v>3.9833504679842443E-3</v>
      </c>
      <c r="V42" s="14">
        <f t="shared" si="3"/>
        <v>13179.381545501006</v>
      </c>
      <c r="W42" s="110"/>
      <c r="X42" s="14">
        <f t="shared" si="29"/>
        <v>299</v>
      </c>
      <c r="Y42" s="14">
        <f t="shared" si="108"/>
        <v>274.48977080629686</v>
      </c>
      <c r="Z42" s="111">
        <f t="shared" si="108"/>
        <v>5576.2000000000007</v>
      </c>
      <c r="AA42" s="111">
        <f t="shared" si="4"/>
        <v>6149.6897708062979</v>
      </c>
      <c r="AB42" s="110"/>
      <c r="AC42" s="14">
        <f>'A3.1b CF-tidal-Harvests (Chin)'!G36</f>
        <v>21.655999999999999</v>
      </c>
      <c r="AD42" s="14">
        <f>'A3.1b CF-tidal-Harvests (Chin)'!L36</f>
        <v>379</v>
      </c>
      <c r="AE42" s="14">
        <f t="shared" si="58"/>
        <v>400.65600000000001</v>
      </c>
      <c r="AF42" s="110"/>
      <c r="AJ42" s="14">
        <f t="shared" si="31"/>
        <v>19729.727316307304</v>
      </c>
      <c r="AK42" s="122">
        <f t="shared" ref="AK42:AK45" si="110">HLOOKUP($B42,AZ$57:BF$64,7,FALSE)</f>
        <v>943.50787228118133</v>
      </c>
      <c r="AL42" s="111">
        <f t="shared" si="109"/>
        <v>20673.235188588485</v>
      </c>
      <c r="AM42" s="113">
        <v>914</v>
      </c>
      <c r="AN42" s="14">
        <f>'[1]Data-FW Catch Rates - new'!CE36</f>
        <v>10134.207465205587</v>
      </c>
      <c r="AO42" s="123">
        <f>AVERAGE(AO37:AO41)</f>
        <v>1.055049817040779E-2</v>
      </c>
      <c r="AP42" s="60">
        <f t="shared" si="33"/>
        <v>9</v>
      </c>
      <c r="AQ42" s="59"/>
      <c r="AR42" s="77">
        <f t="shared" ref="AR42:AR46" si="111">SUM(AE42,AA42,AK42)/AL42</f>
        <v>0.36249061043063285</v>
      </c>
      <c r="AS42" s="61">
        <f t="shared" ref="AS42:AS46" si="112">I42/L42</f>
        <v>7.9521674140508217E-2</v>
      </c>
      <c r="AT42" s="61">
        <f t="shared" ref="AT42:AT46" si="113">H42/$L42</f>
        <v>1.8743836681196752E-2</v>
      </c>
      <c r="AU42" s="61">
        <f t="shared" ref="AU42:AU46" si="114">J42/$L42</f>
        <v>0.1206122970698365</v>
      </c>
      <c r="AV42" s="61"/>
      <c r="AW42" s="33"/>
      <c r="AX42" s="61">
        <f t="shared" ref="AX42:AX46" si="115">Z42/$AL42</f>
        <v>0.26973040015904398</v>
      </c>
      <c r="AY42" s="61">
        <f t="shared" si="38"/>
        <v>1.0475380269438425E-3</v>
      </c>
      <c r="AZ42" s="61">
        <f t="shared" ref="AZ42:AZ46" si="116">SUM(Y42,AD42)/$AL42</f>
        <v>3.1610425985334881E-2</v>
      </c>
      <c r="BA42" s="61">
        <f t="shared" ref="BA42:BA46" si="117">X42/AL42</f>
        <v>1.4463145089407506E-2</v>
      </c>
      <c r="BB42" s="61">
        <f t="shared" si="61"/>
        <v>0.31685150926073019</v>
      </c>
      <c r="BC42" s="61">
        <f t="shared" ref="BC42:BC46" si="118">BC$53</f>
        <v>4.5639101169902656E-2</v>
      </c>
      <c r="BD42" s="78">
        <f t="shared" si="41"/>
        <v>0.36249061043063285</v>
      </c>
      <c r="BE42" s="17"/>
      <c r="BF42" s="17"/>
      <c r="BG42" s="22">
        <f>'[1]Data-PSC CH Tables'!C36</f>
        <v>11249.867777777778</v>
      </c>
      <c r="BH42" s="22">
        <f>'[1]Data-PSC CH Tables'!AG36</f>
        <v>19510.674764809301</v>
      </c>
      <c r="BI42" s="22">
        <f>'[1]Data-PSC CH Tables'!AI36</f>
        <v>20500.985451358658</v>
      </c>
      <c r="BJ42" s="17"/>
      <c r="BK42" s="22">
        <f t="shared" si="63"/>
        <v>-516.33968742780962</v>
      </c>
      <c r="BL42" s="22">
        <f t="shared" si="64"/>
        <v>-219.0525514980036</v>
      </c>
      <c r="BM42" s="22">
        <f t="shared" si="65"/>
        <v>-172.24973722982759</v>
      </c>
      <c r="BO42" s="33"/>
      <c r="BP42" s="33"/>
      <c r="BQ42" s="33"/>
      <c r="BS42" s="62">
        <f t="shared" si="66"/>
        <v>21.655999999999999</v>
      </c>
      <c r="BT42" s="62">
        <f t="shared" si="10"/>
        <v>5576.2000000000007</v>
      </c>
      <c r="BU42" s="62">
        <f t="shared" si="11"/>
        <v>299</v>
      </c>
      <c r="BV42" s="62">
        <f t="shared" si="12"/>
        <v>379</v>
      </c>
      <c r="BW42" s="62">
        <f t="shared" si="13"/>
        <v>274.48977080629686</v>
      </c>
      <c r="BX42" s="62">
        <f t="shared" si="67"/>
        <v>6550.3457708062979</v>
      </c>
      <c r="BY42" s="62">
        <f t="shared" si="15"/>
        <v>19729.727316307304</v>
      </c>
      <c r="BZ42" s="79">
        <f t="shared" si="68"/>
        <v>0.33200386735158827</v>
      </c>
      <c r="CA42" s="79">
        <f t="shared" si="69"/>
        <v>6.1165626062924965E-2</v>
      </c>
      <c r="CB42" s="79">
        <f t="shared" si="70"/>
        <v>0.93883437393707503</v>
      </c>
      <c r="CC42" s="79">
        <f t="shared" si="19"/>
        <v>0.12590422994869896</v>
      </c>
      <c r="CD42" s="33"/>
      <c r="CF42" s="36">
        <v>19252.165198989482</v>
      </c>
      <c r="CG42" s="36">
        <v>20228.720762222187</v>
      </c>
      <c r="CH42" s="81">
        <f t="shared" si="100"/>
        <v>477.56211731782241</v>
      </c>
      <c r="CI42" s="36">
        <f t="shared" si="101"/>
        <v>444.51442636629872</v>
      </c>
      <c r="CJ42" s="36">
        <v>12700.872700164622</v>
      </c>
      <c r="CK42" s="81">
        <f t="shared" si="73"/>
        <v>478.50884533638418</v>
      </c>
      <c r="CM42" s="33">
        <f t="shared" si="84"/>
        <v>2021</v>
      </c>
      <c r="CN42" s="96">
        <f t="shared" si="91"/>
        <v>19729.727316307304</v>
      </c>
      <c r="CO42" s="97">
        <f>IF((CN42-DE$2-CT42)&gt;0, (CN42-DE$2-CT42),0)</f>
        <v>586.48457988277005</v>
      </c>
      <c r="CP42" s="97">
        <f t="shared" si="93"/>
        <v>4729.7273163073041</v>
      </c>
      <c r="CQ42" s="62">
        <f>V42</f>
        <v>13179.381545501006</v>
      </c>
      <c r="CR42" s="98" t="str">
        <f t="shared" si="85"/>
        <v>Y</v>
      </c>
      <c r="CS42" s="114" t="str">
        <f t="shared" si="95"/>
        <v>N</v>
      </c>
      <c r="CT42" s="99">
        <f t="shared" si="102"/>
        <v>4143.2427364245341</v>
      </c>
      <c r="CU42" s="100">
        <f>IF(CR42="N",0,IF(CS42="N",(BX42-BT42)+CT42,CT42))</f>
        <v>5117.3885072308312</v>
      </c>
      <c r="CV42" s="100">
        <f t="shared" si="105"/>
        <v>458.81149276916949</v>
      </c>
      <c r="CW42" s="100"/>
      <c r="CX42" s="101">
        <f t="shared" si="96"/>
        <v>5576.2000000000007</v>
      </c>
      <c r="CY42" s="102">
        <f t="shared" si="86"/>
        <v>458.81149276916949</v>
      </c>
      <c r="CZ42" s="79">
        <v>0.1</v>
      </c>
      <c r="DA42" s="103">
        <f t="shared" si="97"/>
        <v>-414.32427364245342</v>
      </c>
      <c r="DB42" s="107">
        <f>IF(CX42&gt;CT42,CY42,(IF(CY42*-1&gt;(CT42*CZ42),CT42*CZ42*-1,CY42)))</f>
        <v>458.81149276916949</v>
      </c>
      <c r="DC42" s="33"/>
      <c r="DD42" s="107">
        <f t="shared" si="104"/>
        <v>-8601.5000179367671</v>
      </c>
      <c r="DE42" s="105">
        <f t="shared" si="98"/>
        <v>458.81149276916949</v>
      </c>
      <c r="DF42" s="105">
        <f t="shared" si="99"/>
        <v>458.81149276916949</v>
      </c>
      <c r="DH42" s="66">
        <f>P42/V42</f>
        <v>0.1072261301045517</v>
      </c>
      <c r="DK42" s="106"/>
      <c r="DL42" s="106"/>
      <c r="DS42" s="14">
        <f>V42</f>
        <v>13179.381545501006</v>
      </c>
      <c r="DT42" s="14">
        <v>19861.298355492483</v>
      </c>
      <c r="DU42" s="14">
        <f>DT42-DS42</f>
        <v>6681.9168099914768</v>
      </c>
      <c r="DW42" s="14">
        <f>AJ42</f>
        <v>19729.727316307304</v>
      </c>
      <c r="DX42" s="14">
        <v>26393.298355492483</v>
      </c>
      <c r="DY42" s="14">
        <f>DX42-DW42</f>
        <v>6663.571039185179</v>
      </c>
      <c r="EG42" s="14">
        <f>SUM(X42:Y42,AE42)</f>
        <v>974.14577080629692</v>
      </c>
      <c r="EJ42" s="89">
        <f>$P42/V42</f>
        <v>0.1072261301045517</v>
      </c>
      <c r="EL42" s="67"/>
      <c r="EM42" s="67">
        <f>V42/1000</f>
        <v>13.179381545501005</v>
      </c>
      <c r="EN42" s="67">
        <f>Z42/1000</f>
        <v>5.5762000000000009</v>
      </c>
      <c r="EO42" s="67">
        <f>SUM(X42:Y42,AE42)/1000</f>
        <v>0.97414577080629694</v>
      </c>
      <c r="EP42" s="67">
        <f>AK42/1000</f>
        <v>0.94350787228118138</v>
      </c>
      <c r="ET42" s="66">
        <f>J42/L42</f>
        <v>0.1206122970698365</v>
      </c>
      <c r="EW42" s="14">
        <f>BX42-BT42</f>
        <v>974.14577080629715</v>
      </c>
      <c r="EY42" s="14">
        <f>G41+H42</f>
        <v>516.79253479441252</v>
      </c>
      <c r="EZ42" s="14">
        <f>EY42+R42</f>
        <v>540.48977080629686</v>
      </c>
      <c r="FB42" s="14">
        <f>L42+SUM(S42,AE42,AK42)*FC42</f>
        <v>18676.912493951902</v>
      </c>
      <c r="FC42" s="66">
        <f>L42/SUM(L42,P42)</f>
        <v>0.90447120593424413</v>
      </c>
      <c r="FE42" s="14">
        <f>ROUND(L42,-3)</f>
        <v>13000</v>
      </c>
    </row>
    <row r="43" spans="2:161" ht="14.45" customHeight="1" x14ac:dyDescent="0.2">
      <c r="B43" s="4">
        <v>2022</v>
      </c>
      <c r="C43" s="71">
        <f t="shared" si="54"/>
        <v>14410.16048847821</v>
      </c>
      <c r="D43" s="71">
        <f t="shared" si="82"/>
        <v>12027.16048847821</v>
      </c>
      <c r="E43" s="71">
        <f>'Bayesian Sum (10Feb26)'!H38</f>
        <v>2383</v>
      </c>
      <c r="F43" s="110"/>
      <c r="G43" s="14">
        <f>'[1]Data-Nisgaa &amp; Other FN Catch'!BI35</f>
        <v>38</v>
      </c>
      <c r="H43" s="119">
        <f>'Data-Sport-Inriver (CH - new)'!C35</f>
        <v>265.03951152179019</v>
      </c>
      <c r="I43" s="14">
        <f>'Data-Chin-Nisga''a'!N37</f>
        <v>1347.8</v>
      </c>
      <c r="J43" s="14">
        <f t="shared" si="106"/>
        <v>1650.8395115217902</v>
      </c>
      <c r="L43" s="72">
        <f>'Bayesian Sum (10Feb26)'!K38</f>
        <v>16061</v>
      </c>
      <c r="M43" s="120">
        <f>H43/L43</f>
        <v>1.6502055383960539E-2</v>
      </c>
      <c r="N43" s="56">
        <f>'Data-Coastal-Chin-Esc (new)'!J50</f>
        <v>8762.9333570423751</v>
      </c>
      <c r="O43" s="74">
        <f t="shared" si="56"/>
        <v>0.46847787365153137</v>
      </c>
      <c r="P43" s="14">
        <f>'Data-Coastal-Chin-Esc (new)'!AA50</f>
        <v>4105.2403860572877</v>
      </c>
      <c r="Q43" s="110"/>
      <c r="R43" s="121">
        <f t="shared" si="107"/>
        <v>26.481800623531853</v>
      </c>
      <c r="S43" s="14">
        <f>'Data-Chin-Nisga''a'!P37+'Data-Chin-Nisga''a'!Q37+'Data-Chin-Nisga''a'!O37</f>
        <v>2516.3999999999996</v>
      </c>
      <c r="T43" s="14">
        <f t="shared" si="57"/>
        <v>2542.8818006235315</v>
      </c>
      <c r="U43" s="120">
        <f t="shared" si="83"/>
        <v>3.9833504679843007E-3</v>
      </c>
      <c r="V43" s="14">
        <f t="shared" si="3"/>
        <v>18515.400874535499</v>
      </c>
      <c r="W43" s="110"/>
      <c r="X43" s="14">
        <f>G43</f>
        <v>38</v>
      </c>
      <c r="Y43" s="14">
        <f t="shared" si="108"/>
        <v>291.52131214532204</v>
      </c>
      <c r="Z43" s="111">
        <f t="shared" si="108"/>
        <v>3864.2</v>
      </c>
      <c r="AA43" s="111">
        <f t="shared" si="4"/>
        <v>4193.7213121453215</v>
      </c>
      <c r="AB43" s="110"/>
      <c r="AC43" s="14">
        <f>'A3.1b CF-tidal-Harvests (Chin)'!G37</f>
        <v>72.823999999999998</v>
      </c>
      <c r="AD43" s="14">
        <f>'A3.1b CF-tidal-Harvests (Chin)'!L37</f>
        <v>291</v>
      </c>
      <c r="AE43" s="14">
        <f t="shared" si="58"/>
        <v>363.82400000000001</v>
      </c>
      <c r="AF43" s="110"/>
      <c r="AJ43" s="14">
        <f t="shared" si="31"/>
        <v>23072.94618668082</v>
      </c>
      <c r="AK43" s="122">
        <f t="shared" si="110"/>
        <v>1103.3860739605952</v>
      </c>
      <c r="AL43" s="111">
        <f t="shared" si="109"/>
        <v>24176.332260641415</v>
      </c>
      <c r="AM43" s="111"/>
      <c r="AN43" s="14">
        <f>'[1]Data-FW Catch Rates - new'!CE37</f>
        <v>12027.16048847821</v>
      </c>
      <c r="AO43" s="123">
        <f>AVERAGE(AO38:AO42)</f>
        <v>1.0229681171901862E-2</v>
      </c>
      <c r="AP43" s="60">
        <f t="shared" si="33"/>
        <v>14</v>
      </c>
      <c r="AQ43" s="59"/>
      <c r="AR43" s="77">
        <f t="shared" si="111"/>
        <v>0.2341517863452679</v>
      </c>
      <c r="AS43" s="61">
        <f t="shared" si="112"/>
        <v>8.3917564286159013E-2</v>
      </c>
      <c r="AT43" s="61">
        <f t="shared" si="113"/>
        <v>1.6502055383960539E-2</v>
      </c>
      <c r="AU43" s="61">
        <f t="shared" si="114"/>
        <v>0.10278559937250421</v>
      </c>
      <c r="AV43" s="61"/>
      <c r="AW43" s="33"/>
      <c r="AX43" s="61">
        <f t="shared" si="115"/>
        <v>0.15983400452726404</v>
      </c>
      <c r="AY43" s="61">
        <f t="shared" si="38"/>
        <v>3.012202149395341E-3</v>
      </c>
      <c r="AZ43" s="61">
        <f t="shared" si="116"/>
        <v>2.4094693349894728E-2</v>
      </c>
      <c r="BA43" s="61">
        <f t="shared" si="117"/>
        <v>1.571785148811147E-3</v>
      </c>
      <c r="BB43" s="61">
        <f t="shared" si="61"/>
        <v>0.18851268517536524</v>
      </c>
      <c r="BC43" s="61">
        <f t="shared" si="118"/>
        <v>4.5639101169902656E-2</v>
      </c>
      <c r="BD43" s="78">
        <f t="shared" si="41"/>
        <v>0.2341517863452679</v>
      </c>
      <c r="BE43" s="17"/>
      <c r="BF43" s="17"/>
      <c r="BG43" s="22">
        <f>'[1]Data-PSC CH Tables'!C37</f>
        <v>13408.493367742924</v>
      </c>
      <c r="BH43" s="22">
        <f>'[1]Data-PSC CH Tables'!AG37</f>
        <v>22857.040953893968</v>
      </c>
      <c r="BI43" s="22">
        <f>'[1]Data-PSC CH Tables'!AI37</f>
        <v>24017.204412738785</v>
      </c>
      <c r="BJ43" s="17"/>
      <c r="BK43" s="22">
        <f t="shared" si="63"/>
        <v>-1001.6671207352865</v>
      </c>
      <c r="BL43" s="22">
        <f t="shared" si="64"/>
        <v>-215.90523278685214</v>
      </c>
      <c r="BM43" s="22">
        <f t="shared" si="65"/>
        <v>-159.12784790262958</v>
      </c>
      <c r="BS43" s="62">
        <f t="shared" si="66"/>
        <v>72.823999999999998</v>
      </c>
      <c r="BT43" s="62">
        <f t="shared" si="10"/>
        <v>3864.2</v>
      </c>
      <c r="BU43" s="62">
        <f t="shared" si="11"/>
        <v>38</v>
      </c>
      <c r="BV43" s="62">
        <f t="shared" si="12"/>
        <v>291</v>
      </c>
      <c r="BW43" s="62">
        <f t="shared" si="13"/>
        <v>291.52131214532204</v>
      </c>
      <c r="BX43" s="62">
        <f t="shared" si="67"/>
        <v>4557.5453121453211</v>
      </c>
      <c r="BY43" s="62">
        <f t="shared" si="15"/>
        <v>23072.94618668082</v>
      </c>
      <c r="BZ43" s="79">
        <f t="shared" si="68"/>
        <v>0.19752767051379974</v>
      </c>
      <c r="CA43" s="79">
        <f t="shared" si="69"/>
        <v>7.9828937527061314E-2</v>
      </c>
      <c r="CB43" s="79">
        <f t="shared" si="70"/>
        <v>0.92017106247293878</v>
      </c>
      <c r="CC43" s="79">
        <f t="shared" si="19"/>
        <v>0.19491246204974774</v>
      </c>
      <c r="CD43" s="33"/>
      <c r="CF43" s="36">
        <v>21690.646120133384</v>
      </c>
      <c r="CG43" s="36">
        <v>22790.892296072077</v>
      </c>
      <c r="CH43" s="81">
        <f t="shared" si="100"/>
        <v>1382.3000665474356</v>
      </c>
      <c r="CI43" s="36">
        <f t="shared" si="101"/>
        <v>1385.4399645693375</v>
      </c>
      <c r="CJ43" s="36">
        <v>17133.787688818757</v>
      </c>
      <c r="CK43" s="81">
        <f t="shared" si="73"/>
        <v>1381.613185716742</v>
      </c>
      <c r="CM43" s="33">
        <f t="shared" si="84"/>
        <v>2022</v>
      </c>
      <c r="CN43" s="96">
        <f t="shared" si="91"/>
        <v>23072.94618668082</v>
      </c>
      <c r="CO43" s="97">
        <f>IF((CN43-DE$2-CT43)&gt;0, (CN43-DE$2-CT43),0)</f>
        <v>3227.6274874778474</v>
      </c>
      <c r="CP43" s="97">
        <f t="shared" si="93"/>
        <v>8072.9461866808197</v>
      </c>
      <c r="CQ43" s="62">
        <f>V43</f>
        <v>18515.400874535499</v>
      </c>
      <c r="CR43" s="98" t="str">
        <f t="shared" si="85"/>
        <v>Y</v>
      </c>
      <c r="CS43" s="114" t="str">
        <f t="shared" si="95"/>
        <v>Y</v>
      </c>
      <c r="CT43" s="99">
        <f t="shared" si="102"/>
        <v>4845.3186992029723</v>
      </c>
      <c r="CU43" s="100">
        <f>IF(CR43="N",0,IF(CS43="N",(BX43-BT43)+CT43,CT43))</f>
        <v>4845.3186992029723</v>
      </c>
      <c r="CV43" s="100">
        <f t="shared" si="105"/>
        <v>-1674.4640113482938</v>
      </c>
      <c r="CW43" s="100"/>
      <c r="CX43" s="101">
        <f t="shared" si="96"/>
        <v>3864.2</v>
      </c>
      <c r="CY43" s="102">
        <f>CX43-CU43</f>
        <v>-981.11869920297249</v>
      </c>
      <c r="CZ43" s="79">
        <v>0.1</v>
      </c>
      <c r="DA43" s="103">
        <f t="shared" si="97"/>
        <v>-484.53186992029725</v>
      </c>
      <c r="DB43" s="107">
        <f>IF(CX43&gt;CT43,CY43,(IF(CY43*-1&gt;(CT43*CZ43),CT43*CZ43*-1,CY43)))</f>
        <v>-484.53186992029725</v>
      </c>
      <c r="DC43" s="33"/>
      <c r="DD43" s="107">
        <f t="shared" si="104"/>
        <v>-9086.0318878570652</v>
      </c>
      <c r="DE43" s="105">
        <f t="shared" si="98"/>
        <v>-484.53186992029725</v>
      </c>
      <c r="DF43" s="105">
        <f t="shared" si="99"/>
        <v>484.53186992029725</v>
      </c>
      <c r="DH43" s="66">
        <f>P43/V43</f>
        <v>0.22172030807625046</v>
      </c>
      <c r="DK43" s="106"/>
      <c r="DL43" s="106"/>
      <c r="DS43" s="14"/>
      <c r="DT43" s="14"/>
      <c r="DU43" s="14"/>
      <c r="DW43" s="14"/>
      <c r="DX43" s="14"/>
      <c r="DY43" s="14"/>
      <c r="EG43" s="14"/>
      <c r="EJ43" s="89"/>
      <c r="EL43" s="67"/>
      <c r="EM43" s="67"/>
      <c r="EN43" s="67"/>
      <c r="EO43" s="67"/>
      <c r="EP43" s="67"/>
      <c r="ET43" s="66"/>
      <c r="EW43" s="14"/>
      <c r="EY43" s="14"/>
      <c r="EZ43" s="14"/>
      <c r="FB43" s="14"/>
      <c r="FC43" s="66"/>
      <c r="FE43" s="14"/>
    </row>
    <row r="44" spans="2:161" ht="14.45" customHeight="1" x14ac:dyDescent="0.2">
      <c r="B44" s="4">
        <v>2023</v>
      </c>
      <c r="C44" s="71">
        <f t="shared" si="54"/>
        <v>9758.9535295539172</v>
      </c>
      <c r="D44" s="71">
        <f t="shared" si="82"/>
        <v>7850.9535295539172</v>
      </c>
      <c r="E44" s="71">
        <f>'Bayesian Sum (10Feb26)'!H39</f>
        <v>1908</v>
      </c>
      <c r="F44" s="110"/>
      <c r="G44" s="14">
        <f>'[1]Data-Nisgaa &amp; Other FN Catch'!BI36</f>
        <v>66</v>
      </c>
      <c r="H44" s="119">
        <f>'Data-Sport-Inriver (CH - new)'!C36</f>
        <v>193.24647044608315</v>
      </c>
      <c r="I44" s="14">
        <f>'Data-Chin-Nisga''a'!N38</f>
        <v>1587.8</v>
      </c>
      <c r="J44" s="14">
        <f t="shared" si="106"/>
        <v>1847.046470446083</v>
      </c>
      <c r="L44" s="72">
        <f>'Bayesian Sum (10Feb26)'!K39</f>
        <v>11606</v>
      </c>
      <c r="M44" s="120">
        <v>1.58026191252638E-2</v>
      </c>
      <c r="N44" s="56">
        <f>'Data-Coastal-Chin-Esc (new)'!J51</f>
        <v>946.07674023620609</v>
      </c>
      <c r="O44" s="74">
        <v>3.4938163140037641</v>
      </c>
      <c r="P44" s="14">
        <f>'Data-Coastal-Chin-Esc (new)'!AA51</f>
        <v>2207.5071278042838</v>
      </c>
      <c r="Q44" s="110"/>
      <c r="R44" s="121">
        <f t="shared" si="107"/>
        <v>15.40485901252805</v>
      </c>
      <c r="S44" s="14">
        <v>1644.3999999999999</v>
      </c>
      <c r="T44" s="14">
        <v>1664.1440192695411</v>
      </c>
      <c r="U44" s="120">
        <v>4.1226614171758977E-3</v>
      </c>
      <c r="V44" s="14">
        <f t="shared" si="3"/>
        <v>11966.4606573582</v>
      </c>
      <c r="W44" s="110"/>
      <c r="X44" s="14">
        <f t="shared" ref="X44:X46" si="119">G44</f>
        <v>66</v>
      </c>
      <c r="Y44" s="14">
        <f t="shared" si="108"/>
        <v>208.6513294586112</v>
      </c>
      <c r="Z44" s="111">
        <f t="shared" si="108"/>
        <v>3232.2</v>
      </c>
      <c r="AA44" s="111">
        <f t="shared" si="4"/>
        <v>3506.851329458611</v>
      </c>
      <c r="AB44" s="110"/>
      <c r="AC44" s="14">
        <f>'A3.1b CF-tidal-Harvests (Chin)'!G38</f>
        <v>69.688000000000002</v>
      </c>
      <c r="AD44" s="14">
        <f>'A3.1b CF-tidal-Harvests (Chin)'!L38</f>
        <v>263</v>
      </c>
      <c r="AE44" s="14">
        <f t="shared" si="58"/>
        <v>332.68799999999999</v>
      </c>
      <c r="AF44" s="110"/>
      <c r="AJ44" s="14">
        <f t="shared" si="31"/>
        <v>15805.999986816811</v>
      </c>
      <c r="AK44" s="122">
        <f t="shared" si="110"/>
        <v>755.86880536923309</v>
      </c>
      <c r="AL44" s="111">
        <f t="shared" si="109"/>
        <v>16561.868792186044</v>
      </c>
      <c r="AM44" s="111"/>
      <c r="AN44" s="14">
        <f>'[1]Data-FW Catch Rates - new'!CE38</f>
        <v>7850.9535295539172</v>
      </c>
      <c r="AO44" s="123">
        <f>AVERAGE(AO40:AO43)</f>
        <v>1.0501689394726132E-2</v>
      </c>
      <c r="AP44" s="60">
        <f t="shared" si="33"/>
        <v>4</v>
      </c>
      <c r="AQ44" s="59"/>
      <c r="AR44" s="77">
        <f t="shared" si="111"/>
        <v>0.27746917890063083</v>
      </c>
      <c r="AS44" s="61">
        <f t="shared" si="112"/>
        <v>0.13680854730311906</v>
      </c>
      <c r="AT44" s="61">
        <f t="shared" si="113"/>
        <v>1.6650566124942544E-2</v>
      </c>
      <c r="AU44" s="61">
        <f t="shared" si="114"/>
        <v>0.15914582719680193</v>
      </c>
      <c r="AV44" s="61"/>
      <c r="AW44" s="33"/>
      <c r="AX44" s="61">
        <f t="shared" si="115"/>
        <v>0.19515913575676705</v>
      </c>
      <c r="AY44" s="61">
        <f t="shared" si="38"/>
        <v>4.2077377181540697E-3</v>
      </c>
      <c r="AZ44" s="61">
        <f t="shared" si="116"/>
        <v>2.847814672225505E-2</v>
      </c>
      <c r="BA44" s="61">
        <f t="shared" si="117"/>
        <v>3.9850575335519545E-3</v>
      </c>
      <c r="BB44" s="61">
        <f t="shared" si="61"/>
        <v>0.23183007773072814</v>
      </c>
      <c r="BC44" s="61">
        <f t="shared" si="118"/>
        <v>4.5639101169902656E-2</v>
      </c>
      <c r="BD44" s="78">
        <f t="shared" si="41"/>
        <v>0.27746917890063083</v>
      </c>
      <c r="BE44" s="17"/>
      <c r="BF44" s="17"/>
      <c r="BG44" s="22">
        <f>'[1]Data-PSC CH Tables'!C38</f>
        <v>10376</v>
      </c>
      <c r="BH44" s="22">
        <f>'[1]Data-PSC CH Tables'!AG38</f>
        <v>17521.200934380602</v>
      </c>
      <c r="BI44" s="22">
        <f>'[1]Data-PSC CH Tables'!AI38</f>
        <v>18410.200934380602</v>
      </c>
      <c r="BJ44" s="17"/>
      <c r="BK44" s="22">
        <v>-32.825950221804305</v>
      </c>
      <c r="BL44" s="22">
        <v>337.86488526275571</v>
      </c>
      <c r="BM44" s="22">
        <v>355.01402082668574</v>
      </c>
      <c r="BS44" s="62">
        <f t="shared" si="66"/>
        <v>69.688000000000002</v>
      </c>
      <c r="BT44" s="62">
        <f t="shared" si="10"/>
        <v>3232.2</v>
      </c>
      <c r="BU44" s="62">
        <f t="shared" si="11"/>
        <v>66</v>
      </c>
      <c r="BV44" s="62">
        <f t="shared" si="12"/>
        <v>263</v>
      </c>
      <c r="BW44" s="62">
        <f t="shared" si="13"/>
        <v>208.6513294586112</v>
      </c>
      <c r="BX44" s="62">
        <f t="shared" si="67"/>
        <v>3839.5393294586111</v>
      </c>
      <c r="BY44" s="62">
        <f t="shared" si="15"/>
        <v>15805.999986816811</v>
      </c>
      <c r="BZ44" s="79">
        <f t="shared" si="68"/>
        <v>0.24291657172346109</v>
      </c>
      <c r="CA44" s="79">
        <f t="shared" si="69"/>
        <v>8.6647894826203067E-2</v>
      </c>
      <c r="CB44" s="79">
        <f t="shared" si="70"/>
        <v>0.91335210517379695</v>
      </c>
      <c r="CC44" s="79">
        <f t="shared" si="19"/>
        <v>0.16448349813384963</v>
      </c>
      <c r="CD44" s="33"/>
      <c r="CF44" s="36">
        <v>16423.386838410668</v>
      </c>
      <c r="CG44" s="36">
        <v>17256.454164521841</v>
      </c>
      <c r="CH44" s="81">
        <f t="shared" si="100"/>
        <v>-617.3868515938575</v>
      </c>
      <c r="CI44" s="36">
        <f t="shared" si="101"/>
        <v>-694.58537233579773</v>
      </c>
      <c r="CJ44" s="36">
        <v>12583.333078026088</v>
      </c>
      <c r="CK44" s="81">
        <f t="shared" si="73"/>
        <v>-616.87242066788713</v>
      </c>
      <c r="CM44" s="33">
        <f t="shared" si="84"/>
        <v>2023</v>
      </c>
      <c r="CN44" s="96">
        <f t="shared" si="91"/>
        <v>15805.999986816811</v>
      </c>
      <c r="CO44" s="97">
        <f>IF((CN44-DE$2-CT44)&gt;0, (CN44-DE$2-CT44),0)</f>
        <v>0</v>
      </c>
      <c r="CP44" s="97">
        <f t="shared" si="93"/>
        <v>3319.2599972315302</v>
      </c>
      <c r="CQ44" s="62">
        <f>V44</f>
        <v>11966.4606573582</v>
      </c>
      <c r="CR44" s="98" t="str">
        <f t="shared" si="85"/>
        <v>Y</v>
      </c>
      <c r="CS44" s="114" t="str">
        <f t="shared" si="95"/>
        <v>N</v>
      </c>
      <c r="CT44" s="99">
        <f t="shared" si="102"/>
        <v>3319.2599972315302</v>
      </c>
      <c r="CU44" s="100">
        <f>IF(CR44="N",0,IF(CS44="N",(BX44-BT44)+CT44,CT44))</f>
        <v>3926.5993266901414</v>
      </c>
      <c r="CV44" s="100">
        <f t="shared" si="105"/>
        <v>-694.39932669014161</v>
      </c>
      <c r="CW44" s="100"/>
      <c r="CX44" s="101">
        <f t="shared" si="96"/>
        <v>3232.2</v>
      </c>
      <c r="CY44" s="102">
        <f t="shared" ref="CY44" si="120">CX44-CU44</f>
        <v>-694.39932669014161</v>
      </c>
      <c r="CZ44" s="79">
        <v>0.1</v>
      </c>
      <c r="DA44" s="103">
        <f t="shared" si="97"/>
        <v>-331.92599972315304</v>
      </c>
      <c r="DB44" s="107">
        <f>IF(CX44&gt;CT44,CY44,(IF(CY44*-1&gt;(CT44*CZ44),CT44*CZ44*-1,CY44)))</f>
        <v>-331.92599972315304</v>
      </c>
      <c r="DC44" s="33"/>
      <c r="DD44" s="107">
        <f t="shared" si="104"/>
        <v>-9417.9578875802181</v>
      </c>
      <c r="DE44" s="105">
        <f t="shared" si="98"/>
        <v>-331.92599972315304</v>
      </c>
      <c r="DF44" s="105">
        <f t="shared" si="99"/>
        <v>331.92599972315304</v>
      </c>
      <c r="DH44" s="66"/>
      <c r="DK44" s="106"/>
      <c r="DL44" s="106"/>
      <c r="DS44" s="14"/>
      <c r="DT44" s="14"/>
      <c r="DU44" s="14"/>
      <c r="DW44" s="14"/>
      <c r="DX44" s="14"/>
      <c r="DY44" s="14"/>
      <c r="EG44" s="14"/>
      <c r="EJ44" s="89"/>
      <c r="EL44" s="67"/>
      <c r="EM44" s="67"/>
      <c r="EN44" s="67"/>
      <c r="EO44" s="67"/>
      <c r="EP44" s="67"/>
      <c r="ET44" s="66"/>
      <c r="EW44" s="14"/>
      <c r="EY44" s="14"/>
      <c r="EZ44" s="14"/>
      <c r="FB44" s="14"/>
      <c r="FC44" s="66"/>
      <c r="FE44" s="14"/>
    </row>
    <row r="45" spans="2:161" ht="14.45" customHeight="1" x14ac:dyDescent="0.2">
      <c r="B45" s="4">
        <v>2024</v>
      </c>
      <c r="C45" s="71">
        <f t="shared" si="54"/>
        <v>12477.710267528219</v>
      </c>
      <c r="D45" s="71">
        <f t="shared" si="82"/>
        <v>10196.710267528219</v>
      </c>
      <c r="E45" s="71">
        <f>'Bayesian Sum (10Feb26)'!H40</f>
        <v>2281</v>
      </c>
      <c r="F45" s="110"/>
      <c r="G45" s="14">
        <f>'[1]Data-Nisgaa &amp; Other FN Catch'!BI37</f>
        <v>99</v>
      </c>
      <c r="H45" s="119">
        <f>'Data-Sport-Inriver (CH - new)'!C37</f>
        <v>240.33973247178227</v>
      </c>
      <c r="I45" s="14">
        <f>'Data-Chin-Nisga''a'!N39</f>
        <v>2381.9500000000003</v>
      </c>
      <c r="J45" s="14">
        <f t="shared" si="106"/>
        <v>2721.2897324717824</v>
      </c>
      <c r="L45" s="72">
        <f>'Bayesian Sum (10Feb26)'!K40</f>
        <v>15199</v>
      </c>
      <c r="M45" s="120">
        <v>1.578818744720448E-2</v>
      </c>
      <c r="N45" s="56">
        <f>'Data-Coastal-Chin-Esc (new)'!J52</f>
        <v>1842.5724046542823</v>
      </c>
      <c r="O45" s="74">
        <v>2.7085729349364494</v>
      </c>
      <c r="P45" s="14">
        <f>'Data-Coastal-Chin-Esc (new)'!AA52</f>
        <v>4299.3253546792403</v>
      </c>
      <c r="Q45" s="110"/>
      <c r="R45" s="121">
        <v>33.990527557923997</v>
      </c>
      <c r="S45" s="14">
        <v>3492.4775314261187</v>
      </c>
      <c r="T45" s="14">
        <v>3526.4680589840427</v>
      </c>
      <c r="U45" s="120">
        <v>4.1226614171760972E-3</v>
      </c>
      <c r="V45" s="14">
        <f t="shared" si="3"/>
        <v>16777.035622207459</v>
      </c>
      <c r="W45" s="110"/>
      <c r="X45" s="14">
        <f t="shared" si="119"/>
        <v>99</v>
      </c>
      <c r="Y45" s="14">
        <f t="shared" si="108"/>
        <v>274.33026002970627</v>
      </c>
      <c r="Z45" s="111">
        <f t="shared" si="108"/>
        <v>5874.4275314261195</v>
      </c>
      <c r="AA45" s="111">
        <f t="shared" si="4"/>
        <v>6247.757791455826</v>
      </c>
      <c r="AB45" s="110"/>
      <c r="AC45" s="14">
        <f>'A3.1b CF-tidal-Harvests (Chin)'!G39</f>
        <v>135.87200000000001</v>
      </c>
      <c r="AD45" s="14">
        <f>'A3.1b CF-tidal-Harvests (Chin)'!L39</f>
        <v>345</v>
      </c>
      <c r="AE45" s="14">
        <f t="shared" si="58"/>
        <v>480.87200000000001</v>
      </c>
      <c r="AF45" s="110"/>
      <c r="AJ45" s="14">
        <f t="shared" si="31"/>
        <v>23505.665413663282</v>
      </c>
      <c r="AK45" s="122">
        <f t="shared" si="110"/>
        <v>1124.079416073233</v>
      </c>
      <c r="AL45" s="111">
        <f t="shared" si="109"/>
        <v>24629.744829736515</v>
      </c>
      <c r="AM45" s="111"/>
      <c r="AN45" s="14">
        <f>'[1]Data-FW Catch Rates - new'!CE39</f>
        <v>10196.710267528219</v>
      </c>
      <c r="AO45" s="123">
        <v>8.957931551251911E-3</v>
      </c>
      <c r="AP45" s="60">
        <v>15</v>
      </c>
      <c r="AQ45" s="59"/>
      <c r="AR45" s="77">
        <f t="shared" si="111"/>
        <v>0.31883031114671384</v>
      </c>
      <c r="AS45" s="61">
        <f t="shared" si="112"/>
        <v>0.15671754720705311</v>
      </c>
      <c r="AT45" s="61">
        <f t="shared" si="113"/>
        <v>1.5812864824776781E-2</v>
      </c>
      <c r="AU45" s="61">
        <f t="shared" si="114"/>
        <v>0.17904399845198909</v>
      </c>
      <c r="AV45" s="61"/>
      <c r="AW45" s="33"/>
      <c r="AX45" s="61">
        <f t="shared" si="115"/>
        <v>0.23850947592171881</v>
      </c>
      <c r="AY45" s="61">
        <f t="shared" si="38"/>
        <v>5.5165817161027218E-3</v>
      </c>
      <c r="AZ45" s="61">
        <f t="shared" si="116"/>
        <v>2.5145622267347373E-2</v>
      </c>
      <c r="BA45" s="61">
        <f t="shared" si="117"/>
        <v>4.0195300716422029E-3</v>
      </c>
      <c r="BB45" s="61">
        <f t="shared" si="61"/>
        <v>0.27319120997681112</v>
      </c>
      <c r="BC45" s="61">
        <f t="shared" si="118"/>
        <v>4.5639101169902656E-2</v>
      </c>
      <c r="BD45" s="78">
        <f t="shared" si="41"/>
        <v>0.31883031114671384</v>
      </c>
      <c r="BE45" s="17"/>
      <c r="BF45" s="17"/>
      <c r="BG45" s="22"/>
      <c r="BH45" s="22"/>
      <c r="BI45" s="22"/>
      <c r="BJ45" s="17"/>
      <c r="BK45" s="22">
        <v>-12544.066728678405</v>
      </c>
      <c r="BL45" s="22">
        <v>-23961.587890781317</v>
      </c>
      <c r="BM45" s="22">
        <v>-25177.815255594567</v>
      </c>
      <c r="BS45" s="62">
        <v>138.36080344994667</v>
      </c>
      <c r="BT45" s="62">
        <v>5831.8275314261191</v>
      </c>
      <c r="BU45" s="62">
        <v>99</v>
      </c>
      <c r="BV45" s="62">
        <v>355.66851453784363</v>
      </c>
      <c r="BW45" s="62">
        <v>274.33026002970627</v>
      </c>
      <c r="BX45" s="62">
        <v>6699.1871094436156</v>
      </c>
      <c r="BY45" s="62">
        <v>23961.587890781317</v>
      </c>
      <c r="BZ45" s="79">
        <v>0.27958026571440109</v>
      </c>
      <c r="CA45" s="79">
        <v>7.3744666318003568E-2</v>
      </c>
      <c r="CB45" s="79">
        <v>0.92625533368199653</v>
      </c>
      <c r="CC45" s="79">
        <v>0.15365302332161643</v>
      </c>
      <c r="CD45" s="33"/>
      <c r="CF45" s="36">
        <v>23456.256403506191</v>
      </c>
      <c r="CG45" s="36">
        <v>24646.062196605195</v>
      </c>
      <c r="CH45" s="81">
        <f t="shared" si="100"/>
        <v>49.409010157090961</v>
      </c>
      <c r="CI45" s="36">
        <f t="shared" si="101"/>
        <v>-16.317366868679528</v>
      </c>
      <c r="CJ45" s="36">
        <v>16727.626612050368</v>
      </c>
      <c r="CK45" s="81">
        <f t="shared" si="73"/>
        <v>49.409010157090961</v>
      </c>
      <c r="CM45" s="33">
        <f t="shared" si="84"/>
        <v>2024</v>
      </c>
      <c r="CN45" s="96">
        <f t="shared" si="91"/>
        <v>23505.665413663282</v>
      </c>
      <c r="CO45" s="97">
        <v>3929.65443371724</v>
      </c>
      <c r="CP45" s="97">
        <v>8961.5878907813167</v>
      </c>
      <c r="CQ45" s="62">
        <v>17262.400781337699</v>
      </c>
      <c r="CR45" s="98" t="s">
        <v>108</v>
      </c>
      <c r="CS45" s="114" t="s">
        <v>108</v>
      </c>
      <c r="CT45" s="99">
        <v>5031.9334570640767</v>
      </c>
      <c r="CU45" s="100">
        <v>5031.9334570640767</v>
      </c>
      <c r="CV45" s="100">
        <v>-67.465503655454086</v>
      </c>
      <c r="CW45" s="100"/>
      <c r="CX45" s="101">
        <v>5831.8275314261191</v>
      </c>
      <c r="CY45" s="102">
        <v>799.89407436204237</v>
      </c>
      <c r="CZ45" s="79">
        <v>0.1</v>
      </c>
      <c r="DA45" s="103">
        <f t="shared" si="97"/>
        <v>-503.19334570640768</v>
      </c>
      <c r="DB45" s="107">
        <v>799.89407436204237</v>
      </c>
      <c r="DC45" s="33"/>
      <c r="DD45" s="107">
        <f t="shared" si="104"/>
        <v>-8618.0638132181757</v>
      </c>
      <c r="DE45" s="105">
        <f t="shared" si="98"/>
        <v>799.89407436204237</v>
      </c>
      <c r="DF45" s="105">
        <f t="shared" si="99"/>
        <v>799.89407436204237</v>
      </c>
      <c r="DH45" s="66">
        <v>0.27333011858699652</v>
      </c>
      <c r="DK45" s="106"/>
      <c r="DL45" s="106"/>
      <c r="DS45" s="14"/>
      <c r="DT45" s="14"/>
      <c r="DU45" s="14"/>
      <c r="DW45" s="14"/>
      <c r="DX45" s="14"/>
      <c r="DY45" s="14"/>
      <c r="EG45" s="14"/>
      <c r="EJ45" s="89"/>
      <c r="EL45" s="67"/>
      <c r="EM45" s="67"/>
      <c r="EN45" s="67"/>
      <c r="EO45" s="67"/>
      <c r="EP45" s="67"/>
      <c r="ET45" s="66"/>
      <c r="EW45" s="14"/>
      <c r="EY45" s="14"/>
      <c r="EZ45" s="14"/>
      <c r="FB45" s="14"/>
      <c r="FC45" s="66"/>
      <c r="FE45" s="14"/>
    </row>
    <row r="46" spans="2:161" ht="14.45" customHeight="1" x14ac:dyDescent="0.2">
      <c r="B46" s="4">
        <v>2025</v>
      </c>
      <c r="C46" s="71">
        <f t="shared" si="54"/>
        <v>10359.972690145158</v>
      </c>
      <c r="D46" s="71">
        <f t="shared" si="82"/>
        <v>8529.9726901451577</v>
      </c>
      <c r="E46" s="71">
        <f>'Bayesian Sum (10Feb26)'!H41</f>
        <v>1830</v>
      </c>
      <c r="F46" s="110"/>
      <c r="G46" s="14">
        <f>'[1]Data-Nisgaa &amp; Other FN Catch'!BI38</f>
        <v>55</v>
      </c>
      <c r="H46" s="119">
        <f>'Data-Sport-Inriver (CH - new)'!C38</f>
        <v>198.77730985484322</v>
      </c>
      <c r="I46" s="14">
        <f>'Data-Chin-Nisga''a'!N40</f>
        <v>1712.25</v>
      </c>
      <c r="J46" s="14">
        <f t="shared" si="106"/>
        <v>1966.0273098548432</v>
      </c>
      <c r="L46" s="72">
        <f>'Bayesian Sum (10Feb26)'!K41</f>
        <v>12326</v>
      </c>
      <c r="M46" s="120">
        <f>H46/L46</f>
        <v>1.6126668007045531E-2</v>
      </c>
      <c r="N46" s="56">
        <f>'Data-Coastal-Chin-Esc (new)'!J53</f>
        <v>6441.1506860547242</v>
      </c>
      <c r="O46" s="74">
        <f t="shared" si="56"/>
        <v>2.3333277671039006</v>
      </c>
      <c r="P46" s="14">
        <f>'Data-Coastal-Chin-Esc (new)'!AA53</f>
        <v>15029.315747871828</v>
      </c>
      <c r="Q46" s="110"/>
      <c r="R46" s="121">
        <f>(SUM(P46,S46)/(1-AVERAGE(U$34:U$38))-SUM(P46,S46))</f>
        <v>73.147876507060573</v>
      </c>
      <c r="S46" s="14">
        <f>'Data-Chin-Nisga''a'!P40+'Data-Chin-Nisga''a'!Q40+'Data-Chin-Nisga''a'!O40</f>
        <v>3260.941025796807</v>
      </c>
      <c r="T46" s="14">
        <f>SUM(R46:S46)</f>
        <v>3334.0889023038676</v>
      </c>
      <c r="U46" s="120">
        <f>R46/SUM(T46,P46)</f>
        <v>3.9833504679841984E-3</v>
      </c>
      <c r="V46" s="14">
        <f>SUM(P46,C46)</f>
        <v>25389.288438016985</v>
      </c>
      <c r="W46" s="110"/>
      <c r="X46" s="14">
        <f t="shared" si="119"/>
        <v>55</v>
      </c>
      <c r="Y46" s="14">
        <f t="shared" si="108"/>
        <v>271.9251863619038</v>
      </c>
      <c r="Z46" s="111">
        <f t="shared" si="108"/>
        <v>4973.1910257968066</v>
      </c>
      <c r="AA46" s="111">
        <f t="shared" si="4"/>
        <v>5300.1162121587104</v>
      </c>
      <c r="AB46" s="110"/>
      <c r="AC46" s="14">
        <f>'A3.1b CF-tidal-Harvests (Chin)'!G40</f>
        <v>132.29599999999999</v>
      </c>
      <c r="AD46" s="14">
        <f>'A3.1b CF-tidal-Harvests (Chin)'!L40</f>
        <v>599.10310366934414</v>
      </c>
      <c r="AE46" s="14">
        <f t="shared" si="58"/>
        <v>731.39910366934419</v>
      </c>
      <c r="AF46" s="110"/>
      <c r="AJ46" s="14">
        <f t="shared" si="31"/>
        <v>31420.803753845041</v>
      </c>
      <c r="AK46" s="122">
        <f>HLOOKUP($B46,AZ$57:BL$64,7,FALSE)</f>
        <v>1502.5942943799128</v>
      </c>
      <c r="AL46" s="111">
        <f t="shared" si="109"/>
        <v>32923.398048224954</v>
      </c>
      <c r="AM46" s="111"/>
      <c r="AN46" s="14">
        <f>'[1]Data-FW Catch Rates - new'!CE40</f>
        <v>8529.9726901451577</v>
      </c>
      <c r="AO46" s="123">
        <f>AVERAGE(AO41:AO45)</f>
        <v>1.0253708403629044E-2</v>
      </c>
      <c r="AP46" s="60">
        <f>RANK(L46,L$13:L$46,1)</f>
        <v>6</v>
      </c>
      <c r="AQ46" s="59"/>
      <c r="AR46" s="77">
        <f t="shared" si="111"/>
        <v>0.22883754584421351</v>
      </c>
      <c r="AS46" s="61">
        <f t="shared" si="112"/>
        <v>0.13891367840337498</v>
      </c>
      <c r="AT46" s="61">
        <f t="shared" si="113"/>
        <v>1.6126668007045531E-2</v>
      </c>
      <c r="AU46" s="61">
        <f t="shared" si="114"/>
        <v>0.15950245901791685</v>
      </c>
      <c r="AV46" s="61"/>
      <c r="AW46" s="33"/>
      <c r="AX46" s="61">
        <f t="shared" si="115"/>
        <v>0.15105339426119574</v>
      </c>
      <c r="AY46" s="61">
        <f t="shared" si="38"/>
        <v>4.0182972549254424E-3</v>
      </c>
      <c r="AZ46" s="61">
        <f t="shared" si="116"/>
        <v>2.6456208704684691E-2</v>
      </c>
      <c r="BA46" s="61">
        <f t="shared" si="117"/>
        <v>1.6705444535050141E-3</v>
      </c>
      <c r="BB46" s="61">
        <f t="shared" si="61"/>
        <v>0.1831984446743109</v>
      </c>
      <c r="BC46" s="61">
        <f t="shared" si="118"/>
        <v>4.5639101169902656E-2</v>
      </c>
      <c r="BD46" s="78">
        <f t="shared" si="41"/>
        <v>0.22883754584421351</v>
      </c>
      <c r="BE46" s="17"/>
      <c r="BF46" s="17"/>
      <c r="BG46" s="22"/>
      <c r="BH46" s="22"/>
      <c r="BI46" s="22"/>
      <c r="BJ46" s="17"/>
      <c r="BK46" s="22">
        <f t="shared" si="63"/>
        <v>-10359.972690145158</v>
      </c>
      <c r="BL46" s="22">
        <f t="shared" si="64"/>
        <v>-31420.803753845041</v>
      </c>
      <c r="BM46" s="22">
        <f t="shared" si="65"/>
        <v>-32923.398048224954</v>
      </c>
      <c r="BS46" s="62">
        <f t="shared" si="66"/>
        <v>132.29599999999999</v>
      </c>
      <c r="BT46" s="62">
        <f t="shared" si="10"/>
        <v>4973.1910257968066</v>
      </c>
      <c r="BU46" s="62">
        <f t="shared" si="11"/>
        <v>55</v>
      </c>
      <c r="BV46" s="62">
        <f t="shared" si="12"/>
        <v>599.10310366934414</v>
      </c>
      <c r="BW46" s="62">
        <f t="shared" si="13"/>
        <v>271.9251863619038</v>
      </c>
      <c r="BX46" s="62">
        <f t="shared" si="67"/>
        <v>6031.5153158280546</v>
      </c>
      <c r="BY46" s="62">
        <f t="shared" si="15"/>
        <v>31420.803753845041</v>
      </c>
      <c r="BZ46" s="79">
        <f t="shared" si="68"/>
        <v>0.19195929432868067</v>
      </c>
      <c r="CA46" s="79">
        <f t="shared" si="69"/>
        <v>0.12126291078959681</v>
      </c>
      <c r="CB46" s="79">
        <f t="shared" si="70"/>
        <v>0.87873708921040317</v>
      </c>
      <c r="CC46" s="79">
        <f t="shared" si="19"/>
        <v>0.19943886830954083</v>
      </c>
      <c r="CD46" s="33"/>
      <c r="CF46" s="36">
        <v>28915.348636395611</v>
      </c>
      <c r="CG46" s="36">
        <v>30382.063900981411</v>
      </c>
      <c r="CH46" s="81">
        <f t="shared" si="100"/>
        <v>2505.45511744943</v>
      </c>
      <c r="CI46" s="36">
        <f t="shared" si="101"/>
        <v>2541.3341472435422</v>
      </c>
      <c r="CJ46" s="36">
        <v>22891.063396597052</v>
      </c>
      <c r="CK46" s="81">
        <f t="shared" si="73"/>
        <v>2498.2250414199334</v>
      </c>
      <c r="CM46" s="33">
        <f t="shared" si="84"/>
        <v>2025</v>
      </c>
      <c r="CN46" s="96">
        <f t="shared" si="91"/>
        <v>31420.803753845041</v>
      </c>
      <c r="CO46" s="97">
        <f>IF((CN46-DE$2-CT46)&gt;0, (CN46-DE$2-CT46),0)</f>
        <v>9822.4349655375827</v>
      </c>
      <c r="CP46" s="97">
        <f t="shared" si="93"/>
        <v>16420.803753845041</v>
      </c>
      <c r="CQ46" s="62">
        <f>V46</f>
        <v>25389.288438016985</v>
      </c>
      <c r="CR46" s="98" t="str">
        <f>IF(ROUND(CQ46,-3)&gt;=DE$3,"Y","N")</f>
        <v>Y</v>
      </c>
      <c r="CS46" s="114" t="str">
        <f>IF(CQ46&gt;DE$2,"Y","N")</f>
        <v>Y</v>
      </c>
      <c r="CT46" s="99">
        <f t="shared" si="102"/>
        <v>6598.3687883074581</v>
      </c>
      <c r="CU46" s="100">
        <f>IF(CR46="N",0,IF(CS46="N",(BX46-BT46)+CT46,CT46))</f>
        <v>6598.3687883074581</v>
      </c>
      <c r="CV46" s="100">
        <f>CX46-CT46-(BX46-CX46)</f>
        <v>-2683.5020525418995</v>
      </c>
      <c r="CW46" s="100"/>
      <c r="CX46" s="101">
        <f>BT46</f>
        <v>4973.1910257968066</v>
      </c>
      <c r="CY46" s="102">
        <f>CX46-CU46</f>
        <v>-1625.1777625106515</v>
      </c>
      <c r="CZ46" s="79">
        <v>0.1</v>
      </c>
      <c r="DA46" s="103">
        <f t="shared" si="97"/>
        <v>-659.83687883074583</v>
      </c>
      <c r="DB46" s="107">
        <f>IF(CX46&gt;CT46,CY46,(IF(CY46*-1&gt;(CT46*CZ46),CT46*CZ46*-1,CY46)))</f>
        <v>-659.83687883074583</v>
      </c>
      <c r="DC46" s="33"/>
      <c r="DD46" s="107">
        <f t="shared" si="104"/>
        <v>-9277.900692048921</v>
      </c>
      <c r="DE46" s="105">
        <f t="shared" si="98"/>
        <v>-659.83687883074583</v>
      </c>
      <c r="DF46" s="105">
        <f t="shared" si="99"/>
        <v>659.83687883074583</v>
      </c>
      <c r="DH46" s="66">
        <f>P46/V46</f>
        <v>0.59195498072200736</v>
      </c>
      <c r="DK46" s="106"/>
      <c r="DL46" s="106"/>
      <c r="DS46" s="14"/>
      <c r="DT46" s="14"/>
      <c r="DU46" s="14"/>
      <c r="DW46" s="14"/>
      <c r="DX46" s="14"/>
      <c r="DY46" s="14"/>
      <c r="EG46" s="14"/>
      <c r="EJ46" s="89"/>
      <c r="EL46" s="67"/>
      <c r="EM46" s="67"/>
      <c r="EN46" s="67"/>
      <c r="EO46" s="67"/>
      <c r="EP46" s="67"/>
      <c r="ET46" s="66"/>
      <c r="EW46" s="14"/>
      <c r="EY46" s="14"/>
      <c r="EZ46" s="14"/>
      <c r="FB46" s="14"/>
      <c r="FC46" s="66"/>
      <c r="FE46" s="14"/>
    </row>
    <row r="47" spans="2:161" ht="4.5" customHeight="1" x14ac:dyDescent="0.2">
      <c r="B47" s="4"/>
      <c r="C47" s="4"/>
      <c r="D47" s="4"/>
      <c r="E47" s="4"/>
      <c r="AQ47" s="59"/>
      <c r="EG47" s="14"/>
      <c r="EW47" s="14">
        <f t="shared" si="27"/>
        <v>0</v>
      </c>
    </row>
    <row r="48" spans="2:161" x14ac:dyDescent="0.2">
      <c r="B48" s="4" t="s">
        <v>109</v>
      </c>
      <c r="C48" s="4"/>
      <c r="D48" s="4"/>
      <c r="E48" s="4"/>
      <c r="DE48" s="124">
        <f>SUM(DE21:DE47)</f>
        <v>-8958.9050762166607</v>
      </c>
      <c r="DF48" s="124">
        <f>SUM(DF21:DF47)</f>
        <v>31822.523013934693</v>
      </c>
      <c r="EC48" s="3">
        <f>AVERAGE(EC21:EC47)</f>
        <v>0.64630494604890709</v>
      </c>
      <c r="EG48" s="14"/>
    </row>
    <row r="49" spans="1:150" x14ac:dyDescent="0.2">
      <c r="B49" s="4" t="s">
        <v>110</v>
      </c>
      <c r="C49" s="71">
        <f>ROUND(AVERAGE(C13:C20),-2)</f>
        <v>19400</v>
      </c>
      <c r="D49" s="71">
        <f t="shared" ref="D49:E49" si="121">ROUND(AVERAGE(D13:D20),-2)</f>
        <v>15800</v>
      </c>
      <c r="E49" s="71">
        <f t="shared" si="121"/>
        <v>3200</v>
      </c>
      <c r="G49" s="14">
        <f t="shared" ref="G49:L49" si="122">ROUND(AVERAGE(G13:G20),-2)</f>
        <v>300</v>
      </c>
      <c r="H49" s="14">
        <f t="shared" si="122"/>
        <v>600</v>
      </c>
      <c r="I49" s="14">
        <f t="shared" si="122"/>
        <v>1700</v>
      </c>
      <c r="J49" s="14">
        <f t="shared" si="122"/>
        <v>2600</v>
      </c>
      <c r="K49" s="3" t="e">
        <f t="shared" si="122"/>
        <v>#DIV/0!</v>
      </c>
      <c r="L49" s="14">
        <f t="shared" si="122"/>
        <v>22000</v>
      </c>
      <c r="P49" s="14">
        <f>ROUND(AVERAGE(P13:P20),-2)</f>
        <v>2400</v>
      </c>
      <c r="R49" s="125" t="s">
        <v>106</v>
      </c>
      <c r="S49" s="14">
        <f>ROUND(AVERAGE(S13:S20),-2)</f>
        <v>5500</v>
      </c>
      <c r="T49" s="14">
        <f>ROUND(AVERAGE(T13:T20),-2)</f>
        <v>5500</v>
      </c>
      <c r="V49" s="14">
        <f>ROUND(AVERAGE(V13:V20),-2)</f>
        <v>21800</v>
      </c>
      <c r="W49" s="14"/>
      <c r="X49" s="14">
        <f>ROUND(AVERAGE(X13:X20),-2)</f>
        <v>300</v>
      </c>
      <c r="Y49" s="14">
        <f>ROUND(AVERAGE(Y13:Y20),-2)</f>
        <v>600</v>
      </c>
      <c r="Z49" s="14">
        <f>ROUND(AVERAGE(Z13:Z20),-2)</f>
        <v>7200</v>
      </c>
      <c r="AA49" s="14">
        <f>ROUND(AVERAGE(AA13:AA20),-2)</f>
        <v>8100</v>
      </c>
      <c r="AC49" s="14">
        <f>ROUND(AVERAGE(AC13:AC20),-2)</f>
        <v>5900</v>
      </c>
      <c r="AD49" s="14">
        <f>ROUND(AVERAGE(AD13:AD20),-2)</f>
        <v>3500</v>
      </c>
      <c r="AE49" s="14">
        <f>ROUND(AVERAGE(AE13:AE20),-2)</f>
        <v>9400</v>
      </c>
      <c r="AG49" s="14"/>
      <c r="AH49" s="14"/>
      <c r="AI49" s="14"/>
      <c r="AJ49" s="14">
        <f>ROUND(AVERAGE(AJ13:AJ20),-2)</f>
        <v>39300</v>
      </c>
      <c r="AK49" s="14">
        <f>ROUND(AVERAGE(AK13:AK20),-2)</f>
        <v>1900</v>
      </c>
      <c r="AL49" s="14">
        <f>ROUND(AVERAGE(AL13:AL20),-2)</f>
        <v>41200</v>
      </c>
      <c r="AR49" s="77">
        <f>AVERAGE(AR13:AR30)</f>
        <v>0.43199499977188693</v>
      </c>
      <c r="AS49" s="61">
        <f>AVERAGE(AS13:AS30)</f>
        <v>0.10068705109613391</v>
      </c>
      <c r="AT49" s="61">
        <f>AVERAGE(AT13:AT30)</f>
        <v>3.2930714398283767E-2</v>
      </c>
      <c r="AU49" s="61">
        <f>AVERAGE(AU13:AU30)</f>
        <v>0.14298442301899852</v>
      </c>
      <c r="AV49" s="61"/>
      <c r="AW49" s="33"/>
      <c r="AX49" s="61">
        <f>AVERAGE(AX13:AX47)</f>
        <v>0.20402280478209142</v>
      </c>
      <c r="AY49" s="61">
        <f>AVERAGE(AY13:AY47)</f>
        <v>8.1485308121333616E-2</v>
      </c>
      <c r="AZ49" s="61">
        <f>AVERAGE(AZ13:AZ47)</f>
        <v>6.3589335819167161E-2</v>
      </c>
      <c r="BA49" s="61"/>
      <c r="BB49" s="61">
        <f>AVERAGE(BB13:BB47)</f>
        <v>0.3543340504956603</v>
      </c>
      <c r="BC49" s="61">
        <f>AVERAGE(BC13:BC47)</f>
        <v>4.3534607421361379E-2</v>
      </c>
      <c r="DE49" s="3">
        <v>-9031</v>
      </c>
      <c r="ES49" s="3" t="s">
        <v>111</v>
      </c>
      <c r="ET49" s="66">
        <f>AVERAGE($ES$13:$ET$48)</f>
        <v>0.14892506260996255</v>
      </c>
    </row>
    <row r="50" spans="1:150" x14ac:dyDescent="0.2">
      <c r="B50" s="4" t="s">
        <v>112</v>
      </c>
      <c r="C50" s="71">
        <f>ROUND(AVERAGE(C21:C47),-2)</f>
        <v>15700</v>
      </c>
      <c r="D50" s="71">
        <f>ROUND(AVERAGE(D21:D47),-2)</f>
        <v>13000</v>
      </c>
      <c r="E50" s="71">
        <f>ROUND(AVERAGE(E21:E47),-2)</f>
        <v>2700</v>
      </c>
      <c r="G50" s="14">
        <f t="shared" ref="G50:L50" si="123">ROUND(AVERAGE(G21:G47),-2)</f>
        <v>100</v>
      </c>
      <c r="H50" s="14">
        <f t="shared" si="123"/>
        <v>600</v>
      </c>
      <c r="I50" s="14">
        <f t="shared" si="123"/>
        <v>2200</v>
      </c>
      <c r="J50" s="14">
        <f t="shared" si="123"/>
        <v>2900</v>
      </c>
      <c r="K50" s="3" t="e">
        <f t="shared" si="123"/>
        <v>#DIV/0!</v>
      </c>
      <c r="L50" s="14">
        <f t="shared" si="123"/>
        <v>18600</v>
      </c>
      <c r="P50" s="14">
        <f>ROUND(AVERAGE(P21:P47),-2)</f>
        <v>2600</v>
      </c>
      <c r="R50" s="14">
        <f>ROUND(AVERAGE(R21:R47),-2)</f>
        <v>100</v>
      </c>
      <c r="S50" s="14">
        <f>ROUND(AVERAGE(S21:S47),-2)</f>
        <v>3700</v>
      </c>
      <c r="T50" s="14">
        <f>ROUND(AVERAGE(T21:T47),-2)</f>
        <v>3800</v>
      </c>
      <c r="V50" s="14">
        <f>ROUND(AVERAGE(V21:V47),-2)</f>
        <v>18400</v>
      </c>
      <c r="W50" s="14"/>
      <c r="X50" s="14">
        <f>ROUND(AVERAGE(X21:X47),-2)</f>
        <v>100</v>
      </c>
      <c r="Y50" s="14">
        <f>ROUND(AVERAGE(Y21:Y47),-2)</f>
        <v>700</v>
      </c>
      <c r="Z50" s="14">
        <f>ROUND(AVERAGE(Z21:Z47),-2)</f>
        <v>5900</v>
      </c>
      <c r="AA50" s="14">
        <f>ROUND(AVERAGE(AA21:AA47),-2)</f>
        <v>6700</v>
      </c>
      <c r="AC50" s="14">
        <f>ROUND(AVERAGE(AC21:AC47),-2)</f>
        <v>1900</v>
      </c>
      <c r="AD50" s="14">
        <f>ROUND(AVERAGE(AD21:AD47),-2)</f>
        <v>900</v>
      </c>
      <c r="AE50" s="14">
        <f>ROUND(AVERAGE(AE21:AE47),-2)</f>
        <v>2800</v>
      </c>
      <c r="AG50" s="14" t="e">
        <f t="shared" ref="AG50:AL50" si="124">ROUND(AVERAGE(AG21:AG47),-2)</f>
        <v>#DIV/0!</v>
      </c>
      <c r="AH50" s="14" t="e">
        <f t="shared" si="124"/>
        <v>#DIV/0!</v>
      </c>
      <c r="AI50" s="14" t="e">
        <f t="shared" si="124"/>
        <v>#DIV/0!</v>
      </c>
      <c r="AJ50" s="14">
        <f t="shared" si="124"/>
        <v>27900</v>
      </c>
      <c r="AK50" s="14">
        <f t="shared" si="124"/>
        <v>1200</v>
      </c>
      <c r="AL50" s="14">
        <f t="shared" si="124"/>
        <v>29100</v>
      </c>
      <c r="AR50" s="77">
        <f t="shared" ref="AR50:AU51" si="125">AVERAGE(AR21:AR30)</f>
        <v>0.39321913870816683</v>
      </c>
      <c r="AS50" s="61">
        <f t="shared" si="125"/>
        <v>0.11374661675412474</v>
      </c>
      <c r="AT50" s="61">
        <f t="shared" si="125"/>
        <v>3.5718157917741508E-2</v>
      </c>
      <c r="AU50" s="61">
        <f t="shared" si="125"/>
        <v>0.15712112163898054</v>
      </c>
      <c r="AV50" s="61"/>
      <c r="AW50" s="33"/>
      <c r="AX50" s="61">
        <f t="shared" ref="AX50:AZ51" si="126">AVERAGE(AX21:AX47)</f>
        <v>0.20957825356023385</v>
      </c>
      <c r="AY50" s="61">
        <f t="shared" si="126"/>
        <v>6.2469955298991617E-2</v>
      </c>
      <c r="AZ50" s="61">
        <f t="shared" si="126"/>
        <v>5.2500359853291163E-2</v>
      </c>
      <c r="BA50" s="61"/>
      <c r="BB50" s="61">
        <f>AVERAGE(BB21:BB47)</f>
        <v>0.32951923828481033</v>
      </c>
      <c r="BC50" s="61">
        <f>AVERAGE(BC21:BC47)</f>
        <v>4.2935214036975852E-2</v>
      </c>
      <c r="BE50" s="3" t="s">
        <v>112</v>
      </c>
      <c r="CF50" s="126">
        <f>ROUND(AVERAGE(CF21:CF47),-2)</f>
        <v>27000</v>
      </c>
      <c r="CG50" s="126">
        <f>ROUND(AVERAGE(CG21:CG47),-2)</f>
        <v>28200</v>
      </c>
      <c r="CH50" s="126">
        <f t="shared" ref="CH50:CK50" si="127">ROUND(AVERAGE(CH21:CH47),-2)</f>
        <v>800</v>
      </c>
      <c r="CI50" s="126">
        <f t="shared" si="127"/>
        <v>800</v>
      </c>
      <c r="CJ50" s="126">
        <f t="shared" si="127"/>
        <v>17500</v>
      </c>
      <c r="CK50" s="126">
        <f t="shared" si="127"/>
        <v>800</v>
      </c>
      <c r="DE50" s="124">
        <f>DE49-DE48</f>
        <v>-72.094923783339254</v>
      </c>
      <c r="DK50" s="127">
        <f>AVERAGE(DK21:DK47)</f>
        <v>9.5809157602634851E-2</v>
      </c>
      <c r="DL50" s="127">
        <f>AVERAGE(DL21:DL47)</f>
        <v>3.8475722038987026E-2</v>
      </c>
      <c r="ES50" s="3" t="s">
        <v>113</v>
      </c>
      <c r="ET50" s="66">
        <f>AVERAGE($ES$23:$ET$48)</f>
        <v>0.15609585246267665</v>
      </c>
    </row>
    <row r="51" spans="1:150" x14ac:dyDescent="0.2">
      <c r="B51" s="4" t="s">
        <v>114</v>
      </c>
      <c r="C51" s="71">
        <f>ROUND(AVERAGE(C15:C47),-2)</f>
        <v>16300</v>
      </c>
      <c r="D51" s="71">
        <f>ROUND(AVERAGE(D15:D47),-2)</f>
        <v>13500</v>
      </c>
      <c r="E51" s="71">
        <f>ROUND(AVERAGE(E15:E47),-2)</f>
        <v>2800</v>
      </c>
      <c r="G51" s="14">
        <f>ROUND(AVERAGE(G15:G47),-2)</f>
        <v>100</v>
      </c>
      <c r="H51" s="14">
        <f>ROUND(AVERAGE(H15:H47),-2)</f>
        <v>500</v>
      </c>
      <c r="I51" s="14">
        <f>ROUND(AVERAGE(I15:I47),-2)</f>
        <v>2100</v>
      </c>
      <c r="J51" s="14">
        <f>ROUND(AVERAGE(J15:J47),-2)</f>
        <v>2800</v>
      </c>
      <c r="K51" s="3" t="e">
        <f>ROUND(AVERAGE(K15:K47),-2)</f>
        <v>#DIV/0!</v>
      </c>
      <c r="L51" s="14">
        <f>ROUND(AVERAGE(L15:L47),-1)</f>
        <v>19090</v>
      </c>
      <c r="P51" s="14">
        <f>ROUND(AVERAGE(P15:P47),-2)</f>
        <v>2600</v>
      </c>
      <c r="R51" s="14">
        <f>ROUND(AVERAGE(R15:R47),-2)</f>
        <v>100</v>
      </c>
      <c r="S51" s="14">
        <f>ROUND(AVERAGE(S15:S47),-2)</f>
        <v>4100</v>
      </c>
      <c r="T51" s="14">
        <f>ROUND(AVERAGE(T15:T47),-2)</f>
        <v>4200</v>
      </c>
      <c r="V51" s="14">
        <f>ROUND(AVERAGE(V15:V47),-2)</f>
        <v>19000</v>
      </c>
      <c r="W51" s="14"/>
      <c r="X51" s="14">
        <f>ROUND(AVERAGE(X15:X47),-2)</f>
        <v>100</v>
      </c>
      <c r="Y51" s="14">
        <f>ROUND(AVERAGE(Y15:Y47),-2)</f>
        <v>600</v>
      </c>
      <c r="Z51" s="14">
        <f>ROUND(AVERAGE(Z15:Z47),-2)</f>
        <v>6200</v>
      </c>
      <c r="AA51" s="14">
        <f>ROUND(AVERAGE(AA15:AA47),-2)</f>
        <v>7000</v>
      </c>
      <c r="AC51" s="14">
        <f>ROUND(AVERAGE(AC15:AC47),-2)</f>
        <v>2600</v>
      </c>
      <c r="AD51" s="14">
        <f>ROUND(AVERAGE(AD15:AD47),-2)</f>
        <v>1300</v>
      </c>
      <c r="AE51" s="14">
        <f>ROUND(AVERAGE(AE15:AE47),-2)</f>
        <v>4000</v>
      </c>
      <c r="AG51" s="14" t="e">
        <f t="shared" ref="AG51:AL51" si="128">ROUND(AVERAGE(AG15:AG47),-2)</f>
        <v>#DIV/0!</v>
      </c>
      <c r="AH51" s="14" t="e">
        <f t="shared" si="128"/>
        <v>#DIV/0!</v>
      </c>
      <c r="AI51" s="14" t="e">
        <f t="shared" si="128"/>
        <v>#DIV/0!</v>
      </c>
      <c r="AJ51" s="14">
        <f t="shared" si="128"/>
        <v>29900</v>
      </c>
      <c r="AK51" s="14">
        <f t="shared" si="128"/>
        <v>1300</v>
      </c>
      <c r="AL51" s="14">
        <f t="shared" si="128"/>
        <v>31200</v>
      </c>
      <c r="AR51" s="77">
        <f t="shared" si="125"/>
        <v>0.37754201593894127</v>
      </c>
      <c r="AS51" s="61">
        <f t="shared" si="125"/>
        <v>0.11074912822449556</v>
      </c>
      <c r="AT51" s="61">
        <f t="shared" si="125"/>
        <v>3.3645120747684283E-2</v>
      </c>
      <c r="AU51" s="61">
        <f t="shared" si="125"/>
        <v>0.1522611965865962</v>
      </c>
      <c r="AV51" s="61"/>
      <c r="AW51" s="33"/>
      <c r="AX51" s="61">
        <f t="shared" si="126"/>
        <v>0.20731199209101522</v>
      </c>
      <c r="AY51" s="61">
        <f t="shared" si="126"/>
        <v>6.2883637804020912E-2</v>
      </c>
      <c r="AZ51" s="61">
        <f t="shared" si="126"/>
        <v>5.2061389254677015E-2</v>
      </c>
      <c r="BA51" s="61"/>
      <c r="BB51" s="61">
        <f>AVERAGE(BB22:BB48)</f>
        <v>0.32737056223565453</v>
      </c>
      <c r="BC51" s="61">
        <f>AVERAGE(BC22:BC48)</f>
        <v>4.2825577072119383E-2</v>
      </c>
      <c r="BE51" s="3" t="s">
        <v>114</v>
      </c>
      <c r="CF51" s="126">
        <f>ROUND(AVERAGE(CF15:CF47),-2)</f>
        <v>28900</v>
      </c>
      <c r="CG51" s="126">
        <f>ROUND(AVERAGE(CG15:CG47),-2)</f>
        <v>30300</v>
      </c>
      <c r="CH51" s="126">
        <f t="shared" ref="CH51:CK51" si="129">ROUND(AVERAGE(CH15:CH47),-2)</f>
        <v>400</v>
      </c>
      <c r="CI51" s="126">
        <f t="shared" si="129"/>
        <v>400</v>
      </c>
      <c r="CJ51" s="126">
        <f t="shared" si="129"/>
        <v>18000</v>
      </c>
      <c r="CK51" s="126">
        <f t="shared" si="129"/>
        <v>1000</v>
      </c>
      <c r="DH51" s="66">
        <f>AVERAGE(DH$13:DH47)</f>
        <v>0.13019289171688589</v>
      </c>
      <c r="DK51" s="127">
        <f>AVERAGE(DK22:DK48)</f>
        <v>9.9553367049713418E-2</v>
      </c>
      <c r="DL51" s="127">
        <f>AVERAGE(DL22:DL48)</f>
        <v>3.929213818505925E-2</v>
      </c>
      <c r="ES51" s="3" t="s">
        <v>113</v>
      </c>
      <c r="ET51" s="66">
        <f>AVERAGE($ES$23:$ET$48)</f>
        <v>0.15609585246267665</v>
      </c>
    </row>
    <row r="52" spans="1:150" ht="4.5" customHeight="1" thickBot="1" x14ac:dyDescent="0.25">
      <c r="B52" s="4"/>
      <c r="C52" s="71"/>
      <c r="D52" s="71"/>
      <c r="E52" s="71"/>
      <c r="G52" s="14"/>
      <c r="H52" s="14"/>
      <c r="I52" s="14"/>
      <c r="J52" s="14"/>
      <c r="L52" s="14"/>
      <c r="P52" s="14"/>
      <c r="R52" s="14"/>
      <c r="S52" s="14"/>
      <c r="T52" s="14"/>
      <c r="V52" s="14"/>
      <c r="X52" s="14"/>
      <c r="Y52" s="14"/>
      <c r="Z52" s="14"/>
      <c r="AA52" s="14"/>
      <c r="AC52" s="14"/>
      <c r="AD52" s="14"/>
      <c r="AE52" s="14"/>
      <c r="AG52" s="14"/>
      <c r="AH52" s="14"/>
      <c r="AI52" s="14"/>
      <c r="AJ52" s="14"/>
      <c r="AK52" s="14"/>
      <c r="AL52" s="14"/>
      <c r="AR52" s="128"/>
      <c r="AS52" s="106"/>
      <c r="AT52" s="106"/>
      <c r="AU52" s="106"/>
      <c r="AV52" s="106"/>
      <c r="AX52" s="106"/>
      <c r="AY52" s="106"/>
      <c r="AZ52" s="106"/>
      <c r="BA52" s="106"/>
      <c r="BB52" s="106"/>
      <c r="BC52" s="106"/>
      <c r="BG52" s="3"/>
      <c r="BH52" s="3"/>
      <c r="BI52" s="3"/>
      <c r="BK52" s="3"/>
      <c r="BL52" s="3"/>
      <c r="BM52" s="3"/>
      <c r="CF52" s="8"/>
      <c r="CG52" s="8"/>
      <c r="DK52" s="127"/>
      <c r="DL52" s="127"/>
    </row>
    <row r="53" spans="1:150" ht="13.5" thickBot="1" x14ac:dyDescent="0.25">
      <c r="B53" s="4" t="s">
        <v>115</v>
      </c>
      <c r="C53" s="71">
        <f>MIN(C$13:C47)</f>
        <v>5793.8</v>
      </c>
      <c r="D53" s="71">
        <f>MIN(D$13:D47)</f>
        <v>4591.8</v>
      </c>
      <c r="E53" s="71">
        <f>MIN(E$13:E47)</f>
        <v>1202</v>
      </c>
      <c r="G53" s="14">
        <f>MIN(G$13:G47)</f>
        <v>24</v>
      </c>
      <c r="H53" s="14">
        <f>MIN(H$13:H47)</f>
        <v>82</v>
      </c>
      <c r="I53" s="14">
        <f>MIN(I$13:I47)</f>
        <v>1054.2</v>
      </c>
      <c r="J53" s="14">
        <f>MIN(J$13:J47)</f>
        <v>1276.2</v>
      </c>
      <c r="L53" s="14">
        <f>MIN(L$13:L47)</f>
        <v>7070</v>
      </c>
      <c r="P53" s="14">
        <f>MIN(P$13:P47)</f>
        <v>695.86126291140852</v>
      </c>
      <c r="R53" s="14">
        <f>MIN(R$13:R47)</f>
        <v>1</v>
      </c>
      <c r="S53" s="14">
        <f>MIN(S$13:S47)</f>
        <v>1644.3999999999999</v>
      </c>
      <c r="T53" s="14">
        <f>MIN(T$13:T47)</f>
        <v>1664.1440192695411</v>
      </c>
      <c r="V53" s="14">
        <f>MIN(V$13:V47)</f>
        <v>6489.6612629114088</v>
      </c>
      <c r="X53" s="14">
        <f>MIN(X$13:X47)</f>
        <v>24</v>
      </c>
      <c r="Y53" s="14">
        <f>MIN(Y$13:Y47)</f>
        <v>82</v>
      </c>
      <c r="Z53" s="14">
        <f>MIN(Z$13:Z47)</f>
        <v>3232.2</v>
      </c>
      <c r="AA53" s="14">
        <f>MIN(AA$13:AA47)</f>
        <v>3506.851329458611</v>
      </c>
      <c r="AC53" s="14">
        <f>MIN(AC$13:AC47)</f>
        <v>21.655999999999999</v>
      </c>
      <c r="AD53" s="14">
        <f>MIN(AD$13:AD47)</f>
        <v>237</v>
      </c>
      <c r="AE53" s="14">
        <f>MIN(AE$13:AE47)</f>
        <v>332.68799999999999</v>
      </c>
      <c r="AG53" s="14">
        <f>MIN(AG$13:AG47)</f>
        <v>0</v>
      </c>
      <c r="AH53" s="14">
        <f>MIN(AH$13:AH47)</f>
        <v>0</v>
      </c>
      <c r="AI53" s="14">
        <f>MIN(AI$13:AI47)</f>
        <v>0</v>
      </c>
      <c r="AJ53" s="14">
        <f>MIN(AJ$13:AJ47)</f>
        <v>12583.82126291141</v>
      </c>
      <c r="AK53" s="14">
        <f>MIN(AK$13:AK47)</f>
        <v>186</v>
      </c>
      <c r="AL53" s="14">
        <f>MIN(AL$13:AL47)</f>
        <v>13265.82126291141</v>
      </c>
      <c r="AR53" s="77">
        <f>MIN(AR$13:AR47)</f>
        <v>0.22883754584421351</v>
      </c>
      <c r="AS53" s="106"/>
      <c r="AT53" s="106"/>
      <c r="AU53" s="106"/>
      <c r="AV53" s="106"/>
      <c r="AX53" s="106"/>
      <c r="AY53" s="106"/>
      <c r="AZ53" s="106"/>
      <c r="BA53" s="106"/>
      <c r="BB53" s="129" t="s">
        <v>116</v>
      </c>
      <c r="BC53" s="130">
        <f>AVERAGE(BC28:BC38)</f>
        <v>4.5639101169902656E-2</v>
      </c>
      <c r="BE53" s="3" t="s">
        <v>115</v>
      </c>
      <c r="CF53" s="126">
        <f>MIN(CF$13:CF47)</f>
        <v>11083.400911215593</v>
      </c>
      <c r="CG53" s="126">
        <f>MIN(CG$13:CG47)</f>
        <v>11765.400911215593</v>
      </c>
      <c r="CH53" s="126">
        <f>MIN(CH$13:CH47)</f>
        <v>-2811.5464931200258</v>
      </c>
      <c r="CI53" s="126">
        <f>MIN(CI$13:CI47)</f>
        <v>-2811.5464931200258</v>
      </c>
      <c r="CJ53" s="126">
        <f>MIN(CJ$13:CJ47)</f>
        <v>4989.2409112155929</v>
      </c>
      <c r="CK53" s="126">
        <f>MIN(CK$13:CK47)</f>
        <v>-1872.0443447919861</v>
      </c>
      <c r="DH53" s="66">
        <f>MIN(DH$13:DH47)</f>
        <v>6.856431375067823E-2</v>
      </c>
      <c r="DK53" s="127"/>
      <c r="DL53" s="127"/>
      <c r="EI53" s="131">
        <f>AVERAGE(EI29:EI31)</f>
        <v>1.3022780757253696</v>
      </c>
      <c r="EJ53" s="131">
        <f>AVERAGE(EJ31)</f>
        <v>0.10722613010455148</v>
      </c>
      <c r="ET53" s="66">
        <f>MIN($ES$13:$ET$48)</f>
        <v>7.8982399053394464E-2</v>
      </c>
    </row>
    <row r="54" spans="1:150" x14ac:dyDescent="0.2">
      <c r="B54" s="4" t="s">
        <v>117</v>
      </c>
      <c r="C54" s="71">
        <f>MAX(C$13:C47)</f>
        <v>30740</v>
      </c>
      <c r="D54" s="71">
        <f>MAX(D$13:D47)</f>
        <v>25724</v>
      </c>
      <c r="E54" s="71">
        <f>MAX(E$13:E47)</f>
        <v>5317</v>
      </c>
      <c r="G54" s="14">
        <f>MAX(G$13:G47)</f>
        <v>612</v>
      </c>
      <c r="H54" s="14">
        <f>MAX(H$13:H47)</f>
        <v>1339</v>
      </c>
      <c r="I54" s="14">
        <f>MAX(I$13:I47)</f>
        <v>5457</v>
      </c>
      <c r="J54" s="14">
        <f>MAX(J$13:J47)</f>
        <v>6374</v>
      </c>
      <c r="L54" s="14">
        <f>MAX(L$13:L47)</f>
        <v>35715</v>
      </c>
      <c r="P54" s="14">
        <f>MAX(P$13:P47)</f>
        <v>15029.315747871828</v>
      </c>
      <c r="R54" s="14">
        <f>MAX(R$13:R47)</f>
        <v>525</v>
      </c>
      <c r="S54" s="14">
        <f>MAX(S$13:S47)</f>
        <v>7470</v>
      </c>
      <c r="T54" s="14">
        <f>MAX(T$13:T47)</f>
        <v>7470</v>
      </c>
      <c r="V54" s="14">
        <f>MAX(V$13:V47)</f>
        <v>33451.857158902385</v>
      </c>
      <c r="X54" s="14">
        <f>MAX(X$13:X47)</f>
        <v>612</v>
      </c>
      <c r="Y54" s="14">
        <f>MAX(Y$13:Y47)</f>
        <v>1490</v>
      </c>
      <c r="Z54" s="14">
        <f>MAX(Z$13:Z47)</f>
        <v>11764</v>
      </c>
      <c r="AA54" s="14">
        <f>MAX(AA$13:AA47)</f>
        <v>13009.008815929265</v>
      </c>
      <c r="AC54" s="14">
        <f>MAX(AC$13:AC47)</f>
        <v>7809.3391238589656</v>
      </c>
      <c r="AD54" s="14">
        <f>MAX(AD$13:AD47)</f>
        <v>4583.3275428076986</v>
      </c>
      <c r="AE54" s="14">
        <f>MAX(AE$13:AE47)</f>
        <v>12392.666666666664</v>
      </c>
      <c r="AG54" s="14">
        <f>MAX(AG$13:AG47)</f>
        <v>0</v>
      </c>
      <c r="AH54" s="14">
        <f>MAX(AH$13:AH47)</f>
        <v>0</v>
      </c>
      <c r="AI54" s="14">
        <f>MAX(AI$13:AI47)</f>
        <v>0</v>
      </c>
      <c r="AJ54" s="14">
        <f>MAX(AJ$13:AJ47)</f>
        <v>48774.877654122938</v>
      </c>
      <c r="AK54" s="14">
        <f>MAX(AK$13:AK47)</f>
        <v>2300</v>
      </c>
      <c r="AL54" s="14">
        <f>MAX(AL$13:AL47)</f>
        <v>51074.877654122938</v>
      </c>
      <c r="AR54" s="77">
        <f>MAX(AR$13:AR47)</f>
        <v>0.56800728398794997</v>
      </c>
      <c r="AS54" s="106"/>
      <c r="AT54" s="106"/>
      <c r="AU54" s="106"/>
      <c r="AV54" s="106"/>
      <c r="AX54" s="106"/>
      <c r="AY54" s="106"/>
      <c r="AZ54" s="106"/>
      <c r="BA54" s="106"/>
      <c r="BB54" s="106"/>
      <c r="BC54" s="106"/>
      <c r="BE54" s="3" t="s">
        <v>117</v>
      </c>
      <c r="CF54" s="126">
        <f>MAX(CF$13:CF47)</f>
        <v>47505.849332349782</v>
      </c>
      <c r="CG54" s="126">
        <f>MAX(CG$13:CG47)</f>
        <v>49905.849332349782</v>
      </c>
      <c r="CH54" s="126">
        <f>MAX(CH$13:CH47)</f>
        <v>5154.6610263335315</v>
      </c>
      <c r="CI54" s="126">
        <f>MAX(CI$13:CI47)</f>
        <v>5254.6610263335315</v>
      </c>
      <c r="CJ54" s="126">
        <f>MAX(CJ$13:CJ47)</f>
        <v>31863.840516420514</v>
      </c>
      <c r="CK54" s="126">
        <f>MAX(CK$13:CK47)</f>
        <v>5154.6610263335315</v>
      </c>
      <c r="DH54" s="66">
        <f>MAX(DH$13:DH47)</f>
        <v>0.59195498072200736</v>
      </c>
      <c r="DK54" s="127"/>
      <c r="DL54" s="127"/>
      <c r="EI54" s="131">
        <f>1-EI53</f>
        <v>-0.30227807572536958</v>
      </c>
      <c r="ET54" s="66">
        <f>MIN($ES$23:$ET$48)</f>
        <v>8.8409563409563408E-2</v>
      </c>
    </row>
    <row r="55" spans="1:150" ht="6" customHeight="1" x14ac:dyDescent="0.2">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c r="AJ55" s="13"/>
      <c r="AK55" s="13"/>
      <c r="AL55" s="13"/>
    </row>
    <row r="56" spans="1:150" ht="15.75" customHeight="1" x14ac:dyDescent="0.2">
      <c r="A56" s="132" t="s">
        <v>118</v>
      </c>
      <c r="B56" s="133" t="s">
        <v>119</v>
      </c>
      <c r="AS56" s="985" t="s">
        <v>120</v>
      </c>
      <c r="AT56" s="985"/>
      <c r="BS56" s="33"/>
      <c r="BT56" s="33" t="s">
        <v>121</v>
      </c>
      <c r="BU56" s="33" t="s">
        <v>122</v>
      </c>
      <c r="BV56" s="33" t="s">
        <v>57</v>
      </c>
      <c r="BW56" s="33" t="s">
        <v>43</v>
      </c>
      <c r="BX56" s="33"/>
      <c r="BY56" s="33" t="s">
        <v>123</v>
      </c>
      <c r="BZ56" s="33" t="s">
        <v>124</v>
      </c>
      <c r="CA56" s="33"/>
      <c r="EI56" s="5">
        <f>C33*EI53</f>
        <v>12216.410172764547</v>
      </c>
      <c r="EJ56" s="14">
        <f>$C33+EI56</f>
        <v>21597.210172764546</v>
      </c>
      <c r="EK56" s="89">
        <f>EI56/EJ56</f>
        <v>0.56564760332657293</v>
      </c>
      <c r="ET56" s="66">
        <f>MAX($ES$13:$ET$48)</f>
        <v>0.21926133475453194</v>
      </c>
    </row>
    <row r="57" spans="1:150" ht="15.75" customHeight="1" thickBot="1" x14ac:dyDescent="0.25">
      <c r="A57" s="132" t="s">
        <v>125</v>
      </c>
      <c r="B57" s="133" t="s">
        <v>126</v>
      </c>
      <c r="AR57" s="134">
        <v>2011</v>
      </c>
      <c r="AS57" s="134">
        <v>2011</v>
      </c>
      <c r="AT57" s="135">
        <v>2012</v>
      </c>
      <c r="AU57" s="134">
        <v>2013</v>
      </c>
      <c r="AV57" s="134">
        <v>2014</v>
      </c>
      <c r="AW57" s="134">
        <v>2015</v>
      </c>
      <c r="AX57" s="134">
        <v>2016</v>
      </c>
      <c r="AY57" s="134">
        <v>2017</v>
      </c>
      <c r="AZ57" s="33">
        <v>2018</v>
      </c>
      <c r="BA57" s="33">
        <v>2019</v>
      </c>
      <c r="BB57" s="33">
        <v>2020</v>
      </c>
      <c r="BC57" s="33">
        <v>2021</v>
      </c>
      <c r="BD57" s="33">
        <v>2022</v>
      </c>
      <c r="BE57" s="33">
        <v>2023</v>
      </c>
      <c r="BF57" s="33">
        <v>2024</v>
      </c>
      <c r="BG57" s="33">
        <v>2025</v>
      </c>
      <c r="BO57" s="33">
        <v>1986</v>
      </c>
      <c r="BS57" s="33">
        <f t="shared" ref="BS57:BS75" si="130">B13</f>
        <v>1992</v>
      </c>
      <c r="BT57" s="77"/>
      <c r="BU57" s="77"/>
      <c r="BV57" s="77"/>
      <c r="BW57" s="77"/>
      <c r="BX57" s="33"/>
      <c r="BY57" s="62">
        <f t="shared" ref="BY57:BY74" si="131">P13</f>
        <v>1411.6632990978599</v>
      </c>
      <c r="BZ57" s="62">
        <f t="shared" ref="BZ57:BZ74" si="132">V13</f>
        <v>18219.663299097861</v>
      </c>
      <c r="CA57" s="136">
        <f>BY57/BZ57</f>
        <v>7.7480207835001966E-2</v>
      </c>
      <c r="EI57" s="5">
        <f>C33*(EJ53)</f>
        <v>1005.8668812847765</v>
      </c>
      <c r="EJ57" s="14">
        <f>$C33+EI57</f>
        <v>10386.666881284777</v>
      </c>
      <c r="EK57" s="89">
        <f>EI57/EJ57</f>
        <v>9.6842123924971393E-2</v>
      </c>
      <c r="ET57" s="66">
        <f>MAX($ES$23:$ET$48)</f>
        <v>0.19755851022471038</v>
      </c>
    </row>
    <row r="58" spans="1:150" ht="15.75" customHeight="1" thickBot="1" x14ac:dyDescent="0.25">
      <c r="A58" s="132" t="s">
        <v>127</v>
      </c>
      <c r="B58" s="133" t="s">
        <v>128</v>
      </c>
      <c r="AQ58" s="137"/>
      <c r="AR58" s="138">
        <f>CA74</f>
        <v>0.10722613010455163</v>
      </c>
      <c r="AS58" s="138">
        <f>AK31/AJ31</f>
        <v>3.0275309397643526E-2</v>
      </c>
      <c r="AT58" s="139">
        <f>AK31/AJ31</f>
        <v>3.0275309397643526E-2</v>
      </c>
      <c r="AU58" s="140">
        <f>AT58</f>
        <v>3.0275309397643526E-2</v>
      </c>
      <c r="AV58" s="140">
        <f>AU58</f>
        <v>3.0275309397643526E-2</v>
      </c>
      <c r="AW58" s="140">
        <f>AV58</f>
        <v>3.0275309397643526E-2</v>
      </c>
      <c r="AX58" s="140">
        <f>AW58</f>
        <v>3.0275309397643526E-2</v>
      </c>
      <c r="AY58" s="140">
        <f>AX58</f>
        <v>3.0275309397643526E-2</v>
      </c>
      <c r="AZ58" s="78">
        <f>BC39</f>
        <v>4.5639101169902656E-2</v>
      </c>
      <c r="BA58" s="78">
        <f>BC39</f>
        <v>4.5639101169902656E-2</v>
      </c>
      <c r="BB58" s="78">
        <f>BC41</f>
        <v>4.5639101169902656E-2</v>
      </c>
      <c r="BC58" s="78">
        <f>$BC42</f>
        <v>4.5639101169902656E-2</v>
      </c>
      <c r="BD58" s="78">
        <f>$BC42</f>
        <v>4.5639101169902656E-2</v>
      </c>
      <c r="BE58" s="78">
        <f>$BC46</f>
        <v>4.5639101169902656E-2</v>
      </c>
      <c r="BF58" s="78">
        <f>$BC46</f>
        <v>4.5639101169902656E-2</v>
      </c>
      <c r="BG58" s="78">
        <f>$BC46</f>
        <v>4.5639101169902656E-2</v>
      </c>
      <c r="BJ58" s="17"/>
      <c r="BO58" s="78">
        <f>BC53</f>
        <v>4.5639101169902656E-2</v>
      </c>
      <c r="BS58" s="33">
        <f t="shared" si="130"/>
        <v>1993</v>
      </c>
      <c r="BT58" s="77">
        <f>G13/$J13</f>
        <v>0.18777770989835516</v>
      </c>
      <c r="BU58" s="77">
        <f>I13/$J13</f>
        <v>0.40138184311815206</v>
      </c>
      <c r="BV58" s="77">
        <f>H13/$J13</f>
        <v>0.4108404469834927</v>
      </c>
      <c r="BW58" s="77">
        <f>J13/$J13</f>
        <v>1</v>
      </c>
      <c r="BX58" s="33"/>
      <c r="BY58" s="62">
        <f t="shared" si="131"/>
        <v>1826.5940488712602</v>
      </c>
      <c r="BZ58" s="62">
        <f t="shared" si="132"/>
        <v>26640.594048871259</v>
      </c>
      <c r="CA58" s="136">
        <f>BY58/BZ58</f>
        <v>6.856431375067823E-2</v>
      </c>
    </row>
    <row r="59" spans="1:150" ht="15.75" customHeight="1" x14ac:dyDescent="0.2">
      <c r="A59" s="132" t="s">
        <v>129</v>
      </c>
      <c r="B59" s="133" t="s">
        <v>130</v>
      </c>
      <c r="AN59" s="3">
        <v>676</v>
      </c>
      <c r="AR59" s="14"/>
      <c r="AS59" s="14"/>
      <c r="AT59" s="14"/>
      <c r="BG59" s="3"/>
      <c r="BS59" s="33">
        <f t="shared" si="130"/>
        <v>1994</v>
      </c>
      <c r="BT59" s="77">
        <f>G14/$J14</f>
        <v>0.19298074669137172</v>
      </c>
      <c r="BU59" s="77">
        <f>I14/$J14</f>
        <v>0.49085246331259752</v>
      </c>
      <c r="BV59" s="77">
        <f>H14/$J14</f>
        <v>0.31616678999603071</v>
      </c>
      <c r="BW59" s="77">
        <f>J14/$J14</f>
        <v>1</v>
      </c>
      <c r="BX59" s="33"/>
      <c r="BY59" s="62">
        <f t="shared" si="131"/>
        <v>5544.3153698031483</v>
      </c>
      <c r="BZ59" s="62">
        <f t="shared" si="132"/>
        <v>29183.650598567037</v>
      </c>
      <c r="CA59" s="136">
        <f t="shared" ref="CA59:CA64" si="133">BY59/BZ59</f>
        <v>0.18998018603181135</v>
      </c>
    </row>
    <row r="60" spans="1:150" ht="15.75" x14ac:dyDescent="0.2">
      <c r="A60" s="132" t="s">
        <v>131</v>
      </c>
      <c r="B60" s="133" t="s">
        <v>132</v>
      </c>
      <c r="AN60" s="3">
        <v>1731</v>
      </c>
      <c r="AR60" s="127">
        <f t="shared" ref="AR60:BE60" si="134">1-AR58</f>
        <v>0.89277386989544838</v>
      </c>
      <c r="AS60" s="127">
        <f t="shared" si="134"/>
        <v>0.96972469060235644</v>
      </c>
      <c r="AT60" s="127">
        <f t="shared" si="134"/>
        <v>0.96972469060235644</v>
      </c>
      <c r="AU60" s="127">
        <f t="shared" si="134"/>
        <v>0.96972469060235644</v>
      </c>
      <c r="AV60" s="127">
        <f t="shared" si="134"/>
        <v>0.96972469060235644</v>
      </c>
      <c r="AW60" s="127">
        <f t="shared" si="134"/>
        <v>0.96972469060235644</v>
      </c>
      <c r="AX60" s="127">
        <f t="shared" si="134"/>
        <v>0.96972469060235644</v>
      </c>
      <c r="AY60" s="127">
        <f t="shared" si="134"/>
        <v>0.96972469060235644</v>
      </c>
      <c r="AZ60" s="127">
        <f t="shared" si="134"/>
        <v>0.95436089883009734</v>
      </c>
      <c r="BA60" s="127">
        <f t="shared" si="134"/>
        <v>0.95436089883009734</v>
      </c>
      <c r="BB60" s="127">
        <f t="shared" si="134"/>
        <v>0.95436089883009734</v>
      </c>
      <c r="BC60" s="127">
        <f t="shared" si="134"/>
        <v>0.95436089883009734</v>
      </c>
      <c r="BD60" s="127">
        <f t="shared" si="134"/>
        <v>0.95436089883009734</v>
      </c>
      <c r="BE60" s="127">
        <f t="shared" si="134"/>
        <v>0.95436089883009734</v>
      </c>
      <c r="BF60" s="127">
        <f>1-BF58</f>
        <v>0.95436089883009734</v>
      </c>
      <c r="BG60" s="127">
        <f>1-BG58</f>
        <v>0.95436089883009734</v>
      </c>
      <c r="BJ60" s="127"/>
      <c r="BO60" s="127">
        <f>1-BO58</f>
        <v>0.95436089883009734</v>
      </c>
      <c r="BS60" s="33">
        <f t="shared" si="130"/>
        <v>1995</v>
      </c>
      <c r="BT60" s="77">
        <f t="shared" ref="BT60:BT65" si="135">G16/$J16</f>
        <v>2.7913572764141074E-2</v>
      </c>
      <c r="BU60" s="77">
        <f t="shared" ref="BU60:BU65" si="136">I16/$J16</f>
        <v>0.70264291235977494</v>
      </c>
      <c r="BV60" s="77">
        <f t="shared" ref="BV60:BV65" si="137">H16/$J16</f>
        <v>0.26944351487608398</v>
      </c>
      <c r="BW60" s="77">
        <f t="shared" ref="BW60:BW65" si="138">J16/$J16</f>
        <v>1</v>
      </c>
      <c r="BX60" s="33"/>
      <c r="BY60" s="62">
        <f t="shared" si="131"/>
        <v>1457.1598087303146</v>
      </c>
      <c r="BZ60" s="62">
        <f t="shared" si="132"/>
        <v>10641.769466678001</v>
      </c>
      <c r="CA60" s="136">
        <f t="shared" si="133"/>
        <v>0.13692833821415137</v>
      </c>
    </row>
    <row r="61" spans="1:150" ht="15.75" customHeight="1" x14ac:dyDescent="0.2">
      <c r="A61" s="132" t="s">
        <v>133</v>
      </c>
      <c r="B61" s="141" t="s">
        <v>134</v>
      </c>
      <c r="AN61" s="3">
        <v>1824</v>
      </c>
      <c r="AQ61" s="3" t="s">
        <v>63</v>
      </c>
      <c r="AR61" s="72">
        <f>C32/AR60</f>
        <v>11822.926673734422</v>
      </c>
      <c r="AS61" s="72">
        <f>AJ32/AS60</f>
        <v>19973.873885487057</v>
      </c>
      <c r="AT61" s="72">
        <f>$AJ33/AT60</f>
        <v>17033.341676618234</v>
      </c>
      <c r="AU61" s="72">
        <f>$AJ34/AU60</f>
        <v>18398.351767917116</v>
      </c>
      <c r="AV61" s="72">
        <f>$AJ35/AV60</f>
        <v>26116.077380151026</v>
      </c>
      <c r="AW61" s="72">
        <f>$AJ36/AW60</f>
        <v>35309.614117498211</v>
      </c>
      <c r="AX61" s="72">
        <f>$AJ37/AX60</f>
        <v>20456.535226008629</v>
      </c>
      <c r="AY61" s="72">
        <f>$AJ38/AY60</f>
        <v>12976.694710222149</v>
      </c>
      <c r="AZ61" s="72">
        <f>$AJ39/AZ60</f>
        <v>27800.170373527821</v>
      </c>
      <c r="BA61" s="72">
        <f>$AJ40/BA60</f>
        <v>22456.580573343737</v>
      </c>
      <c r="BB61" s="72">
        <f>$AJ41/BB60</f>
        <v>21932.145058013324</v>
      </c>
      <c r="BC61" s="72">
        <f>$AJ42/BC60</f>
        <v>20673.235188588485</v>
      </c>
      <c r="BD61" s="72">
        <f>$AJ43/BD60</f>
        <v>24176.332260641415</v>
      </c>
      <c r="BE61" s="72">
        <f>$AJ44/BE60</f>
        <v>16561.868792186044</v>
      </c>
      <c r="BF61" s="72">
        <f>$AJ45/BF60</f>
        <v>24629.744829736515</v>
      </c>
      <c r="BG61" s="72">
        <f>$AJ46/BG60</f>
        <v>32923.398048224954</v>
      </c>
      <c r="BJ61" s="14"/>
      <c r="BO61" s="14">
        <f>$AJ7/BO60</f>
        <v>50637.911797365414</v>
      </c>
      <c r="BS61" s="33">
        <f t="shared" si="130"/>
        <v>1996</v>
      </c>
      <c r="BT61" s="77">
        <f t="shared" si="135"/>
        <v>2.075976917669126E-2</v>
      </c>
      <c r="BU61" s="77">
        <f t="shared" si="136"/>
        <v>0.77715023291959995</v>
      </c>
      <c r="BV61" s="77">
        <f t="shared" si="137"/>
        <v>0.2020899979037088</v>
      </c>
      <c r="BW61" s="77">
        <f t="shared" si="138"/>
        <v>1</v>
      </c>
      <c r="BX61" s="33"/>
      <c r="BY61" s="62">
        <f t="shared" si="131"/>
        <v>1658.5558798556424</v>
      </c>
      <c r="BZ61" s="62">
        <f t="shared" si="132"/>
        <v>23380.221350943037</v>
      </c>
      <c r="CA61" s="136">
        <f t="shared" si="133"/>
        <v>7.093841649145656E-2</v>
      </c>
    </row>
    <row r="62" spans="1:150" ht="15.75" customHeight="1" x14ac:dyDescent="0.2">
      <c r="A62" s="132"/>
      <c r="B62" s="141" t="s">
        <v>135</v>
      </c>
      <c r="AN62" s="3">
        <v>2214</v>
      </c>
      <c r="AQ62" s="3" t="s">
        <v>62</v>
      </c>
      <c r="AR62" s="14">
        <f>C32</f>
        <v>10555.2</v>
      </c>
      <c r="AS62" s="14">
        <f>AJ32</f>
        <v>19369.158673734422</v>
      </c>
      <c r="AT62" s="14">
        <f>$AJ33</f>
        <v>16517.651987282839</v>
      </c>
      <c r="AU62" s="14">
        <f>$AJ34</f>
        <v>17841.335975736743</v>
      </c>
      <c r="AV62" s="14">
        <f>$AJ35</f>
        <v>25325.405057214153</v>
      </c>
      <c r="AW62" s="14">
        <f>$AJ36</f>
        <v>34240.60462537955</v>
      </c>
      <c r="AX62" s="14">
        <f>$AJ37</f>
        <v>19837.207292837425</v>
      </c>
      <c r="AY62" s="14">
        <f>$AJ38</f>
        <v>12583.82126291141</v>
      </c>
      <c r="AZ62" s="14">
        <f>$AJ39</f>
        <v>26531.395585309852</v>
      </c>
      <c r="BA62" s="14">
        <f>$AJ40</f>
        <v>21431.682420626832</v>
      </c>
      <c r="BB62" s="14">
        <f>$AJ41</f>
        <v>20931.181670837672</v>
      </c>
      <c r="BC62" s="14">
        <f>$AJ42</f>
        <v>19729.727316307304</v>
      </c>
      <c r="BD62" s="14">
        <f>$AJ43</f>
        <v>23072.94618668082</v>
      </c>
      <c r="BE62" s="14">
        <f>$AJ44</f>
        <v>15805.999986816811</v>
      </c>
      <c r="BF62" s="14">
        <f>$AJ45</f>
        <v>23505.665413663282</v>
      </c>
      <c r="BG62" s="14">
        <f>$AJ46</f>
        <v>31420.803753845041</v>
      </c>
      <c r="BJ62" s="14"/>
      <c r="BO62" s="14">
        <f>$AJ7</f>
        <v>48326.843017812847</v>
      </c>
      <c r="BS62" s="33">
        <f t="shared" si="130"/>
        <v>1997</v>
      </c>
      <c r="BT62" s="77">
        <f t="shared" si="135"/>
        <v>1.9332995545298253E-2</v>
      </c>
      <c r="BU62" s="77">
        <f t="shared" si="136"/>
        <v>0.8849450996816397</v>
      </c>
      <c r="BV62" s="77">
        <f t="shared" si="137"/>
        <v>9.5721904773062083E-2</v>
      </c>
      <c r="BW62" s="77">
        <f t="shared" si="138"/>
        <v>1</v>
      </c>
      <c r="BX62" s="33"/>
      <c r="BY62" s="62">
        <f t="shared" si="131"/>
        <v>2646.9332372816107</v>
      </c>
      <c r="BZ62" s="62">
        <f t="shared" si="132"/>
        <v>24019.206529207077</v>
      </c>
      <c r="CA62" s="136">
        <f t="shared" si="133"/>
        <v>0.11020069435112149</v>
      </c>
    </row>
    <row r="63" spans="1:150" ht="15.75" customHeight="1" thickBot="1" x14ac:dyDescent="0.25">
      <c r="A63" s="132"/>
      <c r="B63" s="141" t="s">
        <v>136</v>
      </c>
      <c r="AN63" s="3">
        <f>SUM(AN59:AN62)</f>
        <v>6445</v>
      </c>
      <c r="AR63" s="142">
        <f t="shared" ref="AR63:BC63" si="139">AR61-AR62</f>
        <v>1267.7266737344216</v>
      </c>
      <c r="AS63" s="143">
        <f t="shared" si="139"/>
        <v>604.71521175263479</v>
      </c>
      <c r="AT63" s="143">
        <f t="shared" si="139"/>
        <v>515.68968933539509</v>
      </c>
      <c r="AU63" s="143">
        <f t="shared" si="139"/>
        <v>557.01579218037296</v>
      </c>
      <c r="AV63" s="143">
        <f t="shared" si="139"/>
        <v>790.67232293687266</v>
      </c>
      <c r="AW63" s="143">
        <f t="shared" si="139"/>
        <v>1069.009492118661</v>
      </c>
      <c r="AX63" s="143">
        <f t="shared" si="139"/>
        <v>619.32793317120377</v>
      </c>
      <c r="AY63" s="143">
        <f t="shared" si="139"/>
        <v>392.87344731073972</v>
      </c>
      <c r="AZ63" s="143">
        <f t="shared" si="139"/>
        <v>1268.7747882179683</v>
      </c>
      <c r="BA63" s="143">
        <f t="shared" si="139"/>
        <v>1024.8981527169053</v>
      </c>
      <c r="BB63" s="143">
        <f t="shared" si="139"/>
        <v>1000.9633871756523</v>
      </c>
      <c r="BC63" s="143">
        <f t="shared" si="139"/>
        <v>943.50787228118133</v>
      </c>
      <c r="BD63" s="143">
        <f>BD61-BD62</f>
        <v>1103.3860739605952</v>
      </c>
      <c r="BE63" s="143">
        <f>BE61-BE62</f>
        <v>755.86880536923309</v>
      </c>
      <c r="BF63" s="143">
        <f>BF61-BF62</f>
        <v>1124.079416073233</v>
      </c>
      <c r="BG63" s="143">
        <f>BG61-BG62</f>
        <v>1502.5942943799128</v>
      </c>
      <c r="BJ63" s="14"/>
      <c r="BO63" s="143">
        <f>BO61-BO62</f>
        <v>2311.0687795525664</v>
      </c>
      <c r="BS63" s="33">
        <f t="shared" si="130"/>
        <v>1998</v>
      </c>
      <c r="BT63" s="77">
        <f t="shared" si="135"/>
        <v>0.16151685393258428</v>
      </c>
      <c r="BU63" s="77">
        <f t="shared" si="136"/>
        <v>0.74672284644194753</v>
      </c>
      <c r="BV63" s="77">
        <f t="shared" si="137"/>
        <v>9.1760299625468167E-2</v>
      </c>
      <c r="BW63" s="77">
        <f t="shared" si="138"/>
        <v>1</v>
      </c>
      <c r="BX63" s="33"/>
      <c r="BY63" s="62">
        <f t="shared" si="131"/>
        <v>2571.0462452599677</v>
      </c>
      <c r="BZ63" s="62">
        <f t="shared" si="132"/>
        <v>27479.046245259968</v>
      </c>
      <c r="CA63" s="136">
        <f t="shared" si="133"/>
        <v>9.3563882178169244E-2</v>
      </c>
    </row>
    <row r="64" spans="1:150" ht="15.75" customHeight="1" thickBot="1" x14ac:dyDescent="0.25">
      <c r="B64" s="141" t="s">
        <v>137</v>
      </c>
      <c r="AR64" s="144">
        <f t="shared" ref="AR64:BC64" si="140">AR63/AR61</f>
        <v>0.10722613010455169</v>
      </c>
      <c r="AS64" s="144">
        <f t="shared" si="140"/>
        <v>3.027530939764362E-2</v>
      </c>
      <c r="AT64" s="144">
        <f t="shared" si="140"/>
        <v>3.0275309397643637E-2</v>
      </c>
      <c r="AU64" s="144">
        <f t="shared" si="140"/>
        <v>3.0275309397643554E-2</v>
      </c>
      <c r="AV64" s="144">
        <f t="shared" si="140"/>
        <v>3.0275309397643557E-2</v>
      </c>
      <c r="AW64" s="144">
        <f t="shared" si="140"/>
        <v>3.027530939764355E-2</v>
      </c>
      <c r="AX64" s="144">
        <f t="shared" si="140"/>
        <v>3.027530939764347E-2</v>
      </c>
      <c r="AY64" s="144">
        <f t="shared" si="140"/>
        <v>3.0275309397643529E-2</v>
      </c>
      <c r="AZ64" s="144">
        <f t="shared" si="140"/>
        <v>4.5639101169902711E-2</v>
      </c>
      <c r="BA64" s="144">
        <f t="shared" si="140"/>
        <v>4.5639101169902649E-2</v>
      </c>
      <c r="BB64" s="144">
        <f t="shared" si="140"/>
        <v>4.5639101169902732E-2</v>
      </c>
      <c r="BC64" s="144">
        <f t="shared" si="140"/>
        <v>4.5639101169902649E-2</v>
      </c>
      <c r="BD64" s="144">
        <f>BD63/BD61</f>
        <v>4.563910116990267E-2</v>
      </c>
      <c r="BE64" s="144">
        <f>BE63/BE61</f>
        <v>4.5639101169902697E-2</v>
      </c>
      <c r="BF64" s="144">
        <f>BF63/BF61</f>
        <v>4.5639101169902711E-2</v>
      </c>
      <c r="BG64" s="144">
        <f>BG63/BG61</f>
        <v>4.5639101169902607E-2</v>
      </c>
      <c r="BJ64" s="14"/>
      <c r="BO64" s="144">
        <f>BO63/BO61</f>
        <v>4.5639101169902635E-2</v>
      </c>
      <c r="BS64" s="33">
        <f t="shared" si="130"/>
        <v>1999</v>
      </c>
      <c r="BT64" s="77">
        <f t="shared" si="135"/>
        <v>0.10249601699415826</v>
      </c>
      <c r="BU64" s="77">
        <f t="shared" si="136"/>
        <v>0.85395645246946361</v>
      </c>
      <c r="BV64" s="77">
        <f t="shared" si="137"/>
        <v>4.3547530536378123E-2</v>
      </c>
      <c r="BW64" s="77">
        <f t="shared" si="138"/>
        <v>1</v>
      </c>
      <c r="BX64" s="33"/>
      <c r="BY64" s="62">
        <f t="shared" si="131"/>
        <v>1726.8221050253512</v>
      </c>
      <c r="BZ64" s="62">
        <f t="shared" si="132"/>
        <v>14795.822105025351</v>
      </c>
      <c r="CA64" s="136">
        <f t="shared" si="133"/>
        <v>0.11671011538039795</v>
      </c>
    </row>
    <row r="65" spans="1:79" ht="15.75" customHeight="1" x14ac:dyDescent="0.2">
      <c r="A65" s="132" t="s">
        <v>138</v>
      </c>
      <c r="B65" s="133" t="s">
        <v>139</v>
      </c>
      <c r="AR65" s="145">
        <f>P32/V32</f>
        <v>0.10722613010455162</v>
      </c>
      <c r="BE65" s="14"/>
      <c r="BF65" s="14"/>
      <c r="BJ65" s="14"/>
      <c r="BS65" s="33">
        <f t="shared" si="130"/>
        <v>2000</v>
      </c>
      <c r="BT65" s="77">
        <f t="shared" si="135"/>
        <v>1.3725490196078431E-2</v>
      </c>
      <c r="BU65" s="77">
        <f t="shared" si="136"/>
        <v>0.69971988795518203</v>
      </c>
      <c r="BV65" s="77">
        <f t="shared" si="137"/>
        <v>0.28655462184873948</v>
      </c>
      <c r="BW65" s="77">
        <f t="shared" si="138"/>
        <v>1</v>
      </c>
      <c r="BX65" s="33"/>
      <c r="BY65" s="62">
        <f t="shared" si="131"/>
        <v>1919.7638124780051</v>
      </c>
      <c r="BZ65" s="62">
        <f t="shared" si="132"/>
        <v>20004.763812478006</v>
      </c>
      <c r="CA65" s="136">
        <f>BY65/BZ65</f>
        <v>9.5965332581459881E-2</v>
      </c>
    </row>
    <row r="66" spans="1:79" ht="15.75" customHeight="1" x14ac:dyDescent="0.2">
      <c r="A66" s="132" t="s">
        <v>140</v>
      </c>
      <c r="B66" s="133" t="s">
        <v>141</v>
      </c>
      <c r="AS66" s="136">
        <f>AK32/AL32</f>
        <v>7.3297371878488143E-2</v>
      </c>
      <c r="AT66" s="136">
        <f>AK31/AL31</f>
        <v>2.9385649759329051E-2</v>
      </c>
      <c r="AZ66" s="3">
        <f>AZ62/(1-AZ58)</f>
        <v>27800.170373527821</v>
      </c>
      <c r="BC66" s="3">
        <f>BO62/(1-BO58)</f>
        <v>50637.911797365414</v>
      </c>
      <c r="BS66" s="33">
        <f t="shared" si="130"/>
        <v>2001</v>
      </c>
      <c r="BT66" s="77">
        <f t="shared" ref="BT66:BT74" si="141">G23/$J23</f>
        <v>5.5331623305240017E-2</v>
      </c>
      <c r="BU66" s="77">
        <f t="shared" ref="BU66:BU74" si="142">I23/$J23</f>
        <v>0.68706485892268232</v>
      </c>
      <c r="BV66" s="77">
        <f t="shared" ref="BV66:BV74" si="143">H23/$J23</f>
        <v>0.25760351777207768</v>
      </c>
      <c r="BW66" s="77">
        <f t="shared" ref="BW66:BW74" si="144">J23/$J23</f>
        <v>1</v>
      </c>
      <c r="BX66" s="33"/>
      <c r="BY66" s="62">
        <f t="shared" si="131"/>
        <v>3534.8405164205146</v>
      </c>
      <c r="BZ66" s="62">
        <f t="shared" si="132"/>
        <v>32875.840516420518</v>
      </c>
      <c r="CA66" s="136">
        <f t="shared" ref="CA66:CA73" si="145">BY66/BZ66</f>
        <v>0.1075209169072032</v>
      </c>
    </row>
    <row r="67" spans="1:79" ht="15.75" customHeight="1" x14ac:dyDescent="0.2">
      <c r="A67" s="132" t="s">
        <v>142</v>
      </c>
      <c r="B67" s="133" t="s">
        <v>143</v>
      </c>
      <c r="BS67" s="33">
        <f t="shared" si="130"/>
        <v>2002</v>
      </c>
      <c r="BT67" s="77">
        <f t="shared" si="141"/>
        <v>5.008301051466519E-2</v>
      </c>
      <c r="BU67" s="77">
        <f t="shared" si="142"/>
        <v>0.66491422246817933</v>
      </c>
      <c r="BV67" s="77">
        <f t="shared" si="143"/>
        <v>0.28500276701715549</v>
      </c>
      <c r="BW67" s="77">
        <f t="shared" si="144"/>
        <v>1</v>
      </c>
      <c r="BX67" s="33"/>
      <c r="BY67" s="62">
        <f t="shared" si="131"/>
        <v>1468.6692465993819</v>
      </c>
      <c r="BZ67" s="62">
        <f t="shared" si="132"/>
        <v>15828.669246599382</v>
      </c>
      <c r="CA67" s="136">
        <f t="shared" si="145"/>
        <v>9.278538983401334E-2</v>
      </c>
    </row>
    <row r="68" spans="1:79" ht="15.75" customHeight="1" x14ac:dyDescent="0.2">
      <c r="A68" s="132" t="s">
        <v>144</v>
      </c>
      <c r="B68" s="133" t="s">
        <v>145</v>
      </c>
      <c r="BS68" s="33">
        <f t="shared" si="130"/>
        <v>2003</v>
      </c>
      <c r="BT68" s="77">
        <f t="shared" si="141"/>
        <v>8.0212038780777012E-2</v>
      </c>
      <c r="BU68" s="77">
        <f t="shared" si="142"/>
        <v>0.69554300062774643</v>
      </c>
      <c r="BV68" s="77">
        <f t="shared" si="143"/>
        <v>0.22424496059147658</v>
      </c>
      <c r="BW68" s="77">
        <f t="shared" si="144"/>
        <v>1</v>
      </c>
      <c r="BX68" s="33"/>
      <c r="BY68" s="62">
        <f t="shared" si="131"/>
        <v>2711.8571589023868</v>
      </c>
      <c r="BZ68" s="62">
        <f t="shared" si="132"/>
        <v>33451.857158902385</v>
      </c>
      <c r="CA68" s="136">
        <f t="shared" si="145"/>
        <v>8.1067461995325815E-2</v>
      </c>
    </row>
    <row r="69" spans="1:79" x14ac:dyDescent="0.2">
      <c r="B69" s="133" t="s">
        <v>146</v>
      </c>
      <c r="AR69" s="3" t="s">
        <v>147</v>
      </c>
      <c r="BS69" s="33">
        <f t="shared" si="130"/>
        <v>2004</v>
      </c>
      <c r="BT69" s="77">
        <f t="shared" si="141"/>
        <v>5.832138668056823E-2</v>
      </c>
      <c r="BU69" s="77">
        <f t="shared" si="142"/>
        <v>0.74618793170858855</v>
      </c>
      <c r="BV69" s="77">
        <f t="shared" si="143"/>
        <v>0.19549068161084324</v>
      </c>
      <c r="BW69" s="77">
        <f t="shared" si="144"/>
        <v>1</v>
      </c>
      <c r="BX69" s="33"/>
      <c r="BY69" s="62">
        <f t="shared" si="131"/>
        <v>1437.8891676501578</v>
      </c>
      <c r="BZ69" s="62">
        <f t="shared" si="132"/>
        <v>15174.489167650157</v>
      </c>
      <c r="CA69" s="136">
        <f t="shared" si="145"/>
        <v>9.4757006431263072E-2</v>
      </c>
    </row>
    <row r="70" spans="1:79" ht="15.75" x14ac:dyDescent="0.2">
      <c r="A70" s="132" t="s">
        <v>148</v>
      </c>
      <c r="B70" s="133" t="s">
        <v>149</v>
      </c>
      <c r="BS70" s="33">
        <f t="shared" si="130"/>
        <v>2005</v>
      </c>
      <c r="BT70" s="77">
        <f t="shared" si="141"/>
        <v>9.0254136647929709E-2</v>
      </c>
      <c r="BU70" s="77">
        <f t="shared" si="142"/>
        <v>0.70944501622991063</v>
      </c>
      <c r="BV70" s="77">
        <f t="shared" si="143"/>
        <v>0.20030084712215979</v>
      </c>
      <c r="BW70" s="77">
        <f t="shared" si="144"/>
        <v>1</v>
      </c>
      <c r="BX70" s="33"/>
      <c r="BY70" s="62">
        <f t="shared" si="131"/>
        <v>1676.895006786744</v>
      </c>
      <c r="BZ70" s="62">
        <f t="shared" si="132"/>
        <v>14786.695006786744</v>
      </c>
      <c r="CA70" s="136">
        <f t="shared" si="145"/>
        <v>0.11340566678470672</v>
      </c>
    </row>
    <row r="71" spans="1:79" ht="15.75" x14ac:dyDescent="0.2">
      <c r="A71" s="132"/>
      <c r="B71" s="132"/>
      <c r="C71" s="132"/>
      <c r="D71" s="132"/>
      <c r="E71" s="132"/>
      <c r="F71" s="132"/>
      <c r="G71" s="132"/>
      <c r="H71" s="132"/>
      <c r="I71" s="132"/>
      <c r="J71" s="132"/>
      <c r="K71" s="132"/>
      <c r="L71" s="132"/>
      <c r="M71" s="132"/>
      <c r="N71" s="132"/>
      <c r="O71" s="132"/>
      <c r="P71" s="132"/>
      <c r="Q71" s="132"/>
      <c r="R71" s="132"/>
      <c r="S71" s="132"/>
      <c r="T71" s="132"/>
      <c r="U71" s="132"/>
      <c r="V71" s="132"/>
      <c r="W71" s="132"/>
      <c r="X71" s="132"/>
      <c r="Y71" s="132"/>
      <c r="Z71" s="132"/>
      <c r="AA71" s="132"/>
      <c r="AB71" s="132"/>
      <c r="AC71" s="132"/>
      <c r="AD71" s="132"/>
      <c r="AE71" s="132"/>
      <c r="AF71" s="132"/>
      <c r="AG71" s="132"/>
      <c r="AH71" s="132"/>
      <c r="AI71" s="132"/>
      <c r="AJ71" s="132"/>
      <c r="AK71" s="132"/>
      <c r="AL71" s="132"/>
      <c r="AM71" s="132"/>
      <c r="AN71" s="132"/>
      <c r="BS71" s="33">
        <f t="shared" si="130"/>
        <v>2006</v>
      </c>
      <c r="BT71" s="77">
        <f t="shared" si="141"/>
        <v>4.7229219143576822E-3</v>
      </c>
      <c r="BU71" s="77">
        <f t="shared" si="142"/>
        <v>0.80537625944584379</v>
      </c>
      <c r="BV71" s="77">
        <f t="shared" si="143"/>
        <v>0.18990081863979846</v>
      </c>
      <c r="BW71" s="77">
        <f t="shared" si="144"/>
        <v>1</v>
      </c>
      <c r="BX71" s="33"/>
      <c r="BY71" s="62">
        <f t="shared" si="131"/>
        <v>4019.2394342094994</v>
      </c>
      <c r="BZ71" s="62">
        <f t="shared" si="132"/>
        <v>26599.839434209498</v>
      </c>
      <c r="CA71" s="136">
        <f t="shared" si="145"/>
        <v>0.1511001389369456</v>
      </c>
    </row>
    <row r="72" spans="1:79" ht="15.75" x14ac:dyDescent="0.2">
      <c r="A72" s="132"/>
      <c r="B72" s="132"/>
      <c r="C72" s="132"/>
      <c r="D72" s="132"/>
      <c r="E72" s="132"/>
      <c r="F72" s="132"/>
      <c r="G72" s="132"/>
      <c r="H72" s="132"/>
      <c r="I72" s="132"/>
      <c r="J72" s="132"/>
      <c r="K72" s="132"/>
      <c r="L72" s="132"/>
      <c r="M72" s="132"/>
      <c r="N72" s="132"/>
      <c r="O72" s="132"/>
      <c r="P72" s="132"/>
      <c r="Q72" s="132"/>
      <c r="R72" s="132"/>
      <c r="S72" s="132"/>
      <c r="T72" s="132"/>
      <c r="U72" s="132"/>
      <c r="V72" s="132"/>
      <c r="W72" s="132"/>
      <c r="X72" s="132"/>
      <c r="Y72" s="132"/>
      <c r="Z72" s="132"/>
      <c r="AA72" s="132"/>
      <c r="AB72" s="132"/>
      <c r="AC72" s="132"/>
      <c r="AD72" s="132"/>
      <c r="AE72" s="132"/>
      <c r="AF72" s="132"/>
      <c r="AG72" s="132"/>
      <c r="AH72" s="132"/>
      <c r="AI72" s="132"/>
      <c r="AJ72" s="132"/>
      <c r="AK72" s="132"/>
      <c r="AL72" s="132"/>
      <c r="AM72" s="132"/>
      <c r="AN72" s="132"/>
      <c r="BS72" s="33">
        <f t="shared" si="130"/>
        <v>2007</v>
      </c>
      <c r="BT72" s="77">
        <f t="shared" si="141"/>
        <v>8.5243974132863026E-2</v>
      </c>
      <c r="BU72" s="77">
        <f t="shared" si="142"/>
        <v>0.53507740544777582</v>
      </c>
      <c r="BV72" s="77">
        <f t="shared" si="143"/>
        <v>0.37967862041936118</v>
      </c>
      <c r="BW72" s="77">
        <f t="shared" si="144"/>
        <v>1</v>
      </c>
      <c r="BX72" s="33"/>
      <c r="BY72" s="62">
        <f t="shared" si="131"/>
        <v>2479.0042478160467</v>
      </c>
      <c r="BZ72" s="62">
        <f t="shared" si="132"/>
        <v>23119.404247816048</v>
      </c>
      <c r="CA72" s="136">
        <f t="shared" si="145"/>
        <v>0.10722613010455161</v>
      </c>
    </row>
    <row r="73" spans="1:79" ht="15.75" x14ac:dyDescent="0.2">
      <c r="A73" s="132"/>
      <c r="B73" s="132"/>
      <c r="C73" s="132"/>
      <c r="D73" s="132"/>
      <c r="E73" s="132"/>
      <c r="F73" s="132"/>
      <c r="G73" s="132"/>
      <c r="H73" s="132"/>
      <c r="I73" s="132"/>
      <c r="J73" s="132"/>
      <c r="K73" s="132"/>
      <c r="L73" s="132"/>
      <c r="M73" s="132"/>
      <c r="N73" s="132"/>
      <c r="O73" s="132"/>
      <c r="P73" s="132"/>
      <c r="Q73" s="132"/>
      <c r="R73" s="132"/>
      <c r="S73" s="132"/>
      <c r="T73" s="132"/>
      <c r="U73" s="132"/>
      <c r="V73" s="132"/>
      <c r="W73" s="132"/>
      <c r="X73" s="132"/>
      <c r="Y73" s="132"/>
      <c r="Z73" s="132"/>
      <c r="AA73" s="132"/>
      <c r="AB73" s="132"/>
      <c r="AC73" s="132"/>
      <c r="AD73" s="132"/>
      <c r="AE73" s="132"/>
      <c r="AF73" s="132"/>
      <c r="AG73" s="132"/>
      <c r="AH73" s="132"/>
      <c r="AI73" s="132"/>
      <c r="AJ73" s="132"/>
      <c r="AK73" s="132"/>
      <c r="AL73" s="132"/>
      <c r="AM73" s="132"/>
      <c r="AN73" s="132"/>
      <c r="BS73" s="33">
        <f t="shared" si="130"/>
        <v>2008</v>
      </c>
      <c r="BT73" s="77">
        <f t="shared" si="141"/>
        <v>3.679212449659424E-2</v>
      </c>
      <c r="BU73" s="77">
        <f t="shared" si="142"/>
        <v>0.69696216377467313</v>
      </c>
      <c r="BV73" s="77">
        <f t="shared" si="143"/>
        <v>0.26624571172873268</v>
      </c>
      <c r="BW73" s="77">
        <f t="shared" si="144"/>
        <v>1</v>
      </c>
      <c r="BX73" s="33"/>
      <c r="BY73" s="62">
        <f t="shared" si="131"/>
        <v>2527.8147033456153</v>
      </c>
      <c r="BZ73" s="62">
        <f t="shared" si="132"/>
        <v>23574.614703345615</v>
      </c>
      <c r="CA73" s="136">
        <f t="shared" si="145"/>
        <v>0.10722613010455175</v>
      </c>
    </row>
    <row r="74" spans="1:79" x14ac:dyDescent="0.2">
      <c r="A74" s="3">
        <v>1</v>
      </c>
      <c r="B74" s="3">
        <v>1</v>
      </c>
      <c r="C74" s="3">
        <v>2</v>
      </c>
      <c r="D74" s="3">
        <v>3</v>
      </c>
      <c r="E74" s="3">
        <v>4</v>
      </c>
      <c r="F74" s="3">
        <v>5</v>
      </c>
      <c r="G74" s="3">
        <v>6</v>
      </c>
      <c r="H74" s="3">
        <v>7</v>
      </c>
      <c r="I74" s="3">
        <v>8</v>
      </c>
      <c r="J74" s="3">
        <v>9</v>
      </c>
      <c r="K74" s="3">
        <v>10</v>
      </c>
      <c r="L74" s="3">
        <v>11</v>
      </c>
      <c r="M74" s="3">
        <v>12</v>
      </c>
      <c r="N74" s="3">
        <v>13</v>
      </c>
      <c r="O74" s="3">
        <v>14</v>
      </c>
      <c r="P74" s="3">
        <v>15</v>
      </c>
      <c r="Q74" s="3">
        <v>16</v>
      </c>
      <c r="R74" s="3">
        <v>17</v>
      </c>
      <c r="S74" s="3">
        <v>18</v>
      </c>
      <c r="T74" s="3">
        <v>19</v>
      </c>
      <c r="U74" s="3">
        <v>20</v>
      </c>
      <c r="V74" s="3">
        <v>21</v>
      </c>
      <c r="W74" s="3">
        <v>22</v>
      </c>
      <c r="X74" s="3">
        <v>23</v>
      </c>
      <c r="Y74" s="3">
        <v>24</v>
      </c>
      <c r="Z74" s="3">
        <v>25</v>
      </c>
      <c r="AA74" s="3">
        <v>26</v>
      </c>
      <c r="AB74" s="3">
        <v>27</v>
      </c>
      <c r="AC74" s="3">
        <v>28</v>
      </c>
      <c r="AD74" s="3">
        <v>29</v>
      </c>
      <c r="AE74" s="3">
        <v>30</v>
      </c>
      <c r="AF74" s="3">
        <v>31</v>
      </c>
      <c r="AG74" s="3">
        <v>32</v>
      </c>
      <c r="AH74" s="3">
        <v>33</v>
      </c>
      <c r="AI74" s="3">
        <v>34</v>
      </c>
      <c r="AJ74" s="3">
        <v>35</v>
      </c>
      <c r="AK74" s="3">
        <v>36</v>
      </c>
      <c r="AL74" s="3">
        <v>37</v>
      </c>
      <c r="BS74" s="33">
        <f t="shared" si="130"/>
        <v>2009</v>
      </c>
      <c r="BT74" s="77">
        <f t="shared" si="141"/>
        <v>3.7577931505679389E-2</v>
      </c>
      <c r="BU74" s="77">
        <f t="shared" si="142"/>
        <v>0.73439234776667517</v>
      </c>
      <c r="BV74" s="77">
        <f t="shared" si="143"/>
        <v>0.22802972072764538</v>
      </c>
      <c r="BW74" s="77">
        <f t="shared" si="144"/>
        <v>1</v>
      </c>
      <c r="BX74" s="33"/>
      <c r="BY74" s="62">
        <f t="shared" si="131"/>
        <v>3182.8164264657844</v>
      </c>
      <c r="BZ74" s="62">
        <f t="shared" si="132"/>
        <v>29683.216426465784</v>
      </c>
      <c r="CA74" s="136">
        <f>BY74/BZ74</f>
        <v>0.10722613010455163</v>
      </c>
    </row>
    <row r="75" spans="1:79" ht="15.75" x14ac:dyDescent="0.2">
      <c r="A75" s="132"/>
      <c r="BS75" s="33">
        <f t="shared" si="130"/>
        <v>2010</v>
      </c>
      <c r="BT75" s="77"/>
      <c r="BU75" s="77"/>
      <c r="BV75" s="77"/>
      <c r="BW75" s="77"/>
      <c r="BX75" s="33"/>
      <c r="BY75" s="62"/>
      <c r="BZ75" s="62"/>
      <c r="CA75" s="136"/>
    </row>
    <row r="76" spans="1:79" ht="15.75" x14ac:dyDescent="0.2">
      <c r="A76" s="132"/>
      <c r="B76" s="3">
        <v>2018</v>
      </c>
      <c r="BS76" s="3" t="s">
        <v>150</v>
      </c>
      <c r="BT76" s="131">
        <f>AVERAGE(BT65:BT73)</f>
        <v>5.274296740767484E-2</v>
      </c>
      <c r="BU76" s="131">
        <f>AVERAGE(BU65:BU73)</f>
        <v>0.69336563850895361</v>
      </c>
      <c r="BV76" s="131">
        <f>AVERAGE(BV65:BV73)</f>
        <v>0.25389139408337158</v>
      </c>
      <c r="BW76" s="131">
        <f>AVERAGE(BW65:BW73)</f>
        <v>1</v>
      </c>
      <c r="BY76" s="14">
        <f>AVERAGE(BY65:BY75)</f>
        <v>2495.878972067414</v>
      </c>
      <c r="BZ76" s="14">
        <f>AVERAGE(BZ65:BZ75)</f>
        <v>23509.938972067415</v>
      </c>
      <c r="CA76" s="145">
        <f>BY76/BZ76</f>
        <v>0.10616271590635828</v>
      </c>
    </row>
    <row r="77" spans="1:79" ht="15.75" x14ac:dyDescent="0.2">
      <c r="A77" s="132"/>
    </row>
    <row r="78" spans="1:79" ht="15.75" x14ac:dyDescent="0.2">
      <c r="A78" s="132"/>
      <c r="B78" s="3">
        <v>2017</v>
      </c>
      <c r="C78" s="14">
        <f>AVERAGE(C15:C37)</f>
        <v>18068.568854335848</v>
      </c>
      <c r="D78" s="14"/>
      <c r="E78" s="14"/>
      <c r="L78" s="14">
        <f>AVERAGE(L15:L37)</f>
        <v>21115.260869565216</v>
      </c>
      <c r="M78" s="3">
        <f>L38/L78</f>
        <v>0.33482892035638762</v>
      </c>
      <c r="AJ78" s="14">
        <f>AVERAGE(AJ15:AJ37)</f>
        <v>33110.952677598922</v>
      </c>
      <c r="AK78" s="3">
        <f>AJ38/AJ78</f>
        <v>0.38005011167875402</v>
      </c>
      <c r="AR78" s="66">
        <f>AVERAGE(AR15:AR37)</f>
        <v>0.41695664598683618</v>
      </c>
      <c r="AS78" s="66">
        <f>AR38-AR78</f>
        <v>9.3841733224316937E-2</v>
      </c>
    </row>
    <row r="79" spans="1:79" ht="15.75" x14ac:dyDescent="0.2">
      <c r="A79" s="132"/>
      <c r="L79" s="66"/>
      <c r="AR79" s="146"/>
    </row>
    <row r="80" spans="1:79" ht="15.75" x14ac:dyDescent="0.2">
      <c r="A80" s="132"/>
    </row>
    <row r="81" spans="1:38" ht="15.75" x14ac:dyDescent="0.2">
      <c r="A81" s="132"/>
    </row>
    <row r="82" spans="1:38" ht="15.75" x14ac:dyDescent="0.2">
      <c r="A82" s="132"/>
    </row>
    <row r="83" spans="1:38" ht="15.75" x14ac:dyDescent="0.2">
      <c r="A83" s="132"/>
    </row>
    <row r="84" spans="1:38" ht="15.75" x14ac:dyDescent="0.2">
      <c r="A84" s="132"/>
      <c r="B84" s="3" t="s">
        <v>151</v>
      </c>
      <c r="C84" s="14">
        <f>ROUND(AVERAGE(C13:C29),-3)</f>
        <v>20000</v>
      </c>
      <c r="D84" s="14"/>
      <c r="E84" s="14"/>
      <c r="F84" s="14" t="e">
        <f t="shared" ref="F84:AL84" si="146">ROUND(AVERAGE(F13:F29),-3)</f>
        <v>#DIV/0!</v>
      </c>
      <c r="G84" s="14">
        <f t="shared" si="146"/>
        <v>0</v>
      </c>
      <c r="H84" s="14">
        <f t="shared" si="146"/>
        <v>1000</v>
      </c>
      <c r="I84" s="14">
        <f t="shared" si="146"/>
        <v>2000</v>
      </c>
      <c r="J84" s="14">
        <f t="shared" si="146"/>
        <v>3000</v>
      </c>
      <c r="K84" s="14" t="e">
        <f t="shared" si="146"/>
        <v>#DIV/0!</v>
      </c>
      <c r="L84" s="14">
        <f t="shared" si="146"/>
        <v>23000</v>
      </c>
      <c r="M84" s="14"/>
      <c r="N84" s="14">
        <f t="shared" si="146"/>
        <v>1000</v>
      </c>
      <c r="O84" s="14">
        <f t="shared" si="146"/>
        <v>0</v>
      </c>
      <c r="P84" s="14">
        <f t="shared" si="146"/>
        <v>2000</v>
      </c>
      <c r="Q84" s="14" t="e">
        <f t="shared" si="146"/>
        <v>#DIV/0!</v>
      </c>
      <c r="R84" s="14">
        <f t="shared" si="146"/>
        <v>0</v>
      </c>
      <c r="S84" s="14">
        <f t="shared" si="146"/>
        <v>5000</v>
      </c>
      <c r="T84" s="14">
        <f t="shared" si="146"/>
        <v>5000</v>
      </c>
      <c r="U84" s="14"/>
      <c r="V84" s="14">
        <f t="shared" si="146"/>
        <v>22000</v>
      </c>
      <c r="W84" s="14"/>
      <c r="X84" s="14">
        <f t="shared" si="146"/>
        <v>0</v>
      </c>
      <c r="Y84" s="14">
        <f t="shared" si="146"/>
        <v>1000</v>
      </c>
      <c r="Z84" s="14">
        <f t="shared" si="146"/>
        <v>7000</v>
      </c>
      <c r="AA84" s="14">
        <f t="shared" si="146"/>
        <v>8000</v>
      </c>
      <c r="AB84" s="14"/>
      <c r="AC84" s="14">
        <f t="shared" si="146"/>
        <v>5000</v>
      </c>
      <c r="AD84" s="14">
        <f t="shared" si="146"/>
        <v>2000</v>
      </c>
      <c r="AE84" s="14">
        <f t="shared" si="146"/>
        <v>7000</v>
      </c>
      <c r="AF84" s="14"/>
      <c r="AG84" s="14" t="e">
        <f t="shared" si="146"/>
        <v>#DIV/0!</v>
      </c>
      <c r="AH84" s="14" t="e">
        <f t="shared" si="146"/>
        <v>#DIV/0!</v>
      </c>
      <c r="AI84" s="14" t="e">
        <f t="shared" si="146"/>
        <v>#DIV/0!</v>
      </c>
      <c r="AJ84" s="14">
        <f t="shared" si="146"/>
        <v>38000</v>
      </c>
      <c r="AK84" s="14">
        <f t="shared" si="146"/>
        <v>2000</v>
      </c>
      <c r="AL84" s="14">
        <f t="shared" si="146"/>
        <v>40000</v>
      </c>
    </row>
    <row r="85" spans="1:38" ht="15.75" x14ac:dyDescent="0.2">
      <c r="A85" s="132"/>
    </row>
    <row r="86" spans="1:38" ht="15.75" x14ac:dyDescent="0.2">
      <c r="A86" s="132"/>
    </row>
    <row r="87" spans="1:38" ht="15.75" x14ac:dyDescent="0.2">
      <c r="A87" s="132"/>
      <c r="AJ87" s="14">
        <f>AJ41-AJ51</f>
        <v>-8968.8183291623282</v>
      </c>
    </row>
    <row r="88" spans="1:38" x14ac:dyDescent="0.2">
      <c r="AJ88" s="145">
        <f>AJ87/AJ51</f>
        <v>-0.29996047923619829</v>
      </c>
    </row>
    <row r="90" spans="1:38" x14ac:dyDescent="0.2">
      <c r="L90" s="3">
        <v>2017</v>
      </c>
      <c r="N90" s="3">
        <v>1998</v>
      </c>
      <c r="O90" s="3">
        <f>L90-N90+1</f>
        <v>20</v>
      </c>
      <c r="T90" s="18" t="s">
        <v>152</v>
      </c>
      <c r="U90" s="18"/>
      <c r="V90" s="3">
        <f>COUNTIF(V32:V47,"&gt;=15000")</f>
        <v>6</v>
      </c>
    </row>
    <row r="91" spans="1:38" x14ac:dyDescent="0.2">
      <c r="V91" s="3">
        <f>COUNT(V32:V48)</f>
        <v>15</v>
      </c>
    </row>
    <row r="93" spans="1:38" x14ac:dyDescent="0.2">
      <c r="L93" s="66">
        <f>L41/L51</f>
        <v>0.8019381875327396</v>
      </c>
    </row>
  </sheetData>
  <mergeCells count="34">
    <mergeCell ref="CF4:CI4"/>
    <mergeCell ref="DA4:DA5"/>
    <mergeCell ref="DB4:DB5"/>
    <mergeCell ref="CV5:CV6"/>
    <mergeCell ref="CW5:CW6"/>
    <mergeCell ref="AS56:AT56"/>
    <mergeCell ref="X4:AA4"/>
    <mergeCell ref="AC4:AE4"/>
    <mergeCell ref="AG4:AI4"/>
    <mergeCell ref="AJ4:AJ5"/>
    <mergeCell ref="BG4:BI4"/>
    <mergeCell ref="BK4:BM4"/>
    <mergeCell ref="C3:L3"/>
    <mergeCell ref="P3:T3"/>
    <mergeCell ref="V3:AJ3"/>
    <mergeCell ref="AK3:AK5"/>
    <mergeCell ref="AL3:AL5"/>
    <mergeCell ref="C4:E4"/>
    <mergeCell ref="G4:J4"/>
    <mergeCell ref="L4:L5"/>
    <mergeCell ref="R4:T4"/>
    <mergeCell ref="V4:V5"/>
    <mergeCell ref="CD1:CD5"/>
    <mergeCell ref="BS1:BS5"/>
    <mergeCell ref="BT1:BT5"/>
    <mergeCell ref="BU1:BU5"/>
    <mergeCell ref="BV1:BV5"/>
    <mergeCell ref="BW1:BW5"/>
    <mergeCell ref="BX1:BX5"/>
    <mergeCell ref="BY1:BY5"/>
    <mergeCell ref="BZ1:BZ5"/>
    <mergeCell ref="CA1:CA5"/>
    <mergeCell ref="CB1:CB5"/>
    <mergeCell ref="CC1:CC5"/>
  </mergeCells>
  <conditionalFormatting sqref="CJ7:CJ46">
    <cfRule type="cellIs" dxfId="6" priority="1" operator="lessThan">
      <formula>15000</formula>
    </cfRule>
  </conditionalFormatting>
  <pageMargins left="0.7" right="0.7" top="0.75" bottom="0.75" header="0.3" footer="0.3"/>
  <pageSetup scale="54" orientation="landscape" r:id="rId1"/>
  <headerFooter>
    <oddHeader>&amp;R&amp;"Calibri"&amp;12&amp;K000000 Unclassified - Non-Classifié&amp;1#_x000D_</oddHead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54232-47E1-48E1-B078-54896C1FD310}">
  <sheetPr>
    <tabColor rgb="FF00FF00"/>
    <pageSetUpPr fitToPage="1"/>
  </sheetPr>
  <dimension ref="A1:FE93"/>
  <sheetViews>
    <sheetView showGridLines="0" zoomScale="110" zoomScaleNormal="110" workbookViewId="0">
      <pane xSplit="6" ySplit="6" topLeftCell="G13" activePane="bottomRight" state="frozen"/>
      <selection activeCell="C49" sqref="C49:E49"/>
      <selection pane="topRight" activeCell="C49" sqref="C49:E49"/>
      <selection pane="bottomLeft" activeCell="C49" sqref="C49:E49"/>
      <selection pane="bottomRight" activeCell="R39" sqref="R39"/>
    </sheetView>
  </sheetViews>
  <sheetFormatPr defaultColWidth="9.140625" defaultRowHeight="12.75" x14ac:dyDescent="0.2"/>
  <cols>
    <col min="1" max="1" width="1.42578125" style="3" customWidth="1"/>
    <col min="2" max="2" width="12.7109375" style="3" customWidth="1"/>
    <col min="3" max="4" width="7" style="3" customWidth="1"/>
    <col min="5" max="5" width="7.42578125" style="3" bestFit="1" customWidth="1"/>
    <col min="6" max="6" width="1.5703125" style="3" customWidth="1"/>
    <col min="7" max="7" width="6" style="3" customWidth="1"/>
    <col min="8" max="8" width="6.5703125" style="3" customWidth="1"/>
    <col min="9" max="9" width="7.85546875" style="3" customWidth="1"/>
    <col min="10" max="10" width="6.5703125" style="3" customWidth="1"/>
    <col min="11" max="11" width="1.42578125" style="3" customWidth="1"/>
    <col min="12" max="12" width="7.42578125" style="3" customWidth="1"/>
    <col min="13" max="13" width="5.85546875" style="3" customWidth="1"/>
    <col min="14" max="14" width="7.85546875" style="3" customWidth="1"/>
    <col min="15" max="15" width="6.42578125" style="3" customWidth="1"/>
    <col min="16" max="16" width="8.85546875" style="3" customWidth="1"/>
    <col min="17" max="17" width="2.42578125" style="3" customWidth="1"/>
    <col min="18" max="18" width="6.42578125" style="3" bestFit="1" customWidth="1"/>
    <col min="19" max="19" width="8" style="3" customWidth="1"/>
    <col min="20" max="20" width="7.140625" style="3" customWidth="1"/>
    <col min="21" max="21" width="6" style="3" bestFit="1" customWidth="1"/>
    <col min="22" max="22" width="8.85546875" style="3" bestFit="1" customWidth="1"/>
    <col min="23" max="23" width="2" style="3" customWidth="1"/>
    <col min="24" max="24" width="5.5703125" style="3" bestFit="1" customWidth="1"/>
    <col min="25" max="25" width="6.5703125" style="3" customWidth="1"/>
    <col min="26" max="26" width="7.42578125" style="3" customWidth="1"/>
    <col min="27" max="27" width="7.140625" style="3" bestFit="1" customWidth="1"/>
    <col min="28" max="28" width="2.85546875" style="3" customWidth="1"/>
    <col min="29" max="29" width="7.42578125" style="3" customWidth="1"/>
    <col min="30" max="30" width="7.42578125" style="3" bestFit="1" customWidth="1"/>
    <col min="31" max="31" width="7.140625" style="3" bestFit="1" customWidth="1"/>
    <col min="32" max="32" width="2.42578125" style="3" customWidth="1"/>
    <col min="33" max="33" width="7.42578125" style="3" hidden="1" customWidth="1"/>
    <col min="34" max="34" width="6" style="3" hidden="1" customWidth="1"/>
    <col min="35" max="35" width="7.5703125" style="3" hidden="1" customWidth="1"/>
    <col min="36" max="36" width="8.85546875" style="3" customWidth="1"/>
    <col min="37" max="37" width="7.85546875" style="3" customWidth="1"/>
    <col min="38" max="38" width="8" style="3" customWidth="1"/>
    <col min="39" max="39" width="5.5703125" style="3" customWidth="1"/>
    <col min="40" max="40" width="9.42578125" style="3" customWidth="1"/>
    <col min="41" max="41" width="8.5703125" style="3" customWidth="1"/>
    <col min="42" max="42" width="8.5703125" style="4" customWidth="1"/>
    <col min="43" max="43" width="8.5703125" style="3" customWidth="1"/>
    <col min="44" max="44" width="7.85546875" style="3" customWidth="1"/>
    <col min="45" max="45" width="9.140625" style="3" customWidth="1"/>
    <col min="46" max="46" width="7.5703125" style="3" customWidth="1"/>
    <col min="47" max="48" width="9.140625" style="3" customWidth="1"/>
    <col min="49" max="49" width="6.85546875" style="3" customWidth="1"/>
    <col min="50" max="50" width="7.42578125" style="3" customWidth="1"/>
    <col min="51" max="53" width="6.5703125" style="3" customWidth="1"/>
    <col min="54" max="54" width="6.42578125" style="3" customWidth="1"/>
    <col min="55" max="57" width="7.42578125" style="3" customWidth="1"/>
    <col min="58" max="58" width="7.42578125" style="3" hidden="1" customWidth="1"/>
    <col min="59" max="59" width="11" style="5" hidden="1" customWidth="1"/>
    <col min="60" max="60" width="7.42578125" style="5" hidden="1" customWidth="1"/>
    <col min="61" max="61" width="7.42578125" style="6" hidden="1" customWidth="1"/>
    <col min="62" max="62" width="7.42578125" style="3" hidden="1" customWidth="1"/>
    <col min="63" max="63" width="11" style="6" hidden="1" customWidth="1"/>
    <col min="64" max="65" width="7.42578125" style="6" hidden="1" customWidth="1"/>
    <col min="66" max="66" width="5.5703125" style="3" hidden="1" customWidth="1"/>
    <col min="67" max="70" width="7.42578125" style="3" hidden="1" customWidth="1"/>
    <col min="71" max="71" width="10.140625" style="3" hidden="1" customWidth="1"/>
    <col min="72" max="78" width="0" style="3" hidden="1" customWidth="1"/>
    <col min="79" max="79" width="9.42578125" style="3" hidden="1" customWidth="1"/>
    <col min="80" max="83" width="0" style="3" hidden="1" customWidth="1"/>
    <col min="84" max="85" width="9.140625" style="7"/>
    <col min="86" max="89" width="9.140625" style="8"/>
    <col min="90" max="91" width="9.140625" style="3"/>
    <col min="92" max="94" width="7.5703125" style="18" customWidth="1"/>
    <col min="95" max="95" width="9.140625" style="3"/>
    <col min="96" max="96" width="11.42578125" style="3" customWidth="1"/>
    <col min="97" max="98" width="9.140625" style="3"/>
    <col min="99" max="99" width="13.42578125" style="3" customWidth="1"/>
    <col min="100" max="101" width="11.5703125" style="3" customWidth="1"/>
    <col min="102" max="105" width="9.140625" style="3"/>
    <col min="106" max="107" width="11.140625" style="3" customWidth="1"/>
    <col min="108" max="116" width="9.140625" style="3"/>
    <col min="117" max="117" width="2.85546875" style="3" customWidth="1"/>
    <col min="118" max="138" width="9.140625" style="3"/>
    <col min="139" max="139" width="8.42578125" style="3" bestFit="1" customWidth="1"/>
    <col min="140" max="142" width="9.140625" style="3"/>
    <col min="143" max="143" width="12.140625" style="3" customWidth="1"/>
    <col min="144" max="144" width="9.140625" style="3"/>
    <col min="145" max="145" width="12.140625" style="3" customWidth="1"/>
    <col min="146" max="16384" width="9.140625" style="3"/>
  </cols>
  <sheetData>
    <row r="1" spans="1:161" ht="26.25" customHeight="1" x14ac:dyDescent="0.25">
      <c r="A1" s="1" t="s">
        <v>0</v>
      </c>
      <c r="B1" s="1"/>
      <c r="C1" s="2" t="s">
        <v>629</v>
      </c>
      <c r="D1" s="2"/>
      <c r="E1" s="2"/>
      <c r="AN1" s="3">
        <v>0.25</v>
      </c>
      <c r="AO1" s="3">
        <f>AN1*V39</f>
        <v>5159.6005107898927</v>
      </c>
      <c r="AX1" s="3" t="s">
        <v>1</v>
      </c>
      <c r="BS1" s="970" t="s">
        <v>2</v>
      </c>
      <c r="BT1" s="970" t="s">
        <v>3</v>
      </c>
      <c r="BU1" s="970" t="s">
        <v>4</v>
      </c>
      <c r="BV1" s="970" t="s">
        <v>5</v>
      </c>
      <c r="BW1" s="970" t="s">
        <v>6</v>
      </c>
      <c r="BX1" s="970" t="s">
        <v>7</v>
      </c>
      <c r="BY1" s="970" t="s">
        <v>8</v>
      </c>
      <c r="BZ1" s="970" t="s">
        <v>9</v>
      </c>
      <c r="CA1" s="970" t="s">
        <v>10</v>
      </c>
      <c r="CB1" s="970" t="s">
        <v>11</v>
      </c>
      <c r="CC1" s="970" t="s">
        <v>12</v>
      </c>
      <c r="CD1" s="970" t="s">
        <v>13</v>
      </c>
      <c r="CM1" s="9" t="s">
        <v>14</v>
      </c>
      <c r="CN1" s="10"/>
      <c r="CO1" s="10"/>
      <c r="CP1" s="10"/>
      <c r="CQ1" s="9"/>
      <c r="CR1" s="9"/>
      <c r="CS1" s="11"/>
      <c r="CT1" s="11"/>
      <c r="CU1" s="11"/>
      <c r="CV1" s="11"/>
      <c r="CW1" s="11"/>
      <c r="CX1" s="11"/>
      <c r="DA1" s="12" t="s">
        <v>15</v>
      </c>
      <c r="DB1" s="12">
        <v>0.21</v>
      </c>
      <c r="DC1" s="12"/>
      <c r="DD1" s="12" t="s">
        <v>16</v>
      </c>
      <c r="DE1" s="11">
        <v>12600</v>
      </c>
      <c r="DF1" s="11"/>
    </row>
    <row r="2" spans="1:161" x14ac:dyDescent="0.2">
      <c r="A2" s="13"/>
      <c r="B2" s="13"/>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X2" s="14">
        <f>AVERAGE(Z27:Z38)</f>
        <v>5450.5856790230619</v>
      </c>
      <c r="AY2" s="14">
        <f>AVERAGE(AC27:AC38)</f>
        <v>1956.1726666666664</v>
      </c>
      <c r="AZ2" s="14">
        <f>AVERAGE(AD27:AD38,Y27:Y38)</f>
        <v>852.37111074883262</v>
      </c>
      <c r="BA2" s="14">
        <f>AVERAGE(X27:X38)</f>
        <v>138.66666666666666</v>
      </c>
      <c r="BB2" s="14">
        <f>SUM(AX2:BA2)</f>
        <v>8397.7961231052268</v>
      </c>
      <c r="BC2" s="5">
        <f>AVERAGE(AK27:AK38)</f>
        <v>1202.0833333333333</v>
      </c>
      <c r="BS2" s="971"/>
      <c r="BT2" s="971"/>
      <c r="BU2" s="971"/>
      <c r="BV2" s="971"/>
      <c r="BW2" s="971"/>
      <c r="BX2" s="971"/>
      <c r="BY2" s="971"/>
      <c r="BZ2" s="971"/>
      <c r="CA2" s="971"/>
      <c r="CB2" s="971"/>
      <c r="CC2" s="971"/>
      <c r="CD2" s="971"/>
      <c r="CM2" s="11"/>
      <c r="CN2" s="15"/>
      <c r="CO2" s="15"/>
      <c r="CP2" s="15"/>
      <c r="CQ2" s="11"/>
      <c r="CR2" s="11"/>
      <c r="CS2" s="11"/>
      <c r="CT2" s="11"/>
      <c r="CU2" s="11"/>
      <c r="CV2" s="11"/>
      <c r="CW2" s="11"/>
      <c r="CX2" s="11"/>
      <c r="DA2" s="12"/>
      <c r="DB2" s="12"/>
      <c r="DC2" s="12"/>
      <c r="DD2" s="12" t="s">
        <v>17</v>
      </c>
      <c r="DE2" s="11">
        <v>15000</v>
      </c>
      <c r="DF2" s="11"/>
    </row>
    <row r="3" spans="1:161" ht="14.25" customHeight="1" x14ac:dyDescent="0.25">
      <c r="C3" s="974" t="s">
        <v>18</v>
      </c>
      <c r="D3" s="974"/>
      <c r="E3" s="974"/>
      <c r="F3" s="974"/>
      <c r="G3" s="974"/>
      <c r="H3" s="974"/>
      <c r="I3" s="974"/>
      <c r="J3" s="974"/>
      <c r="K3" s="974"/>
      <c r="L3" s="974"/>
      <c r="P3" s="974" t="s">
        <v>628</v>
      </c>
      <c r="Q3" s="974"/>
      <c r="R3" s="974"/>
      <c r="S3" s="974"/>
      <c r="T3" s="974"/>
      <c r="V3" s="974" t="s">
        <v>20</v>
      </c>
      <c r="W3" s="974"/>
      <c r="X3" s="974"/>
      <c r="Y3" s="974"/>
      <c r="Z3" s="974"/>
      <c r="AA3" s="974"/>
      <c r="AB3" s="974"/>
      <c r="AC3" s="974"/>
      <c r="AD3" s="974"/>
      <c r="AE3" s="974"/>
      <c r="AF3" s="974"/>
      <c r="AG3" s="974"/>
      <c r="AH3" s="974"/>
      <c r="AI3" s="974"/>
      <c r="AJ3" s="974"/>
      <c r="AK3" s="975" t="s">
        <v>21</v>
      </c>
      <c r="AL3" s="978" t="s">
        <v>22</v>
      </c>
      <c r="AX3" s="17">
        <f t="shared" ref="AX3:BC3" si="0">AVERAGE(AX27:AX38)</f>
        <v>0.19970870909244295</v>
      </c>
      <c r="AY3" s="17">
        <f t="shared" si="0"/>
        <v>6.8021711919144481E-2</v>
      </c>
      <c r="AZ3" s="17">
        <f t="shared" si="0"/>
        <v>5.9334655742723869E-2</v>
      </c>
      <c r="BA3" s="17">
        <f t="shared" si="0"/>
        <v>4.69721560640323E-3</v>
      </c>
      <c r="BB3" s="17">
        <f t="shared" si="0"/>
        <v>0.33176229236071447</v>
      </c>
      <c r="BC3" s="17">
        <f t="shared" si="0"/>
        <v>4.4167593391829234E-2</v>
      </c>
      <c r="BD3" s="17">
        <f>BC3+AZ3+AY3</f>
        <v>0.1715239610536976</v>
      </c>
      <c r="BE3" s="17"/>
      <c r="BF3" s="17"/>
      <c r="BJ3" s="17"/>
      <c r="BS3" s="971"/>
      <c r="BT3" s="971"/>
      <c r="BU3" s="971"/>
      <c r="BV3" s="971"/>
      <c r="BW3" s="971"/>
      <c r="BX3" s="971"/>
      <c r="BY3" s="971"/>
      <c r="BZ3" s="971"/>
      <c r="CA3" s="971"/>
      <c r="CB3" s="971"/>
      <c r="CC3" s="971"/>
      <c r="CD3" s="971"/>
      <c r="DD3" s="3" t="s">
        <v>23</v>
      </c>
      <c r="DE3" s="19">
        <v>10000</v>
      </c>
    </row>
    <row r="4" spans="1:161" ht="15.75" customHeight="1" x14ac:dyDescent="0.2">
      <c r="A4" s="18"/>
      <c r="B4" s="18"/>
      <c r="C4" s="981" t="s">
        <v>24</v>
      </c>
      <c r="D4" s="981"/>
      <c r="E4" s="981"/>
      <c r="F4" s="18"/>
      <c r="G4" s="974" t="s">
        <v>25</v>
      </c>
      <c r="H4" s="974"/>
      <c r="I4" s="974"/>
      <c r="J4" s="974"/>
      <c r="K4" s="18"/>
      <c r="L4" s="982" t="s">
        <v>26</v>
      </c>
      <c r="M4" s="18"/>
      <c r="N4" s="18"/>
      <c r="O4" s="18"/>
      <c r="P4" s="18"/>
      <c r="Q4" s="18"/>
      <c r="R4" s="984" t="s">
        <v>25</v>
      </c>
      <c r="S4" s="984"/>
      <c r="T4" s="984"/>
      <c r="U4" s="18"/>
      <c r="V4" s="975" t="s">
        <v>27</v>
      </c>
      <c r="W4" s="18"/>
      <c r="X4" s="984" t="s">
        <v>25</v>
      </c>
      <c r="Y4" s="984"/>
      <c r="Z4" s="984"/>
      <c r="AA4" s="984"/>
      <c r="AB4" s="18"/>
      <c r="AC4" s="984" t="s">
        <v>28</v>
      </c>
      <c r="AD4" s="984"/>
      <c r="AE4" s="984"/>
      <c r="AF4" s="18"/>
      <c r="AG4" s="984" t="s">
        <v>29</v>
      </c>
      <c r="AH4" s="984"/>
      <c r="AI4" s="984"/>
      <c r="AJ4" s="975" t="s">
        <v>30</v>
      </c>
      <c r="AK4" s="976"/>
      <c r="AL4" s="979"/>
      <c r="AS4" s="3" t="s">
        <v>31</v>
      </c>
      <c r="BG4" s="973" t="s">
        <v>32</v>
      </c>
      <c r="BH4" s="973"/>
      <c r="BI4" s="973"/>
      <c r="BK4" s="973" t="s">
        <v>32</v>
      </c>
      <c r="BL4" s="973"/>
      <c r="BM4" s="973"/>
      <c r="BS4" s="971"/>
      <c r="BT4" s="971"/>
      <c r="BU4" s="971"/>
      <c r="BV4" s="971"/>
      <c r="BW4" s="971"/>
      <c r="BX4" s="971"/>
      <c r="BY4" s="971"/>
      <c r="BZ4" s="971"/>
      <c r="CA4" s="971"/>
      <c r="CB4" s="971"/>
      <c r="CC4" s="971"/>
      <c r="CD4" s="971"/>
      <c r="CF4" s="986" t="s">
        <v>33</v>
      </c>
      <c r="CG4" s="986"/>
      <c r="CH4" s="986"/>
      <c r="CI4" s="986"/>
      <c r="CJ4" s="24"/>
      <c r="CK4" s="24"/>
      <c r="DA4" s="987" t="s">
        <v>34</v>
      </c>
      <c r="DB4" s="988" t="s">
        <v>35</v>
      </c>
      <c r="DC4" s="26"/>
    </row>
    <row r="5" spans="1:161" ht="43.5" customHeight="1" thickBot="1" x14ac:dyDescent="0.25">
      <c r="A5" s="13"/>
      <c r="B5" s="16" t="s">
        <v>36</v>
      </c>
      <c r="C5" s="27" t="s">
        <v>37</v>
      </c>
      <c r="D5" s="27" t="s">
        <v>38</v>
      </c>
      <c r="E5" s="27" t="s">
        <v>39</v>
      </c>
      <c r="F5" s="28"/>
      <c r="G5" s="28" t="s">
        <v>40</v>
      </c>
      <c r="H5" s="28" t="s">
        <v>41</v>
      </c>
      <c r="I5" s="29" t="s">
        <v>42</v>
      </c>
      <c r="J5" s="29" t="s">
        <v>43</v>
      </c>
      <c r="K5" s="29"/>
      <c r="L5" s="983"/>
      <c r="M5" s="29" t="s">
        <v>44</v>
      </c>
      <c r="N5" s="30" t="s">
        <v>45</v>
      </c>
      <c r="O5" s="31" t="s">
        <v>46</v>
      </c>
      <c r="P5" s="28" t="s">
        <v>633</v>
      </c>
      <c r="Q5" s="29"/>
      <c r="R5" s="28" t="s">
        <v>41</v>
      </c>
      <c r="S5" s="29" t="s">
        <v>42</v>
      </c>
      <c r="T5" s="29" t="s">
        <v>43</v>
      </c>
      <c r="U5" s="29" t="s">
        <v>44</v>
      </c>
      <c r="V5" s="977"/>
      <c r="W5" s="29"/>
      <c r="X5" s="28" t="s">
        <v>40</v>
      </c>
      <c r="Y5" s="28" t="s">
        <v>41</v>
      </c>
      <c r="Z5" s="29" t="s">
        <v>42</v>
      </c>
      <c r="AA5" s="29" t="s">
        <v>43</v>
      </c>
      <c r="AB5" s="29"/>
      <c r="AC5" s="29" t="s">
        <v>48</v>
      </c>
      <c r="AD5" s="29" t="s">
        <v>49</v>
      </c>
      <c r="AE5" s="29" t="s">
        <v>43</v>
      </c>
      <c r="AF5" s="29"/>
      <c r="AG5" s="29" t="s">
        <v>50</v>
      </c>
      <c r="AH5" s="29" t="s">
        <v>49</v>
      </c>
      <c r="AI5" s="29" t="s">
        <v>51</v>
      </c>
      <c r="AJ5" s="977"/>
      <c r="AK5" s="977"/>
      <c r="AL5" s="980"/>
      <c r="AM5" s="21" t="s">
        <v>52</v>
      </c>
      <c r="AN5" s="20" t="s">
        <v>53</v>
      </c>
      <c r="AO5" s="20" t="s">
        <v>54</v>
      </c>
      <c r="AP5" s="21" t="s">
        <v>55</v>
      </c>
      <c r="AQ5" s="32"/>
      <c r="AR5" s="33" t="s">
        <v>56</v>
      </c>
      <c r="AS5" s="33" t="s">
        <v>51</v>
      </c>
      <c r="AT5" s="33" t="s">
        <v>57</v>
      </c>
      <c r="AU5" s="33" t="s">
        <v>43</v>
      </c>
      <c r="AV5" s="33"/>
      <c r="AW5" s="33"/>
      <c r="AX5" s="33" t="s">
        <v>51</v>
      </c>
      <c r="AY5" s="33" t="s">
        <v>58</v>
      </c>
      <c r="AZ5" s="33" t="s">
        <v>57</v>
      </c>
      <c r="BA5" s="33" t="s">
        <v>59</v>
      </c>
      <c r="BB5" s="33" t="s">
        <v>43</v>
      </c>
      <c r="BC5" s="33" t="s">
        <v>60</v>
      </c>
      <c r="BG5" s="34" t="s">
        <v>61</v>
      </c>
      <c r="BH5" s="34" t="s">
        <v>62</v>
      </c>
      <c r="BI5" s="22" t="s">
        <v>63</v>
      </c>
      <c r="BK5" s="34" t="s">
        <v>61</v>
      </c>
      <c r="BL5" s="22" t="s">
        <v>62</v>
      </c>
      <c r="BM5" s="22" t="s">
        <v>63</v>
      </c>
      <c r="BO5" s="35" t="s">
        <v>64</v>
      </c>
      <c r="BP5" s="33" t="s">
        <v>65</v>
      </c>
      <c r="BQ5" s="33" t="s">
        <v>66</v>
      </c>
      <c r="BS5" s="972"/>
      <c r="BT5" s="972"/>
      <c r="BU5" s="972"/>
      <c r="BV5" s="972"/>
      <c r="BW5" s="972"/>
      <c r="BX5" s="972"/>
      <c r="BY5" s="972"/>
      <c r="BZ5" s="972"/>
      <c r="CA5" s="972"/>
      <c r="CB5" s="972"/>
      <c r="CC5" s="972"/>
      <c r="CD5" s="972"/>
      <c r="CF5" s="36" t="s">
        <v>62</v>
      </c>
      <c r="CG5" s="36" t="s">
        <v>67</v>
      </c>
      <c r="CH5" s="37" t="s">
        <v>68</v>
      </c>
      <c r="CI5" s="23" t="s">
        <v>69</v>
      </c>
      <c r="CJ5" s="23" t="s">
        <v>70</v>
      </c>
      <c r="CK5" s="37" t="s">
        <v>71</v>
      </c>
      <c r="CM5" s="38" t="s">
        <v>36</v>
      </c>
      <c r="CN5" s="39" t="s">
        <v>62</v>
      </c>
      <c r="CO5" s="39" t="s">
        <v>72</v>
      </c>
      <c r="CP5" s="39" t="s">
        <v>73</v>
      </c>
      <c r="CQ5" s="40" t="s">
        <v>74</v>
      </c>
      <c r="CR5" s="25" t="s">
        <v>75</v>
      </c>
      <c r="CS5" s="25" t="s">
        <v>76</v>
      </c>
      <c r="CT5" s="41" t="s">
        <v>77</v>
      </c>
      <c r="CU5" s="40" t="s">
        <v>78</v>
      </c>
      <c r="CV5" s="987" t="s">
        <v>79</v>
      </c>
      <c r="CW5" s="987" t="s">
        <v>80</v>
      </c>
      <c r="CX5" s="42" t="s">
        <v>81</v>
      </c>
      <c r="CY5" s="42" t="s">
        <v>82</v>
      </c>
      <c r="CZ5" s="43" t="s">
        <v>83</v>
      </c>
      <c r="DA5" s="987"/>
      <c r="DB5" s="989"/>
      <c r="DC5" s="44" t="s">
        <v>84</v>
      </c>
      <c r="DD5" s="40" t="s">
        <v>85</v>
      </c>
      <c r="DE5" s="45" t="s">
        <v>86</v>
      </c>
      <c r="DF5" s="40" t="s">
        <v>87</v>
      </c>
      <c r="DH5" s="3" t="s">
        <v>88</v>
      </c>
      <c r="DK5" s="3" t="s">
        <v>89</v>
      </c>
      <c r="DL5" s="3" t="s">
        <v>57</v>
      </c>
      <c r="DS5" s="3" t="s">
        <v>90</v>
      </c>
      <c r="DT5" s="3" t="s">
        <v>91</v>
      </c>
      <c r="DW5" s="3" t="s">
        <v>92</v>
      </c>
      <c r="DX5" s="3" t="s">
        <v>93</v>
      </c>
      <c r="DY5" s="3" t="s">
        <v>94</v>
      </c>
      <c r="EG5" s="3" t="s">
        <v>95</v>
      </c>
      <c r="EI5" s="20" t="s">
        <v>96</v>
      </c>
      <c r="EJ5" s="20" t="s">
        <v>97</v>
      </c>
      <c r="EL5" s="32" t="s">
        <v>98</v>
      </c>
      <c r="EM5" s="3" t="s">
        <v>99</v>
      </c>
      <c r="EN5" s="3" t="s">
        <v>51</v>
      </c>
      <c r="EO5" s="3" t="s">
        <v>100</v>
      </c>
      <c r="EP5" s="3" t="s">
        <v>60</v>
      </c>
      <c r="ET5" s="3" t="s">
        <v>101</v>
      </c>
      <c r="EW5" s="3" t="s">
        <v>102</v>
      </c>
      <c r="FB5" s="3" t="s">
        <v>103</v>
      </c>
      <c r="FC5" s="3" t="s">
        <v>104</v>
      </c>
      <c r="FE5" s="3" t="s">
        <v>105</v>
      </c>
    </row>
    <row r="6" spans="1:161" ht="6" customHeight="1" thickBot="1" x14ac:dyDescent="0.25">
      <c r="B6" s="4"/>
      <c r="C6" s="4"/>
      <c r="D6" s="4"/>
      <c r="E6" s="4"/>
      <c r="L6" s="46"/>
      <c r="N6" s="47"/>
      <c r="O6" s="47"/>
      <c r="AR6" s="33"/>
      <c r="AS6" s="33"/>
      <c r="AT6" s="33"/>
      <c r="AU6" s="33"/>
      <c r="AV6" s="33"/>
      <c r="AW6" s="33"/>
      <c r="AX6" s="33"/>
      <c r="AY6" s="33"/>
      <c r="AZ6" s="33"/>
      <c r="BA6" s="33"/>
      <c r="BB6" s="33"/>
      <c r="BC6" s="33"/>
      <c r="BI6" s="5"/>
      <c r="CF6" s="48"/>
      <c r="CG6" s="48"/>
      <c r="CH6" s="49"/>
      <c r="CI6" s="48"/>
      <c r="CJ6" s="48"/>
      <c r="CK6" s="49"/>
      <c r="CT6" s="50"/>
      <c r="CU6" s="26"/>
      <c r="CV6" s="987"/>
      <c r="CW6" s="987"/>
      <c r="CX6" s="51"/>
      <c r="CY6" s="51"/>
      <c r="DC6" s="33"/>
    </row>
    <row r="7" spans="1:161" ht="12.75" hidden="1" customHeight="1" x14ac:dyDescent="0.2">
      <c r="B7" s="52">
        <v>1986</v>
      </c>
      <c r="C7" s="53">
        <v>36523.343017812847</v>
      </c>
      <c r="D7" s="53"/>
      <c r="E7" s="53"/>
      <c r="F7" s="47"/>
      <c r="G7" s="54">
        <v>166</v>
      </c>
      <c r="H7" s="54">
        <v>331</v>
      </c>
      <c r="I7" s="54">
        <v>939</v>
      </c>
      <c r="J7" s="54">
        <v>1436</v>
      </c>
      <c r="K7" s="47"/>
      <c r="L7" s="55">
        <f t="shared" ref="L7:L12" si="1">C7+J7</f>
        <v>37959.343017812847</v>
      </c>
      <c r="M7" s="47"/>
      <c r="N7" s="47"/>
      <c r="O7" s="47"/>
      <c r="P7" s="56">
        <v>2137.5</v>
      </c>
      <c r="Q7" s="47"/>
      <c r="R7" s="54">
        <v>0</v>
      </c>
      <c r="S7" s="54">
        <v>3038</v>
      </c>
      <c r="T7" s="54">
        <f t="shared" ref="T7:T13" si="2">SUM(R7:S7)</f>
        <v>3038</v>
      </c>
      <c r="U7" s="47"/>
      <c r="V7" s="56">
        <f t="shared" ref="V7:V45" si="3">SUM(P7,C7)</f>
        <v>38660.843017812847</v>
      </c>
      <c r="W7" s="47"/>
      <c r="X7" s="54">
        <v>166</v>
      </c>
      <c r="Y7" s="54">
        <v>331</v>
      </c>
      <c r="Z7" s="54">
        <v>3977</v>
      </c>
      <c r="AA7" s="54">
        <f t="shared" ref="AA7:AA46" si="4">SUM(X7:Z7)</f>
        <v>4474</v>
      </c>
      <c r="AB7" s="47"/>
      <c r="AC7" s="54">
        <v>3259</v>
      </c>
      <c r="AD7" s="54">
        <v>1933</v>
      </c>
      <c r="AE7" s="54">
        <f t="shared" ref="AE7:AE13" si="5">SUM(AC7:AD7)</f>
        <v>5192</v>
      </c>
      <c r="AF7" s="47"/>
      <c r="AG7" s="47"/>
      <c r="AH7" s="47"/>
      <c r="AI7" s="47"/>
      <c r="AJ7" s="56">
        <f t="shared" ref="AJ7:AJ12" si="6">SUM(V7,AA7,AE7,SUM(AG7:AI7))</f>
        <v>48326.843017812847</v>
      </c>
      <c r="AK7" s="57">
        <f t="shared" ref="AK7:AK24" si="7">ROUND(AJ7/(1-BC$53)-AJ7,-2)</f>
        <v>2300</v>
      </c>
      <c r="AL7" s="56">
        <f t="shared" ref="AL7:AL12" si="8">SUM(AJ7:AK7)</f>
        <v>50626.843017812847</v>
      </c>
      <c r="AN7" s="58">
        <v>9665.2107544532118</v>
      </c>
      <c r="AO7" s="59"/>
      <c r="AP7" s="60"/>
      <c r="AQ7" s="59"/>
      <c r="AR7" s="61"/>
      <c r="AS7" s="61"/>
      <c r="AT7" s="33"/>
      <c r="AU7" s="61"/>
      <c r="AV7" s="61"/>
      <c r="AW7" s="61"/>
      <c r="AX7" s="61"/>
      <c r="AY7" s="61"/>
      <c r="AZ7" s="61"/>
      <c r="BA7" s="61"/>
      <c r="BB7" s="62"/>
      <c r="BC7" s="33"/>
      <c r="BI7" s="5"/>
      <c r="BS7" s="63">
        <f t="shared" ref="BS7:BS12" si="9">AC7</f>
        <v>3259</v>
      </c>
      <c r="BT7" s="63">
        <f t="shared" ref="BT7:BT46" si="10">Z7</f>
        <v>3977</v>
      </c>
      <c r="BU7" s="63">
        <f t="shared" ref="BU7:BU46" si="11">X7</f>
        <v>166</v>
      </c>
      <c r="BV7" s="63">
        <f t="shared" ref="BV7:BV46" si="12">AD7</f>
        <v>1933</v>
      </c>
      <c r="BW7" s="63">
        <f t="shared" ref="BW7:BW46" si="13">Y7</f>
        <v>331</v>
      </c>
      <c r="BX7" s="63">
        <f t="shared" ref="BX7:BX13" si="14">SUM(BS7:BW7)</f>
        <v>9666</v>
      </c>
      <c r="BY7" s="63">
        <f t="shared" ref="BY7:BY46" si="15">AJ7</f>
        <v>48326.843017812847</v>
      </c>
      <c r="BZ7" s="64">
        <f t="shared" ref="BZ7:BZ12" si="16">BX7/BY7</f>
        <v>0.20001306512898429</v>
      </c>
      <c r="CA7" s="64">
        <f t="shared" ref="CA7:CA12" si="17">SUM(BV7,BS7)/BX7</f>
        <v>0.53714049244775497</v>
      </c>
      <c r="CB7" s="64">
        <f t="shared" ref="CB7:CB12" si="18">SUM(BT7:BU7,BW7)/BX7</f>
        <v>0.46285950755224498</v>
      </c>
      <c r="CC7" s="64">
        <f t="shared" ref="CC7:CC46" si="19">AK7/(BX7+AK7)</f>
        <v>0.19221126525154605</v>
      </c>
      <c r="CF7" s="48"/>
      <c r="CG7" s="48"/>
      <c r="CH7" s="49"/>
      <c r="CI7" s="48"/>
      <c r="CJ7" s="48"/>
      <c r="CK7" s="49"/>
      <c r="CT7" s="50"/>
      <c r="CU7" s="26"/>
      <c r="CV7" s="26"/>
      <c r="CW7" s="26"/>
      <c r="CX7" s="65"/>
      <c r="CY7" s="65"/>
      <c r="CZ7" s="26"/>
      <c r="DA7" s="26"/>
      <c r="DB7" s="26"/>
      <c r="DC7" s="26"/>
      <c r="DD7" s="26"/>
      <c r="DE7" s="26"/>
      <c r="DF7" s="26"/>
      <c r="DH7" s="66">
        <f t="shared" ref="DH7:DH39" si="20">P7/V7</f>
        <v>5.5288499503623197E-2</v>
      </c>
      <c r="EL7" s="67">
        <f t="shared" ref="EL7:EL12" si="21">V7/1000</f>
        <v>38.660843017812844</v>
      </c>
      <c r="EM7" s="67"/>
      <c r="EN7" s="67">
        <f t="shared" ref="EN7:EN39" si="22">Z7/1000</f>
        <v>3.9769999999999999</v>
      </c>
      <c r="EO7" s="67">
        <f t="shared" ref="EO7:EO39" si="23">SUM(X7:Y7,AE7)/1000</f>
        <v>5.6890000000000001</v>
      </c>
      <c r="EP7" s="67">
        <f t="shared" ref="EP7:EP39" si="24">AK7/1000</f>
        <v>2.2999999999999998</v>
      </c>
      <c r="ET7" s="66">
        <f t="shared" ref="ET7:ET39" si="25">J7/L7</f>
        <v>3.7829948725038282E-2</v>
      </c>
      <c r="EW7" s="14">
        <f>BX7-BT7</f>
        <v>5689</v>
      </c>
      <c r="FE7" s="14">
        <f t="shared" ref="FE7:FE39" si="26">ROUND(L7,-3)</f>
        <v>38000</v>
      </c>
    </row>
    <row r="8" spans="1:161" ht="12.75" hidden="1" customHeight="1" x14ac:dyDescent="0.2">
      <c r="B8" s="52">
        <v>1987</v>
      </c>
      <c r="C8" s="53">
        <v>19539.879048015755</v>
      </c>
      <c r="D8" s="53"/>
      <c r="E8" s="53"/>
      <c r="F8" s="47"/>
      <c r="G8" s="54">
        <v>92</v>
      </c>
      <c r="H8" s="54">
        <v>184</v>
      </c>
      <c r="I8" s="54">
        <v>521</v>
      </c>
      <c r="J8" s="54">
        <v>797</v>
      </c>
      <c r="K8" s="47"/>
      <c r="L8" s="55">
        <f t="shared" si="1"/>
        <v>20336.879048015755</v>
      </c>
      <c r="M8" s="47"/>
      <c r="N8" s="47"/>
      <c r="O8" s="47"/>
      <c r="P8" s="56">
        <v>1930.4060531632531</v>
      </c>
      <c r="Q8" s="47"/>
      <c r="R8" s="54">
        <v>0</v>
      </c>
      <c r="S8" s="54">
        <v>1687</v>
      </c>
      <c r="T8" s="54">
        <f t="shared" si="2"/>
        <v>1687</v>
      </c>
      <c r="U8" s="47"/>
      <c r="V8" s="56">
        <f t="shared" si="3"/>
        <v>21470.285101179008</v>
      </c>
      <c r="W8" s="47"/>
      <c r="X8" s="54">
        <v>92</v>
      </c>
      <c r="Y8" s="54">
        <v>184</v>
      </c>
      <c r="Z8" s="54">
        <v>2208</v>
      </c>
      <c r="AA8" s="54">
        <f t="shared" si="4"/>
        <v>2484</v>
      </c>
      <c r="AB8" s="47"/>
      <c r="AC8" s="54">
        <v>1810</v>
      </c>
      <c r="AD8" s="54">
        <v>1074</v>
      </c>
      <c r="AE8" s="54">
        <f t="shared" si="5"/>
        <v>2884</v>
      </c>
      <c r="AF8" s="47"/>
      <c r="AG8" s="47"/>
      <c r="AH8" s="47"/>
      <c r="AI8" s="47"/>
      <c r="AJ8" s="56">
        <f t="shared" si="6"/>
        <v>26838.285101179008</v>
      </c>
      <c r="AK8" s="47">
        <f t="shared" si="7"/>
        <v>1300</v>
      </c>
      <c r="AL8" s="56">
        <f t="shared" si="8"/>
        <v>28138.285101179008</v>
      </c>
      <c r="AN8" s="68">
        <v>5367.5712752947511</v>
      </c>
      <c r="AO8" s="59"/>
      <c r="AP8" s="60"/>
      <c r="AQ8" s="59"/>
      <c r="AR8" s="61"/>
      <c r="AS8" s="61"/>
      <c r="AT8" s="33"/>
      <c r="AU8" s="61"/>
      <c r="AV8" s="61"/>
      <c r="AW8" s="61"/>
      <c r="AX8" s="61"/>
      <c r="AY8" s="61"/>
      <c r="AZ8" s="61"/>
      <c r="BA8" s="61"/>
      <c r="BB8" s="62"/>
      <c r="BC8" s="33"/>
      <c r="BI8" s="5"/>
      <c r="BS8" s="63">
        <f t="shared" si="9"/>
        <v>1810</v>
      </c>
      <c r="BT8" s="63">
        <f t="shared" si="10"/>
        <v>2208</v>
      </c>
      <c r="BU8" s="63">
        <f t="shared" si="11"/>
        <v>92</v>
      </c>
      <c r="BV8" s="63">
        <f t="shared" si="12"/>
        <v>1074</v>
      </c>
      <c r="BW8" s="63">
        <f t="shared" si="13"/>
        <v>184</v>
      </c>
      <c r="BX8" s="63">
        <f t="shared" si="14"/>
        <v>5368</v>
      </c>
      <c r="BY8" s="63">
        <f t="shared" si="15"/>
        <v>26838.285101179008</v>
      </c>
      <c r="BZ8" s="64">
        <f t="shared" si="16"/>
        <v>0.20001277949626459</v>
      </c>
      <c r="CA8" s="64">
        <f t="shared" si="17"/>
        <v>0.53725782414307</v>
      </c>
      <c r="CB8" s="64">
        <f t="shared" si="18"/>
        <v>0.46274217585692995</v>
      </c>
      <c r="CC8" s="64">
        <f t="shared" si="19"/>
        <v>0.19496100779844031</v>
      </c>
      <c r="CF8" s="48"/>
      <c r="CG8" s="48"/>
      <c r="CH8" s="49"/>
      <c r="CI8" s="48"/>
      <c r="CJ8" s="48"/>
      <c r="CK8" s="49"/>
      <c r="CT8" s="50"/>
      <c r="CU8" s="26"/>
      <c r="CV8" s="26"/>
      <c r="CW8" s="26"/>
      <c r="CX8" s="65"/>
      <c r="CY8" s="65"/>
      <c r="CZ8" s="26"/>
      <c r="DA8" s="26"/>
      <c r="DB8" s="26"/>
      <c r="DC8" s="26"/>
      <c r="DD8" s="26"/>
      <c r="DE8" s="26"/>
      <c r="DF8" s="26"/>
      <c r="DH8" s="66">
        <f t="shared" si="20"/>
        <v>8.991059243350466E-2</v>
      </c>
      <c r="EL8" s="67">
        <f t="shared" si="21"/>
        <v>21.470285101179009</v>
      </c>
      <c r="EM8" s="67"/>
      <c r="EN8" s="67">
        <f t="shared" si="22"/>
        <v>2.2080000000000002</v>
      </c>
      <c r="EO8" s="67">
        <f t="shared" si="23"/>
        <v>3.16</v>
      </c>
      <c r="EP8" s="67">
        <f t="shared" si="24"/>
        <v>1.3</v>
      </c>
      <c r="ET8" s="66">
        <f t="shared" si="25"/>
        <v>3.9189887402008343E-2</v>
      </c>
      <c r="EW8" s="14">
        <f t="shared" ref="EW8:EW47" si="27">BX8-BT8</f>
        <v>3160</v>
      </c>
      <c r="FE8" s="14">
        <f t="shared" si="26"/>
        <v>20000</v>
      </c>
    </row>
    <row r="9" spans="1:161" ht="12.75" hidden="1" customHeight="1" x14ac:dyDescent="0.2">
      <c r="B9" s="52">
        <v>1988</v>
      </c>
      <c r="C9" s="53">
        <v>15345.106912202675</v>
      </c>
      <c r="D9" s="53"/>
      <c r="E9" s="53"/>
      <c r="F9" s="47"/>
      <c r="G9" s="54">
        <v>72</v>
      </c>
      <c r="H9" s="54">
        <v>144</v>
      </c>
      <c r="I9" s="54">
        <v>409</v>
      </c>
      <c r="J9" s="54">
        <v>625</v>
      </c>
      <c r="K9" s="47"/>
      <c r="L9" s="55">
        <f t="shared" si="1"/>
        <v>15970.106912202675</v>
      </c>
      <c r="M9" s="47"/>
      <c r="N9" s="47"/>
      <c r="O9" s="47"/>
      <c r="P9" s="56">
        <v>1503.1850413976154</v>
      </c>
      <c r="Q9" s="47"/>
      <c r="R9" s="54">
        <v>0</v>
      </c>
      <c r="S9" s="54">
        <v>1324</v>
      </c>
      <c r="T9" s="54">
        <f t="shared" si="2"/>
        <v>1324</v>
      </c>
      <c r="U9" s="47"/>
      <c r="V9" s="56">
        <f t="shared" si="3"/>
        <v>16848.291953600288</v>
      </c>
      <c r="W9" s="47"/>
      <c r="X9" s="54">
        <v>72</v>
      </c>
      <c r="Y9" s="54">
        <v>144</v>
      </c>
      <c r="Z9" s="54">
        <v>1733</v>
      </c>
      <c r="AA9" s="54">
        <f t="shared" si="4"/>
        <v>1949</v>
      </c>
      <c r="AB9" s="47"/>
      <c r="AC9" s="54">
        <v>1420</v>
      </c>
      <c r="AD9" s="54">
        <v>842</v>
      </c>
      <c r="AE9" s="54">
        <f t="shared" si="5"/>
        <v>2262</v>
      </c>
      <c r="AF9" s="47"/>
      <c r="AG9" s="47"/>
      <c r="AH9" s="47"/>
      <c r="AI9" s="47"/>
      <c r="AJ9" s="56">
        <f t="shared" si="6"/>
        <v>21059.291953600288</v>
      </c>
      <c r="AK9" s="47">
        <f t="shared" si="7"/>
        <v>1000</v>
      </c>
      <c r="AL9" s="56">
        <f t="shared" si="8"/>
        <v>22059.291953600288</v>
      </c>
      <c r="AN9" s="68">
        <v>4212.0729884000721</v>
      </c>
      <c r="AO9" s="59"/>
      <c r="AP9" s="60"/>
      <c r="AQ9" s="59"/>
      <c r="AR9" s="61"/>
      <c r="AS9" s="61"/>
      <c r="AT9" s="33"/>
      <c r="AU9" s="61"/>
      <c r="AV9" s="61"/>
      <c r="AW9" s="61"/>
      <c r="AX9" s="61"/>
      <c r="AY9" s="61"/>
      <c r="AZ9" s="61"/>
      <c r="BA9" s="61"/>
      <c r="BB9" s="62"/>
      <c r="BC9" s="33"/>
      <c r="BI9" s="5"/>
      <c r="BS9" s="63">
        <f t="shared" si="9"/>
        <v>1420</v>
      </c>
      <c r="BT9" s="63">
        <f t="shared" si="10"/>
        <v>1733</v>
      </c>
      <c r="BU9" s="63">
        <f t="shared" si="11"/>
        <v>72</v>
      </c>
      <c r="BV9" s="63">
        <f t="shared" si="12"/>
        <v>842</v>
      </c>
      <c r="BW9" s="63">
        <f t="shared" si="13"/>
        <v>144</v>
      </c>
      <c r="BX9" s="63">
        <f t="shared" si="14"/>
        <v>4211</v>
      </c>
      <c r="BY9" s="63">
        <f t="shared" si="15"/>
        <v>21059.291953600288</v>
      </c>
      <c r="BZ9" s="64">
        <f t="shared" si="16"/>
        <v>0.19995923933615864</v>
      </c>
      <c r="CA9" s="64">
        <f t="shared" si="17"/>
        <v>0.53716456898598908</v>
      </c>
      <c r="CB9" s="64">
        <f t="shared" si="18"/>
        <v>0.46283543101401092</v>
      </c>
      <c r="CC9" s="64">
        <f t="shared" si="19"/>
        <v>0.19190174630589138</v>
      </c>
      <c r="CF9" s="48"/>
      <c r="CG9" s="48"/>
      <c r="CH9" s="49"/>
      <c r="CI9" s="48"/>
      <c r="CJ9" s="48"/>
      <c r="CK9" s="49"/>
      <c r="CT9" s="50"/>
      <c r="CU9" s="26"/>
      <c r="CV9" s="26"/>
      <c r="CW9" s="26"/>
      <c r="CX9" s="65"/>
      <c r="CY9" s="65"/>
      <c r="CZ9" s="26"/>
      <c r="DA9" s="26"/>
      <c r="DB9" s="26"/>
      <c r="DC9" s="26"/>
      <c r="DD9" s="26"/>
      <c r="DE9" s="26"/>
      <c r="DF9" s="26"/>
      <c r="DH9" s="66">
        <f t="shared" si="20"/>
        <v>8.9218838653635849E-2</v>
      </c>
      <c r="EL9" s="67">
        <f t="shared" si="21"/>
        <v>16.848291953600288</v>
      </c>
      <c r="EM9" s="67"/>
      <c r="EN9" s="67">
        <f t="shared" si="22"/>
        <v>1.7330000000000001</v>
      </c>
      <c r="EO9" s="67">
        <f t="shared" si="23"/>
        <v>2.4780000000000002</v>
      </c>
      <c r="EP9" s="67">
        <f t="shared" si="24"/>
        <v>1</v>
      </c>
      <c r="ET9" s="66">
        <f t="shared" si="25"/>
        <v>3.9135617778641218E-2</v>
      </c>
      <c r="EW9" s="14">
        <f t="shared" si="27"/>
        <v>2478</v>
      </c>
      <c r="FE9" s="14">
        <f t="shared" si="26"/>
        <v>16000</v>
      </c>
    </row>
    <row r="10" spans="1:161" ht="12.75" hidden="1" customHeight="1" x14ac:dyDescent="0.2">
      <c r="B10" s="52">
        <v>1989</v>
      </c>
      <c r="C10" s="53">
        <v>28133.120913134495</v>
      </c>
      <c r="D10" s="53"/>
      <c r="E10" s="53"/>
      <c r="F10" s="47"/>
      <c r="G10" s="54">
        <v>125</v>
      </c>
      <c r="H10" s="54">
        <v>250</v>
      </c>
      <c r="I10" s="54">
        <v>709</v>
      </c>
      <c r="J10" s="54">
        <v>1084</v>
      </c>
      <c r="K10" s="47"/>
      <c r="L10" s="55">
        <f t="shared" si="1"/>
        <v>29217.120913134495</v>
      </c>
      <c r="M10" s="47"/>
      <c r="N10" s="47"/>
      <c r="O10" s="47"/>
      <c r="P10" s="56">
        <v>1068.0525294140948</v>
      </c>
      <c r="Q10" s="47"/>
      <c r="R10" s="54">
        <v>0</v>
      </c>
      <c r="S10" s="54">
        <v>2295</v>
      </c>
      <c r="T10" s="54">
        <f t="shared" si="2"/>
        <v>2295</v>
      </c>
      <c r="U10" s="47"/>
      <c r="V10" s="56">
        <f t="shared" si="3"/>
        <v>29201.173442548588</v>
      </c>
      <c r="W10" s="47"/>
      <c r="X10" s="54">
        <v>125</v>
      </c>
      <c r="Y10" s="54">
        <v>250</v>
      </c>
      <c r="Z10" s="54">
        <v>3004</v>
      </c>
      <c r="AA10" s="54">
        <f t="shared" si="4"/>
        <v>3379</v>
      </c>
      <c r="AB10" s="47"/>
      <c r="AC10" s="54">
        <v>2461</v>
      </c>
      <c r="AD10" s="54">
        <v>1460</v>
      </c>
      <c r="AE10" s="54">
        <f t="shared" si="5"/>
        <v>3921</v>
      </c>
      <c r="AF10" s="47"/>
      <c r="AG10" s="47"/>
      <c r="AH10" s="47"/>
      <c r="AI10" s="47"/>
      <c r="AJ10" s="56">
        <f t="shared" si="6"/>
        <v>36501.173442548592</v>
      </c>
      <c r="AK10" s="47">
        <f t="shared" si="7"/>
        <v>1700</v>
      </c>
      <c r="AL10" s="56">
        <f t="shared" si="8"/>
        <v>38201.173442548592</v>
      </c>
      <c r="AN10" s="68">
        <v>7300.293360637148</v>
      </c>
      <c r="AO10" s="69"/>
      <c r="AP10" s="60"/>
      <c r="AQ10" s="59"/>
      <c r="AR10" s="61"/>
      <c r="AS10" s="61"/>
      <c r="AT10" s="33"/>
      <c r="AU10" s="61"/>
      <c r="AV10" s="61"/>
      <c r="AW10" s="61"/>
      <c r="AX10" s="61"/>
      <c r="AY10" s="61"/>
      <c r="AZ10" s="61"/>
      <c r="BA10" s="61"/>
      <c r="BB10" s="62"/>
      <c r="BC10" s="33"/>
      <c r="BI10" s="5"/>
      <c r="BS10" s="63">
        <f t="shared" si="9"/>
        <v>2461</v>
      </c>
      <c r="BT10" s="63">
        <f t="shared" si="10"/>
        <v>3004</v>
      </c>
      <c r="BU10" s="63">
        <f t="shared" si="11"/>
        <v>125</v>
      </c>
      <c r="BV10" s="63">
        <f t="shared" si="12"/>
        <v>1460</v>
      </c>
      <c r="BW10" s="63">
        <f t="shared" si="13"/>
        <v>250</v>
      </c>
      <c r="BX10" s="63">
        <f t="shared" si="14"/>
        <v>7300</v>
      </c>
      <c r="BY10" s="63">
        <f t="shared" si="15"/>
        <v>36501.173442548592</v>
      </c>
      <c r="BZ10" s="64">
        <f t="shared" si="16"/>
        <v>0.19999357038452237</v>
      </c>
      <c r="CA10" s="64">
        <f t="shared" si="17"/>
        <v>0.53712328767123285</v>
      </c>
      <c r="CB10" s="64">
        <f t="shared" si="18"/>
        <v>0.46287671232876715</v>
      </c>
      <c r="CC10" s="64">
        <f t="shared" si="19"/>
        <v>0.18888888888888888</v>
      </c>
      <c r="CF10" s="48"/>
      <c r="CG10" s="48"/>
      <c r="CH10" s="49"/>
      <c r="CI10" s="48"/>
      <c r="CJ10" s="48"/>
      <c r="CK10" s="49"/>
      <c r="CT10" s="50"/>
      <c r="CU10" s="26"/>
      <c r="CV10" s="26"/>
      <c r="CW10" s="26"/>
      <c r="CX10" s="65"/>
      <c r="CY10" s="65"/>
      <c r="CZ10" s="26"/>
      <c r="DA10" s="26"/>
      <c r="DB10" s="26"/>
      <c r="DC10" s="26"/>
      <c r="DD10" s="26"/>
      <c r="DE10" s="26"/>
      <c r="DF10" s="26"/>
      <c r="DH10" s="66">
        <f t="shared" si="20"/>
        <v>3.6575671574137894E-2</v>
      </c>
      <c r="EL10" s="67">
        <f t="shared" si="21"/>
        <v>29.201173442548587</v>
      </c>
      <c r="EM10" s="67"/>
      <c r="EN10" s="67">
        <f t="shared" si="22"/>
        <v>3.004</v>
      </c>
      <c r="EO10" s="67">
        <f t="shared" si="23"/>
        <v>4.2960000000000003</v>
      </c>
      <c r="EP10" s="67">
        <f t="shared" si="24"/>
        <v>1.7</v>
      </c>
      <c r="ET10" s="66">
        <f t="shared" si="25"/>
        <v>3.7101533830894685E-2</v>
      </c>
      <c r="EW10" s="14">
        <f t="shared" si="27"/>
        <v>4296</v>
      </c>
      <c r="FE10" s="14">
        <f t="shared" si="26"/>
        <v>29000</v>
      </c>
    </row>
    <row r="11" spans="1:161" ht="12.75" hidden="1" customHeight="1" x14ac:dyDescent="0.2">
      <c r="B11" s="52">
        <v>1990</v>
      </c>
      <c r="C11" s="53">
        <v>24051.46014449577</v>
      </c>
      <c r="D11" s="53"/>
      <c r="E11" s="53"/>
      <c r="F11" s="47"/>
      <c r="G11" s="54">
        <v>114</v>
      </c>
      <c r="H11" s="54">
        <v>227</v>
      </c>
      <c r="I11" s="54">
        <v>644</v>
      </c>
      <c r="J11" s="54">
        <v>985</v>
      </c>
      <c r="K11" s="47"/>
      <c r="L11" s="55">
        <f t="shared" si="1"/>
        <v>25036.46014449577</v>
      </c>
      <c r="M11" s="47"/>
      <c r="N11" s="47"/>
      <c r="O11" s="47"/>
      <c r="P11" s="56">
        <v>2460</v>
      </c>
      <c r="Q11" s="47"/>
      <c r="R11" s="54">
        <v>0</v>
      </c>
      <c r="S11" s="54">
        <v>2083</v>
      </c>
      <c r="T11" s="54">
        <f t="shared" si="2"/>
        <v>2083</v>
      </c>
      <c r="U11" s="47"/>
      <c r="V11" s="56">
        <f t="shared" si="3"/>
        <v>26511.46014449577</v>
      </c>
      <c r="W11" s="47"/>
      <c r="X11" s="54">
        <v>114</v>
      </c>
      <c r="Y11" s="54">
        <v>227</v>
      </c>
      <c r="Z11" s="54">
        <v>2727</v>
      </c>
      <c r="AA11" s="54">
        <f t="shared" si="4"/>
        <v>3068</v>
      </c>
      <c r="AB11" s="47"/>
      <c r="AC11" s="54">
        <v>2235</v>
      </c>
      <c r="AD11" s="54">
        <v>1326</v>
      </c>
      <c r="AE11" s="54">
        <f t="shared" si="5"/>
        <v>3561</v>
      </c>
      <c r="AF11" s="47"/>
      <c r="AG11" s="47"/>
      <c r="AH11" s="47"/>
      <c r="AI11" s="47"/>
      <c r="AJ11" s="56">
        <f t="shared" si="6"/>
        <v>33140.460144495766</v>
      </c>
      <c r="AK11" s="47">
        <f t="shared" si="7"/>
        <v>1500</v>
      </c>
      <c r="AL11" s="56">
        <f t="shared" si="8"/>
        <v>34640.460144495766</v>
      </c>
      <c r="AN11" s="68">
        <v>6627.8650361239379</v>
      </c>
      <c r="AO11" s="69"/>
      <c r="AP11" s="60"/>
      <c r="AQ11" s="59"/>
      <c r="AR11" s="61"/>
      <c r="AS11" s="61"/>
      <c r="AT11" s="33"/>
      <c r="AU11" s="61"/>
      <c r="AV11" s="61"/>
      <c r="AW11" s="61"/>
      <c r="AX11" s="61"/>
      <c r="AY11" s="61"/>
      <c r="AZ11" s="61"/>
      <c r="BA11" s="61"/>
      <c r="BB11" s="62"/>
      <c r="BC11" s="33"/>
      <c r="BI11" s="5"/>
      <c r="BS11" s="63">
        <f t="shared" si="9"/>
        <v>2235</v>
      </c>
      <c r="BT11" s="63">
        <f t="shared" si="10"/>
        <v>2727</v>
      </c>
      <c r="BU11" s="63">
        <f t="shared" si="11"/>
        <v>114</v>
      </c>
      <c r="BV11" s="63">
        <f t="shared" si="12"/>
        <v>1326</v>
      </c>
      <c r="BW11" s="63">
        <f t="shared" si="13"/>
        <v>227</v>
      </c>
      <c r="BX11" s="63">
        <f t="shared" si="14"/>
        <v>6629</v>
      </c>
      <c r="BY11" s="63">
        <f t="shared" si="15"/>
        <v>33140.460144495766</v>
      </c>
      <c r="BZ11" s="64">
        <f t="shared" si="16"/>
        <v>0.20002739766125419</v>
      </c>
      <c r="CA11" s="64">
        <f t="shared" si="17"/>
        <v>0.53718509579122042</v>
      </c>
      <c r="CB11" s="64">
        <f t="shared" si="18"/>
        <v>0.46281490420877963</v>
      </c>
      <c r="CC11" s="64">
        <f t="shared" si="19"/>
        <v>0.18452454176405461</v>
      </c>
      <c r="CF11" s="48"/>
      <c r="CG11" s="48"/>
      <c r="CH11" s="49"/>
      <c r="CI11" s="48"/>
      <c r="CJ11" s="48"/>
      <c r="CK11" s="49"/>
      <c r="CT11" s="50"/>
      <c r="CU11" s="26"/>
      <c r="CV11" s="26"/>
      <c r="CW11" s="26"/>
      <c r="CX11" s="65"/>
      <c r="CY11" s="65"/>
      <c r="CZ11" s="26"/>
      <c r="DA11" s="26"/>
      <c r="DB11" s="26"/>
      <c r="DC11" s="26"/>
      <c r="DD11" s="26"/>
      <c r="DE11" s="26"/>
      <c r="DF11" s="26"/>
      <c r="DH11" s="66">
        <f t="shared" si="20"/>
        <v>9.2790060848864181E-2</v>
      </c>
      <c r="EL11" s="67">
        <f t="shared" si="21"/>
        <v>26.511460144495771</v>
      </c>
      <c r="EM11" s="67"/>
      <c r="EN11" s="67">
        <f t="shared" si="22"/>
        <v>2.7269999999999999</v>
      </c>
      <c r="EO11" s="67">
        <f t="shared" si="23"/>
        <v>3.9020000000000001</v>
      </c>
      <c r="EP11" s="67">
        <f t="shared" si="24"/>
        <v>1.5</v>
      </c>
      <c r="ET11" s="66">
        <f t="shared" si="25"/>
        <v>3.9342622491964019E-2</v>
      </c>
      <c r="EW11" s="14">
        <f t="shared" si="27"/>
        <v>3902</v>
      </c>
      <c r="FE11" s="14">
        <f t="shared" si="26"/>
        <v>25000</v>
      </c>
    </row>
    <row r="12" spans="1:161" ht="12.75" hidden="1" customHeight="1" x14ac:dyDescent="0.2">
      <c r="B12" s="52">
        <v>1991</v>
      </c>
      <c r="C12" s="53">
        <v>6906.5653839090364</v>
      </c>
      <c r="D12" s="53"/>
      <c r="E12" s="53"/>
      <c r="F12" s="47"/>
      <c r="G12" s="54">
        <v>73</v>
      </c>
      <c r="H12" s="54">
        <v>146</v>
      </c>
      <c r="I12" s="54">
        <v>415</v>
      </c>
      <c r="J12" s="54">
        <v>634</v>
      </c>
      <c r="K12" s="47"/>
      <c r="L12" s="55">
        <f t="shared" si="1"/>
        <v>7540.5653839090364</v>
      </c>
      <c r="M12" s="47"/>
      <c r="N12" s="47"/>
      <c r="O12" s="47"/>
      <c r="P12" s="56">
        <v>1019.1178495328635</v>
      </c>
      <c r="Q12" s="47"/>
      <c r="R12" s="54">
        <v>0</v>
      </c>
      <c r="S12" s="54">
        <v>1341</v>
      </c>
      <c r="T12" s="54">
        <f t="shared" si="2"/>
        <v>1341</v>
      </c>
      <c r="U12" s="47"/>
      <c r="V12" s="56">
        <f t="shared" si="3"/>
        <v>7925.6832334418996</v>
      </c>
      <c r="W12" s="47"/>
      <c r="X12" s="54">
        <v>73</v>
      </c>
      <c r="Y12" s="54">
        <v>146</v>
      </c>
      <c r="Z12" s="54">
        <v>1756</v>
      </c>
      <c r="AA12" s="54">
        <f t="shared" si="4"/>
        <v>1975</v>
      </c>
      <c r="AB12" s="47"/>
      <c r="AC12" s="54">
        <v>1439</v>
      </c>
      <c r="AD12" s="54">
        <v>854</v>
      </c>
      <c r="AE12" s="54">
        <f t="shared" si="5"/>
        <v>2293</v>
      </c>
      <c r="AF12" s="47"/>
      <c r="AG12" s="47"/>
      <c r="AH12" s="47"/>
      <c r="AI12" s="47"/>
      <c r="AJ12" s="56">
        <f t="shared" si="6"/>
        <v>12193.6832334419</v>
      </c>
      <c r="AK12" s="47">
        <f t="shared" si="7"/>
        <v>600</v>
      </c>
      <c r="AL12" s="56">
        <f t="shared" si="8"/>
        <v>12793.6832334419</v>
      </c>
      <c r="AN12" s="70">
        <v>4267.6755872379454</v>
      </c>
      <c r="AO12" s="69"/>
      <c r="AP12" s="60"/>
      <c r="AQ12" s="59"/>
      <c r="AR12" s="61"/>
      <c r="AS12" s="61"/>
      <c r="AT12" s="33"/>
      <c r="AU12" s="61"/>
      <c r="AV12" s="61"/>
      <c r="AW12" s="61"/>
      <c r="AX12" s="61"/>
      <c r="AY12" s="61"/>
      <c r="AZ12" s="61"/>
      <c r="BA12" s="61"/>
      <c r="BB12" s="62"/>
      <c r="BC12" s="33"/>
      <c r="BI12" s="5"/>
      <c r="BS12" s="63">
        <f t="shared" si="9"/>
        <v>1439</v>
      </c>
      <c r="BT12" s="63">
        <f t="shared" si="10"/>
        <v>1756</v>
      </c>
      <c r="BU12" s="63">
        <f t="shared" si="11"/>
        <v>73</v>
      </c>
      <c r="BV12" s="63">
        <f t="shared" si="12"/>
        <v>854</v>
      </c>
      <c r="BW12" s="63">
        <f t="shared" si="13"/>
        <v>146</v>
      </c>
      <c r="BX12" s="63">
        <f t="shared" si="14"/>
        <v>4268</v>
      </c>
      <c r="BY12" s="63">
        <f t="shared" si="15"/>
        <v>12193.6832334419</v>
      </c>
      <c r="BZ12" s="64">
        <f t="shared" si="16"/>
        <v>0.35001729324038505</v>
      </c>
      <c r="CA12" s="64">
        <f t="shared" si="17"/>
        <v>0.53725398313027184</v>
      </c>
      <c r="CB12" s="64">
        <f t="shared" si="18"/>
        <v>0.46274601686972822</v>
      </c>
      <c r="CC12" s="64">
        <f t="shared" si="19"/>
        <v>0.12325390304026294</v>
      </c>
      <c r="CF12" s="48"/>
      <c r="CG12" s="48"/>
      <c r="CH12" s="49"/>
      <c r="CI12" s="48"/>
      <c r="CJ12" s="48"/>
      <c r="CK12" s="49"/>
      <c r="CT12" s="50"/>
      <c r="CU12" s="26"/>
      <c r="CV12" s="26"/>
      <c r="CW12" s="26"/>
      <c r="CX12" s="65"/>
      <c r="CY12" s="65"/>
      <c r="CZ12" s="26"/>
      <c r="DA12" s="26"/>
      <c r="DB12" s="26"/>
      <c r="DC12" s="26"/>
      <c r="DD12" s="26"/>
      <c r="DE12" s="26"/>
      <c r="DF12" s="26"/>
      <c r="DH12" s="66">
        <f t="shared" si="20"/>
        <v>0.12858422668632058</v>
      </c>
      <c r="EL12" s="67">
        <f t="shared" si="21"/>
        <v>7.9256832334418998</v>
      </c>
      <c r="EM12" s="67"/>
      <c r="EN12" s="67">
        <f t="shared" si="22"/>
        <v>1.756</v>
      </c>
      <c r="EO12" s="67">
        <f t="shared" si="23"/>
        <v>2.512</v>
      </c>
      <c r="EP12" s="67">
        <f t="shared" si="24"/>
        <v>0.6</v>
      </c>
      <c r="ET12" s="66">
        <f t="shared" si="25"/>
        <v>8.4078576037932826E-2</v>
      </c>
      <c r="EW12" s="14">
        <f t="shared" si="27"/>
        <v>2512</v>
      </c>
      <c r="FE12" s="14">
        <f t="shared" si="26"/>
        <v>8000</v>
      </c>
    </row>
    <row r="13" spans="1:161" ht="12.75" customHeight="1" x14ac:dyDescent="0.2">
      <c r="B13" s="4">
        <v>1992</v>
      </c>
      <c r="C13" s="71">
        <f>L13-J13</f>
        <v>16808</v>
      </c>
      <c r="D13" s="71"/>
      <c r="E13" s="71"/>
      <c r="G13" s="14">
        <f>'[1]Data-Nisgaa &amp; Other FN Catch'!BI5</f>
        <v>612</v>
      </c>
      <c r="H13" s="14">
        <v>1339</v>
      </c>
      <c r="I13" s="14">
        <f>'Data-Chin-Nisga''a'!N7</f>
        <v>1308.1727757851456</v>
      </c>
      <c r="J13" s="14">
        <f>SUM(G13:I13)</f>
        <v>3259.1727757851459</v>
      </c>
      <c r="L13" s="72">
        <f>'Bayesian Sum (10Feb26)'!K8</f>
        <v>20067.172775785148</v>
      </c>
      <c r="M13" s="73">
        <f t="shared" ref="M13:M42" si="28">H13/L13</f>
        <v>6.6725891831447115E-2</v>
      </c>
      <c r="N13" s="56">
        <f>'Data-Coastal-Chin-Esc (new)'!J20</f>
        <v>605</v>
      </c>
      <c r="O13" s="74">
        <f>P13/N13</f>
        <v>3.3939312976056732</v>
      </c>
      <c r="P13" s="14">
        <f>'Data-Coastal-Chin-Esc (new)'!AL20</f>
        <v>2053.3284350514323</v>
      </c>
      <c r="R13" s="18" t="s">
        <v>106</v>
      </c>
      <c r="S13" s="14">
        <f>'Data-Chin-Nisga''a'!P7+'Data-Chin-Nisga''a'!Q7+'Data-Chin-Nisga''a'!O7</f>
        <v>5750.8272242148541</v>
      </c>
      <c r="T13" s="14">
        <f t="shared" si="2"/>
        <v>5750.8272242148541</v>
      </c>
      <c r="U13" s="73"/>
      <c r="V13" s="14">
        <f>SUM(P13,C13)</f>
        <v>18861.328435051433</v>
      </c>
      <c r="X13" s="14">
        <f t="shared" ref="X13:X42" si="29">G13</f>
        <v>612</v>
      </c>
      <c r="Y13" s="14">
        <f t="shared" ref="Y13:Z38" si="30">SUM(H13,R13)</f>
        <v>1339</v>
      </c>
      <c r="Z13" s="14">
        <f t="shared" si="30"/>
        <v>7059</v>
      </c>
      <c r="AA13" s="14">
        <f t="shared" si="4"/>
        <v>9010</v>
      </c>
      <c r="AC13" s="14">
        <f>'A3.1b CF-tidal-Harvests (Chin)'!G7</f>
        <v>5464.5208808217485</v>
      </c>
      <c r="AD13" s="14">
        <v>3207.1457858449157</v>
      </c>
      <c r="AE13" s="14">
        <f t="shared" si="5"/>
        <v>8671.6666666666642</v>
      </c>
      <c r="AJ13" s="14">
        <f t="shared" ref="AJ13:AJ46" si="31">SUM(V13,AA13,AE13)</f>
        <v>36542.995101718101</v>
      </c>
      <c r="AK13" s="75">
        <f t="shared" si="7"/>
        <v>1700</v>
      </c>
      <c r="AL13" s="14">
        <f>SUM(AJ13:AK13)</f>
        <v>38242.995101718101</v>
      </c>
      <c r="AM13" s="14"/>
      <c r="AN13" s="14">
        <v>20870</v>
      </c>
      <c r="AO13" s="76">
        <f t="shared" ref="AO13:AO38" si="32">X13/AN13</f>
        <v>2.9324389075227598E-2</v>
      </c>
      <c r="AP13" s="60">
        <f t="shared" ref="AP13:AP44" si="33">RANK(L13,L$13:L$46,1)</f>
        <v>19</v>
      </c>
      <c r="AQ13" s="59"/>
      <c r="AR13" s="77">
        <f t="shared" ref="AR13:AR40" si="34">SUM(AE13,AA13,AK13)/AL13</f>
        <v>0.50680305282354643</v>
      </c>
      <c r="AS13" s="61">
        <f>I13/$L13</f>
        <v>6.5189690167202052E-2</v>
      </c>
      <c r="AT13" s="61">
        <f t="shared" ref="AT13:AT39" si="35">H13/$L13</f>
        <v>6.6725891831447115E-2</v>
      </c>
      <c r="AU13" s="61">
        <f t="shared" ref="AU13:AU39" si="36">J13/$L13</f>
        <v>0.16241315167814552</v>
      </c>
      <c r="AV13" s="61"/>
      <c r="AW13" s="33"/>
      <c r="AX13" s="61">
        <f t="shared" ref="AX13:AX39" si="37">Z13/$AL13</f>
        <v>0.18458282310850879</v>
      </c>
      <c r="AY13" s="61">
        <f t="shared" ref="AY13:AY46" si="38">AC13/$AL13</f>
        <v>0.14288945900516695</v>
      </c>
      <c r="AZ13" s="61">
        <f t="shared" ref="AZ13:AZ39" si="39">SUM(Y13,AD13)/$AL13</f>
        <v>0.11887525476896228</v>
      </c>
      <c r="BA13" s="61">
        <f t="shared" ref="BA13:BA39" si="40">X13/AL13</f>
        <v>1.6002930690240454E-2</v>
      </c>
      <c r="BB13" s="61">
        <f>SUM(AA13,AE13)/AL13</f>
        <v>0.46235046757287845</v>
      </c>
      <c r="BC13" s="61">
        <f>AK13/AL13</f>
        <v>4.4452585250667934E-2</v>
      </c>
      <c r="BD13" s="78">
        <f t="shared" ref="BD13:BD46" si="41">SUM(AA13,AE13,AK13)/AL13</f>
        <v>0.50680305282354643</v>
      </c>
      <c r="BE13" s="17"/>
      <c r="BF13" s="17"/>
      <c r="BG13" s="22">
        <f>'[1]Data-PSC CH Tables'!C7</f>
        <v>16808</v>
      </c>
      <c r="BH13" s="22">
        <f>'[1]Data-PSC CH Tables'!AG7</f>
        <v>35397.166666666664</v>
      </c>
      <c r="BI13" s="22">
        <f>'[1]Data-PSC CH Tables'!AI7</f>
        <v>37197.166666666664</v>
      </c>
      <c r="BJ13" s="17"/>
      <c r="BK13" s="22">
        <f>BG13-C13</f>
        <v>0</v>
      </c>
      <c r="BL13" s="22">
        <f>BH13-AJ13</f>
        <v>-1145.8284350514368</v>
      </c>
      <c r="BM13" s="22">
        <f>BI13-AL13</f>
        <v>-1045.8284350514368</v>
      </c>
      <c r="BO13" s="33"/>
      <c r="BP13" s="33"/>
      <c r="BQ13" s="33"/>
      <c r="BS13" s="62">
        <f>AC13</f>
        <v>5464.5208808217485</v>
      </c>
      <c r="BT13" s="62">
        <f t="shared" si="10"/>
        <v>7059</v>
      </c>
      <c r="BU13" s="62">
        <f t="shared" si="11"/>
        <v>612</v>
      </c>
      <c r="BV13" s="62">
        <f t="shared" si="12"/>
        <v>3207.1457858449157</v>
      </c>
      <c r="BW13" s="62">
        <f t="shared" si="13"/>
        <v>1339</v>
      </c>
      <c r="BX13" s="62">
        <f t="shared" si="14"/>
        <v>17681.666666666664</v>
      </c>
      <c r="BY13" s="62">
        <f t="shared" si="15"/>
        <v>36542.995101718101</v>
      </c>
      <c r="BZ13" s="79">
        <f>BX13/BY13</f>
        <v>0.48385926269725343</v>
      </c>
      <c r="CA13" s="79">
        <f>SUM(BV13,BS13)/BX13</f>
        <v>0.49043265152229232</v>
      </c>
      <c r="CB13" s="79">
        <f>SUM(BT13:BU13,BW13)/BX13</f>
        <v>0.50956734847770768</v>
      </c>
      <c r="CC13" s="79">
        <f t="shared" si="19"/>
        <v>8.7711755095021077E-2</v>
      </c>
      <c r="CD13" s="80"/>
      <c r="CF13" s="36">
        <v>35901.329965764526</v>
      </c>
      <c r="CG13" s="36">
        <v>37701.329965764526</v>
      </c>
      <c r="CH13" s="81">
        <f>CF13-AJ13</f>
        <v>-641.66513595357537</v>
      </c>
      <c r="CI13" s="36">
        <f>CG13-AL13</f>
        <v>-541.66513595357537</v>
      </c>
      <c r="CJ13" s="36">
        <v>18219.663299097861</v>
      </c>
      <c r="CK13" s="81">
        <f>V13-CJ13</f>
        <v>641.66513595357173</v>
      </c>
      <c r="CM13" s="33"/>
      <c r="CN13" s="82"/>
      <c r="CO13" s="82"/>
      <c r="CP13" s="82"/>
      <c r="CQ13" s="33"/>
      <c r="CR13" s="33"/>
      <c r="CS13" s="33"/>
      <c r="CT13" s="83"/>
      <c r="CU13" s="33"/>
      <c r="CV13" s="33"/>
      <c r="CW13" s="33"/>
      <c r="CX13" s="84"/>
      <c r="CY13" s="84"/>
      <c r="CZ13" s="33"/>
      <c r="DA13" s="33"/>
      <c r="DB13" s="33"/>
      <c r="DC13" s="33"/>
      <c r="DD13" s="33"/>
      <c r="DE13" s="33"/>
      <c r="DF13" s="33"/>
      <c r="DH13" s="66">
        <f t="shared" si="20"/>
        <v>0.10886446530646149</v>
      </c>
      <c r="DK13" s="85">
        <f t="shared" ref="DK13:DK20" si="42">AA13+V13</f>
        <v>27871.328435051433</v>
      </c>
      <c r="DN13" s="3">
        <f>($DK13*DK$50)</f>
        <v>2615.0514057092691</v>
      </c>
      <c r="DO13" s="86">
        <f>DN13/DK13</f>
        <v>9.3825861648579992E-2</v>
      </c>
      <c r="DP13" s="3">
        <f t="shared" ref="DP13:DP20" si="43">($DK13*DL$50)</f>
        <v>1049.4953959836917</v>
      </c>
      <c r="DQ13" s="86">
        <f>DP13/DK13</f>
        <v>3.7655018792137271E-2</v>
      </c>
      <c r="DS13" s="14">
        <f t="shared" ref="DS13:DS39" si="44">V13</f>
        <v>18861.328435051433</v>
      </c>
      <c r="DT13" s="14">
        <v>17715.5</v>
      </c>
      <c r="DU13" s="14">
        <f>DT13-DS13</f>
        <v>-1145.8284350514332</v>
      </c>
      <c r="DW13" s="14">
        <f t="shared" ref="DW13:DW39" si="45">AJ13</f>
        <v>36542.995101718101</v>
      </c>
      <c r="DX13" s="14">
        <v>34686.666666666664</v>
      </c>
      <c r="DY13" s="14">
        <f>DX13-DW13</f>
        <v>-1856.3284350514368</v>
      </c>
      <c r="EA13" s="3">
        <v>8671.6666666666642</v>
      </c>
      <c r="EC13" s="87">
        <f t="shared" ref="EC13:EC20" si="46">ROUND(EA13*EC$48,0)</f>
        <v>5605</v>
      </c>
      <c r="ED13" s="88">
        <f>EA13-EC13</f>
        <v>3066.6666666666642</v>
      </c>
      <c r="EE13" s="3">
        <f>SUM(EC13:ED13)</f>
        <v>8671.6666666666642</v>
      </c>
      <c r="EG13" s="14">
        <f t="shared" ref="EG13:EG39" si="47">SUM(X13:Y13,AE13)</f>
        <v>10622.666666666664</v>
      </c>
      <c r="EI13" s="89">
        <f>$P13/B13</f>
        <v>1.0307873669936909</v>
      </c>
      <c r="EJ13" s="89">
        <f t="shared" ref="EJ13:EJ39" si="48">$P13/V13</f>
        <v>0.10886446530646149</v>
      </c>
      <c r="EL13" s="67"/>
      <c r="EM13" s="67">
        <f t="shared" ref="EM13:EM39" si="49">V13/1000</f>
        <v>18.861328435051433</v>
      </c>
      <c r="EN13" s="67">
        <f t="shared" si="22"/>
        <v>7.0590000000000002</v>
      </c>
      <c r="EO13" s="67">
        <f t="shared" si="23"/>
        <v>10.622666666666664</v>
      </c>
      <c r="EP13" s="67">
        <f t="shared" si="24"/>
        <v>1.7</v>
      </c>
      <c r="ET13" s="66">
        <f t="shared" si="25"/>
        <v>0.16241315167814552</v>
      </c>
      <c r="EW13" s="14">
        <f t="shared" si="27"/>
        <v>10622.666666666664</v>
      </c>
      <c r="EY13" s="14">
        <f t="shared" ref="EY13:EY39" si="50">G13+H13</f>
        <v>1951</v>
      </c>
      <c r="EZ13" s="14" t="e">
        <f t="shared" ref="EZ13:EZ39" si="51">EY13+R13</f>
        <v>#VALUE!</v>
      </c>
      <c r="FB13" s="14">
        <f t="shared" ref="FB13:FB39" si="52">L13+SUM(S13,AE13,AK13)*FC13</f>
        <v>34693.101338668021</v>
      </c>
      <c r="FC13" s="66">
        <f t="shared" ref="FC13:FC39" si="53">L13/SUM(L13,P13)</f>
        <v>0.90717532051011884</v>
      </c>
      <c r="FE13" s="14">
        <f t="shared" si="26"/>
        <v>20000</v>
      </c>
    </row>
    <row r="14" spans="1:161" x14ac:dyDescent="0.2">
      <c r="B14" s="4">
        <v>1993</v>
      </c>
      <c r="C14" s="71">
        <f t="shared" ref="C14:C46" si="54">L14-J14</f>
        <v>24814</v>
      </c>
      <c r="D14" s="71"/>
      <c r="E14" s="71"/>
      <c r="G14" s="14">
        <f>'[1]Data-Nisgaa &amp; Other FN Catch'!BI6</f>
        <v>600</v>
      </c>
      <c r="H14" s="14">
        <v>983</v>
      </c>
      <c r="I14" s="14">
        <f>'Data-Chin-Nisga''a'!N8</f>
        <v>1526.1184498294112</v>
      </c>
      <c r="J14" s="14">
        <f t="shared" ref="J14:J36" si="55">SUM(G14:I14)</f>
        <v>3109.1184498294115</v>
      </c>
      <c r="L14" s="72">
        <f>'Bayesian Sum (10Feb26)'!K9</f>
        <v>27923.11844982941</v>
      </c>
      <c r="M14" s="73">
        <f t="shared" si="28"/>
        <v>3.5203804394777598E-2</v>
      </c>
      <c r="N14" s="56">
        <f>'Data-Coastal-Chin-Esc (new)'!J21</f>
        <v>782.82788840181149</v>
      </c>
      <c r="O14" s="74">
        <f t="shared" ref="O14:O46" si="56">P14/N14</f>
        <v>2.9294556776379834</v>
      </c>
      <c r="P14" s="14">
        <f>'Data-Coastal-Chin-Esc (new)'!AL21</f>
        <v>2293.2596022920402</v>
      </c>
      <c r="R14" s="18" t="s">
        <v>106</v>
      </c>
      <c r="S14" s="14">
        <f>'Data-Chin-Nisga''a'!P8+'Data-Chin-Nisga''a'!Q8+'Data-Chin-Nisga''a'!O8</f>
        <v>4059.8815501705885</v>
      </c>
      <c r="T14" s="14">
        <f t="shared" ref="T14:T43" si="57">SUM(R14:S14)</f>
        <v>4059.8815501705885</v>
      </c>
      <c r="U14" s="73"/>
      <c r="V14" s="14">
        <f t="shared" si="3"/>
        <v>27107.259602292041</v>
      </c>
      <c r="X14" s="14">
        <f t="shared" si="29"/>
        <v>600</v>
      </c>
      <c r="Y14" s="14">
        <f t="shared" si="30"/>
        <v>983</v>
      </c>
      <c r="Z14" s="14">
        <f t="shared" si="30"/>
        <v>5586</v>
      </c>
      <c r="AA14" s="14">
        <f t="shared" si="4"/>
        <v>7169</v>
      </c>
      <c r="AC14" s="14">
        <f>'A3.1b CF-tidal-Harvests (Chin)'!G8</f>
        <v>7809.3391238589656</v>
      </c>
      <c r="AD14" s="14">
        <v>4583.3275428076986</v>
      </c>
      <c r="AE14" s="14">
        <f t="shared" ref="AE14:AE46" si="58">SUM(AC14:AD14)</f>
        <v>12392.666666666664</v>
      </c>
      <c r="AJ14" s="14">
        <f t="shared" si="31"/>
        <v>46668.926268958705</v>
      </c>
      <c r="AK14" s="75">
        <f t="shared" si="7"/>
        <v>2200</v>
      </c>
      <c r="AL14" s="14">
        <f t="shared" ref="AL14:AL38" si="59">SUM(AJ14:AK14)</f>
        <v>48868.926268958705</v>
      </c>
      <c r="AM14" s="14"/>
      <c r="AN14" s="14">
        <v>21829.333333333332</v>
      </c>
      <c r="AO14" s="76">
        <f t="shared" si="32"/>
        <v>2.7485951624725141E-2</v>
      </c>
      <c r="AP14" s="60">
        <f t="shared" si="33"/>
        <v>31</v>
      </c>
      <c r="AQ14" s="59"/>
      <c r="AR14" s="77">
        <f t="shared" si="34"/>
        <v>0.44530683049792247</v>
      </c>
      <c r="AS14" s="61">
        <f t="shared" ref="AS14:AS39" si="60">I14/L14</f>
        <v>5.4654298464960123E-2</v>
      </c>
      <c r="AT14" s="61">
        <f t="shared" si="35"/>
        <v>3.5203804394777598E-2</v>
      </c>
      <c r="AU14" s="61">
        <f t="shared" si="36"/>
        <v>0.11134567420955112</v>
      </c>
      <c r="AV14" s="61"/>
      <c r="AW14" s="33"/>
      <c r="AX14" s="61">
        <f t="shared" si="37"/>
        <v>0.11430576496108119</v>
      </c>
      <c r="AY14" s="61">
        <f t="shared" si="38"/>
        <v>0.15980173333211575</v>
      </c>
      <c r="AZ14" s="61">
        <f t="shared" si="39"/>
        <v>0.11390320941721614</v>
      </c>
      <c r="BA14" s="61">
        <f t="shared" si="40"/>
        <v>1.2277740597323436E-2</v>
      </c>
      <c r="BB14" s="61">
        <f t="shared" ref="BB14:BB46" si="61">SUM(AA14,AE14)/AL14</f>
        <v>0.40028844830773652</v>
      </c>
      <c r="BC14" s="61">
        <f t="shared" ref="BC14:BC33" si="62">AK14/AL14</f>
        <v>4.5018382190185932E-2</v>
      </c>
      <c r="BD14" s="78">
        <f t="shared" si="41"/>
        <v>0.44530683049792247</v>
      </c>
      <c r="BE14" s="17"/>
      <c r="BF14" s="17"/>
      <c r="BG14" s="22">
        <f>'[1]Data-PSC CH Tables'!C8</f>
        <v>24814</v>
      </c>
      <c r="BH14" s="22">
        <f>'[1]Data-PSC CH Tables'!AG8</f>
        <v>45414.424903021361</v>
      </c>
      <c r="BI14" s="22">
        <f>'[1]Data-PSC CH Tables'!AI8</f>
        <v>47714.424903021361</v>
      </c>
      <c r="BJ14" s="17"/>
      <c r="BK14" s="22">
        <f t="shared" ref="BK14:BK46" si="63">BG14-C14</f>
        <v>0</v>
      </c>
      <c r="BL14" s="22">
        <f t="shared" ref="BL14:BL46" si="64">BH14-AJ14</f>
        <v>-1254.5013659373435</v>
      </c>
      <c r="BM14" s="22">
        <f t="shared" ref="BM14:BM46" si="65">BI14-AL14</f>
        <v>-1154.5013659373435</v>
      </c>
      <c r="BO14" s="33"/>
      <c r="BP14" s="33"/>
      <c r="BQ14" s="33"/>
      <c r="BS14" s="62">
        <f t="shared" ref="BS14:BS46" si="66">AC14</f>
        <v>7809.3391238589656</v>
      </c>
      <c r="BT14" s="62">
        <f t="shared" si="10"/>
        <v>5586</v>
      </c>
      <c r="BU14" s="62">
        <f t="shared" si="11"/>
        <v>600</v>
      </c>
      <c r="BV14" s="62">
        <f t="shared" si="12"/>
        <v>4583.3275428076986</v>
      </c>
      <c r="BW14" s="62">
        <f t="shared" si="13"/>
        <v>983</v>
      </c>
      <c r="BX14" s="62">
        <f t="shared" ref="BX14:BX46" si="67">SUM(BS14:BW14)</f>
        <v>19561.666666666664</v>
      </c>
      <c r="BY14" s="62">
        <f t="shared" si="15"/>
        <v>46668.926268958705</v>
      </c>
      <c r="BZ14" s="79">
        <f t="shared" ref="BZ14:BZ46" si="68">BX14/BY14</f>
        <v>0.41915827576427189</v>
      </c>
      <c r="CA14" s="79">
        <f t="shared" ref="CA14:CA46" si="69">SUM(BV14,BS14)/BX14</f>
        <v>0.63351793473630391</v>
      </c>
      <c r="CB14" s="79">
        <f t="shared" ref="CB14:CB46" si="70">SUM(BT14:BU14,BW14)/BX14</f>
        <v>0.36648206526369603</v>
      </c>
      <c r="CC14" s="79">
        <f t="shared" si="19"/>
        <v>0.10109519797809605</v>
      </c>
      <c r="CD14" s="33"/>
      <c r="CF14" s="36">
        <v>46202.260715537923</v>
      </c>
      <c r="CG14" s="36">
        <v>48502.260715537923</v>
      </c>
      <c r="CH14" s="81">
        <f t="shared" ref="CH14:CH21" si="71">CF14-AJ14</f>
        <v>-466.66555342078209</v>
      </c>
      <c r="CI14" s="36">
        <f t="shared" ref="CI14:CI21" si="72">CG14-AL14</f>
        <v>-366.66555342078209</v>
      </c>
      <c r="CJ14" s="36">
        <v>26640.594048871259</v>
      </c>
      <c r="CK14" s="81">
        <f t="shared" ref="CK14:CK46" si="73">V14-CJ14</f>
        <v>466.66555342078209</v>
      </c>
      <c r="CM14" s="33"/>
      <c r="CN14" s="82"/>
      <c r="CO14" s="82"/>
      <c r="CP14" s="82"/>
      <c r="CQ14" s="33"/>
      <c r="CR14" s="33"/>
      <c r="CS14" s="33"/>
      <c r="CT14" s="83"/>
      <c r="CU14" s="33"/>
      <c r="CV14" s="33"/>
      <c r="CW14" s="33"/>
      <c r="CX14" s="84"/>
      <c r="CY14" s="84"/>
      <c r="CZ14" s="33"/>
      <c r="DA14" s="33"/>
      <c r="DB14" s="33"/>
      <c r="DC14" s="33"/>
      <c r="DD14" s="33"/>
      <c r="DE14" s="33"/>
      <c r="DF14" s="33"/>
      <c r="DH14" s="66">
        <f t="shared" si="20"/>
        <v>8.4599462872231274E-2</v>
      </c>
      <c r="DK14" s="90">
        <f t="shared" si="42"/>
        <v>34276.259602292041</v>
      </c>
      <c r="DN14" s="3">
        <f t="shared" ref="DN14:DN20" si="74">(DK14*DK$50)</f>
        <v>3215.9995912754644</v>
      </c>
      <c r="DO14" s="86">
        <f t="shared" ref="DO14:DO20" si="75">DN14/DK14</f>
        <v>9.3825861648579992E-2</v>
      </c>
      <c r="DP14" s="3">
        <f t="shared" si="43"/>
        <v>1290.6731994484824</v>
      </c>
      <c r="DQ14" s="86">
        <f t="shared" ref="DQ14:DQ20" si="76">DP14/DK14</f>
        <v>3.7655018792137271E-2</v>
      </c>
      <c r="DS14" s="14">
        <f t="shared" si="44"/>
        <v>27107.259602292041</v>
      </c>
      <c r="DT14" s="14">
        <v>25852.758236354697</v>
      </c>
      <c r="DU14" s="14">
        <f t="shared" ref="DU14:DU37" si="77">DT14-DS14</f>
        <v>-1254.5013659373435</v>
      </c>
      <c r="DW14" s="14">
        <f t="shared" si="45"/>
        <v>46668.926268958705</v>
      </c>
      <c r="DX14" s="14">
        <v>49570.666666666664</v>
      </c>
      <c r="DY14" s="14">
        <f t="shared" ref="DY14:DY37" si="78">DX14-DW14</f>
        <v>2901.7403977079593</v>
      </c>
      <c r="EA14" s="3">
        <v>12392.666666666664</v>
      </c>
      <c r="EC14" s="91">
        <f t="shared" si="46"/>
        <v>8009</v>
      </c>
      <c r="ED14" s="92">
        <f t="shared" ref="ED14:ED20" si="79">EA14-EC14</f>
        <v>4383.6666666666642</v>
      </c>
      <c r="EE14" s="3">
        <f t="shared" ref="EE14:EE20" si="80">SUM(EC14:ED14)</f>
        <v>12392.666666666664</v>
      </c>
      <c r="EG14" s="14">
        <f t="shared" si="47"/>
        <v>13975.666666666664</v>
      </c>
      <c r="EI14" s="89">
        <f t="shared" ref="EI14:EI32" si="81">P14/B14</f>
        <v>1.1506571009995183</v>
      </c>
      <c r="EJ14" s="89">
        <f t="shared" si="48"/>
        <v>8.4599462872231274E-2</v>
      </c>
      <c r="EL14" s="67"/>
      <c r="EM14" s="67">
        <f t="shared" si="49"/>
        <v>27.107259602292039</v>
      </c>
      <c r="EN14" s="67">
        <f t="shared" si="22"/>
        <v>5.5860000000000003</v>
      </c>
      <c r="EO14" s="67">
        <f t="shared" si="23"/>
        <v>13.975666666666664</v>
      </c>
      <c r="EP14" s="67">
        <f t="shared" si="24"/>
        <v>2.2000000000000002</v>
      </c>
      <c r="ET14" s="66">
        <f t="shared" si="25"/>
        <v>0.11134567420955112</v>
      </c>
      <c r="EW14" s="14">
        <f t="shared" si="27"/>
        <v>13975.666666666664</v>
      </c>
      <c r="EY14" s="14">
        <f t="shared" si="50"/>
        <v>1583</v>
      </c>
      <c r="EZ14" s="14" t="e">
        <f t="shared" si="51"/>
        <v>#VALUE!</v>
      </c>
      <c r="FB14" s="14">
        <f t="shared" si="52"/>
        <v>45160.03918041756</v>
      </c>
      <c r="FC14" s="66">
        <f t="shared" si="53"/>
        <v>0.92410541070354946</v>
      </c>
      <c r="FE14" s="14">
        <f t="shared" si="26"/>
        <v>28000</v>
      </c>
    </row>
    <row r="15" spans="1:161" x14ac:dyDescent="0.2">
      <c r="B15" s="4">
        <v>1994</v>
      </c>
      <c r="C15" s="71">
        <f t="shared" si="54"/>
        <v>23639.335228763888</v>
      </c>
      <c r="D15" s="71">
        <f t="shared" ref="D15:D46" si="82">C15-E15</f>
        <v>19706.335228763888</v>
      </c>
      <c r="E15" s="71">
        <f>'Bayesian Sum (10Feb26)'!H10</f>
        <v>3933</v>
      </c>
      <c r="G15" s="14">
        <f>'[1]Data-Nisgaa &amp; Other FN Catch'!BI7</f>
        <v>120</v>
      </c>
      <c r="H15" s="14">
        <v>893</v>
      </c>
      <c r="I15" s="14">
        <f>'Data-Chin-Nisga''a'!N9</f>
        <v>2097.6647712361123</v>
      </c>
      <c r="J15" s="14">
        <f t="shared" si="55"/>
        <v>3110.6647712361123</v>
      </c>
      <c r="L15" s="72">
        <f>'Bayesian Sum (10Feb26)'!K10</f>
        <v>26750</v>
      </c>
      <c r="M15" s="73">
        <f t="shared" si="28"/>
        <v>3.3383177570093459E-2</v>
      </c>
      <c r="N15" s="56">
        <f>'Data-Coastal-Chin-Esc (new)'!J22</f>
        <v>2376.1408268349237</v>
      </c>
      <c r="O15" s="74">
        <f t="shared" si="56"/>
        <v>2.4315259774436448</v>
      </c>
      <c r="P15" s="14">
        <f>'Data-Coastal-Chin-Esc (new)'!AL22</f>
        <v>5777.6481465135384</v>
      </c>
      <c r="R15" s="18" t="s">
        <v>106</v>
      </c>
      <c r="S15" s="14">
        <f>'Data-Chin-Nisga''a'!P9+'Data-Chin-Nisga''a'!Q9+'Data-Chin-Nisga''a'!O9</f>
        <v>4115.3352287638882</v>
      </c>
      <c r="T15" s="14">
        <f t="shared" si="57"/>
        <v>4115.3352287638882</v>
      </c>
      <c r="U15" s="73"/>
      <c r="V15" s="14">
        <f t="shared" si="3"/>
        <v>29416.983375277428</v>
      </c>
      <c r="X15" s="14">
        <f t="shared" si="29"/>
        <v>120</v>
      </c>
      <c r="Y15" s="14">
        <f t="shared" si="30"/>
        <v>893</v>
      </c>
      <c r="Z15" s="14">
        <f t="shared" si="30"/>
        <v>6213</v>
      </c>
      <c r="AA15" s="14">
        <f t="shared" si="4"/>
        <v>7226</v>
      </c>
      <c r="AC15" s="14">
        <f>'A3.1b CF-tidal-Harvests (Chin)'!G9</f>
        <v>6731.4709611830649</v>
      </c>
      <c r="AD15" s="14">
        <v>3950.723072806556</v>
      </c>
      <c r="AE15" s="14">
        <f t="shared" si="58"/>
        <v>10682.194033989621</v>
      </c>
      <c r="AJ15" s="14">
        <f t="shared" si="31"/>
        <v>47325.177409267053</v>
      </c>
      <c r="AK15" s="75">
        <f t="shared" si="7"/>
        <v>2200</v>
      </c>
      <c r="AL15" s="14">
        <f t="shared" si="59"/>
        <v>49525.177409267053</v>
      </c>
      <c r="AM15" s="14"/>
      <c r="AN15" s="14">
        <f>'[1]Data-FW Catch Rates - new'!CE9</f>
        <v>23205.075000000001</v>
      </c>
      <c r="AO15" s="76">
        <f t="shared" si="32"/>
        <v>5.171282575040158E-3</v>
      </c>
      <c r="AP15" s="60">
        <f t="shared" si="33"/>
        <v>28</v>
      </c>
      <c r="AQ15" s="59"/>
      <c r="AR15" s="77">
        <f t="shared" si="34"/>
        <v>0.40601962649864259</v>
      </c>
      <c r="AS15" s="61">
        <f t="shared" si="60"/>
        <v>7.8417374625649058E-2</v>
      </c>
      <c r="AT15" s="61">
        <f t="shared" si="35"/>
        <v>3.3383177570093459E-2</v>
      </c>
      <c r="AU15" s="61">
        <f t="shared" si="36"/>
        <v>0.11628653350415373</v>
      </c>
      <c r="AV15" s="61"/>
      <c r="AW15" s="33"/>
      <c r="AX15" s="61">
        <f t="shared" si="37"/>
        <v>0.12545134263037361</v>
      </c>
      <c r="AY15" s="61">
        <f t="shared" si="38"/>
        <v>0.13592017865085901</v>
      </c>
      <c r="AZ15" s="61">
        <f t="shared" si="39"/>
        <v>9.780324526207973E-2</v>
      </c>
      <c r="BA15" s="61">
        <f t="shared" si="40"/>
        <v>2.4230099976894951E-3</v>
      </c>
      <c r="BB15" s="61">
        <f t="shared" si="61"/>
        <v>0.36159777654100184</v>
      </c>
      <c r="BC15" s="61">
        <f t="shared" si="62"/>
        <v>4.4421849957640744E-2</v>
      </c>
      <c r="BD15" s="78">
        <f t="shared" si="41"/>
        <v>0.40601962649864259</v>
      </c>
      <c r="BE15" s="17"/>
      <c r="BF15" s="17"/>
      <c r="BG15" s="22">
        <f>'[1]Data-PSC CH Tables'!C9</f>
        <v>21169</v>
      </c>
      <c r="BH15" s="22">
        <f>'[1]Data-PSC CH Tables'!AG9</f>
        <v>42779.776135958484</v>
      </c>
      <c r="BI15" s="22">
        <f>'[1]Data-PSC CH Tables'!AI9</f>
        <v>44979.776135958484</v>
      </c>
      <c r="BJ15" s="17"/>
      <c r="BK15" s="22">
        <f t="shared" si="63"/>
        <v>-2470.3352287638882</v>
      </c>
      <c r="BL15" s="22">
        <f t="shared" si="64"/>
        <v>-4545.4012733085692</v>
      </c>
      <c r="BM15" s="22">
        <f t="shared" si="65"/>
        <v>-4545.4012733085692</v>
      </c>
      <c r="BO15" s="33"/>
      <c r="BP15" s="33"/>
      <c r="BQ15" s="33"/>
      <c r="BS15" s="62">
        <f t="shared" si="66"/>
        <v>6731.4709611830649</v>
      </c>
      <c r="BT15" s="62">
        <f t="shared" si="10"/>
        <v>6213</v>
      </c>
      <c r="BU15" s="62">
        <f t="shared" si="11"/>
        <v>120</v>
      </c>
      <c r="BV15" s="62">
        <f t="shared" si="12"/>
        <v>3950.723072806556</v>
      </c>
      <c r="BW15" s="62">
        <f t="shared" si="13"/>
        <v>893</v>
      </c>
      <c r="BX15" s="62">
        <f t="shared" si="67"/>
        <v>17908.194033989621</v>
      </c>
      <c r="BY15" s="62">
        <f t="shared" si="15"/>
        <v>47325.177409267053</v>
      </c>
      <c r="BZ15" s="79">
        <f t="shared" si="68"/>
        <v>0.37840733018536765</v>
      </c>
      <c r="CA15" s="79">
        <f t="shared" si="69"/>
        <v>0.59649755936946491</v>
      </c>
      <c r="CB15" s="79">
        <f t="shared" si="70"/>
        <v>0.40350244063053509</v>
      </c>
      <c r="CC15" s="79">
        <f t="shared" si="19"/>
        <v>0.10940813462816497</v>
      </c>
      <c r="CD15" s="33"/>
      <c r="CF15" s="36">
        <v>44621.509403792777</v>
      </c>
      <c r="CG15" s="36">
        <v>46921.509403792777</v>
      </c>
      <c r="CH15" s="81">
        <f t="shared" si="71"/>
        <v>-2703.6680054742756</v>
      </c>
      <c r="CI15" s="36">
        <f t="shared" si="72"/>
        <v>-2603.6680054742756</v>
      </c>
      <c r="CJ15" s="36">
        <v>26713.315369803149</v>
      </c>
      <c r="CK15" s="81">
        <f t="shared" si="73"/>
        <v>2703.6680054742792</v>
      </c>
      <c r="CM15" s="33"/>
      <c r="CN15" s="82"/>
      <c r="CO15" s="82"/>
      <c r="CP15" s="82"/>
      <c r="CQ15" s="33"/>
      <c r="CR15" s="33"/>
      <c r="CS15" s="33"/>
      <c r="CT15" s="83"/>
      <c r="CU15" s="33"/>
      <c r="CV15" s="33"/>
      <c r="CW15" s="33"/>
      <c r="CX15" s="84"/>
      <c r="CY15" s="84"/>
      <c r="CZ15" s="33"/>
      <c r="DA15" s="33"/>
      <c r="DB15" s="33"/>
      <c r="DC15" s="33"/>
      <c r="DD15" s="33"/>
      <c r="DE15" s="33"/>
      <c r="DF15" s="33"/>
      <c r="DH15" s="66">
        <f t="shared" si="20"/>
        <v>0.19640518787419853</v>
      </c>
      <c r="DK15" s="90">
        <f t="shared" si="42"/>
        <v>36642.983375277428</v>
      </c>
      <c r="DN15" s="3">
        <f t="shared" si="74"/>
        <v>3438.0594885599967</v>
      </c>
      <c r="DO15" s="86">
        <f t="shared" si="75"/>
        <v>9.3825861648579992E-2</v>
      </c>
      <c r="DP15" s="3">
        <f t="shared" si="43"/>
        <v>1379.7922275960452</v>
      </c>
      <c r="DQ15" s="86">
        <f t="shared" si="76"/>
        <v>3.7655018792137271E-2</v>
      </c>
      <c r="DS15" s="14">
        <f t="shared" si="44"/>
        <v>29416.983375277428</v>
      </c>
      <c r="DT15" s="14">
        <v>24871.582101968863</v>
      </c>
      <c r="DU15" s="14">
        <f t="shared" si="77"/>
        <v>-4545.4012733085656</v>
      </c>
      <c r="DW15" s="14">
        <f t="shared" si="45"/>
        <v>47325.177409267053</v>
      </c>
      <c r="DX15" s="14">
        <v>42728.776135958484</v>
      </c>
      <c r="DY15" s="14">
        <f t="shared" si="78"/>
        <v>-4596.4012733085692</v>
      </c>
      <c r="EA15" s="3">
        <v>10682.194033989621</v>
      </c>
      <c r="EC15" s="91">
        <f t="shared" si="46"/>
        <v>6904</v>
      </c>
      <c r="ED15" s="92">
        <f t="shared" si="79"/>
        <v>3778.1940339896209</v>
      </c>
      <c r="EE15" s="3">
        <f t="shared" si="80"/>
        <v>10682.194033989621</v>
      </c>
      <c r="EG15" s="14">
        <f t="shared" si="47"/>
        <v>11695.194033989621</v>
      </c>
      <c r="EI15" s="89">
        <f t="shared" si="81"/>
        <v>2.8975166231261476</v>
      </c>
      <c r="EJ15" s="89">
        <f t="shared" si="48"/>
        <v>0.19640518787419853</v>
      </c>
      <c r="EL15" s="67"/>
      <c r="EM15" s="67">
        <f t="shared" si="49"/>
        <v>29.416983375277429</v>
      </c>
      <c r="EN15" s="67">
        <f t="shared" si="22"/>
        <v>6.2130000000000001</v>
      </c>
      <c r="EO15" s="67">
        <f t="shared" si="23"/>
        <v>11.695194033989621</v>
      </c>
      <c r="EP15" s="67">
        <f t="shared" si="24"/>
        <v>2.2000000000000002</v>
      </c>
      <c r="ET15" s="66">
        <f t="shared" si="25"/>
        <v>0.11628653350415373</v>
      </c>
      <c r="EW15" s="14">
        <f t="shared" si="27"/>
        <v>11695.194033989621</v>
      </c>
      <c r="EY15" s="14">
        <f t="shared" si="50"/>
        <v>1013</v>
      </c>
      <c r="EZ15" s="14" t="e">
        <f t="shared" si="51"/>
        <v>#VALUE!</v>
      </c>
      <c r="FB15" s="14">
        <f t="shared" si="52"/>
        <v>40728.382504958063</v>
      </c>
      <c r="FC15" s="66">
        <f t="shared" si="53"/>
        <v>0.82237731666029434</v>
      </c>
      <c r="FE15" s="14">
        <f t="shared" si="26"/>
        <v>27000</v>
      </c>
    </row>
    <row r="16" spans="1:161" x14ac:dyDescent="0.2">
      <c r="B16" s="4">
        <v>1995</v>
      </c>
      <c r="C16" s="71">
        <f t="shared" si="54"/>
        <v>9184.6096579476871</v>
      </c>
      <c r="D16" s="71">
        <f t="shared" si="82"/>
        <v>7465.6096579476871</v>
      </c>
      <c r="E16" s="71">
        <f>'Bayesian Sum (10Feb26)'!H11</f>
        <v>1719</v>
      </c>
      <c r="G16" s="14">
        <f>'[1]Data-Nisgaa &amp; Other FN Catch'!BI8</f>
        <v>72</v>
      </c>
      <c r="H16" s="14">
        <v>695</v>
      </c>
      <c r="I16" s="14">
        <f>'Data-Chin-Nisga''a'!N10</f>
        <v>1812.3903420523138</v>
      </c>
      <c r="J16" s="14">
        <f t="shared" si="55"/>
        <v>2579.3903420523138</v>
      </c>
      <c r="L16" s="72">
        <f>'Bayesian Sum (10Feb26)'!K11</f>
        <v>11764</v>
      </c>
      <c r="M16" s="73">
        <f t="shared" si="28"/>
        <v>5.9078544712682764E-2</v>
      </c>
      <c r="N16" s="56">
        <f>'Data-Coastal-Chin-Esc (new)'!J23</f>
        <v>624.49855064251199</v>
      </c>
      <c r="O16" s="74">
        <f t="shared" si="56"/>
        <v>2.7069599820551233</v>
      </c>
      <c r="P16" s="14">
        <f>'Data-Coastal-Chin-Esc (new)'!AL23</f>
        <v>1690.4925854407047</v>
      </c>
      <c r="R16" s="18" t="s">
        <v>106</v>
      </c>
      <c r="S16" s="14">
        <f>'Data-Chin-Nisga''a'!P10+'Data-Chin-Nisga''a'!Q10+'Data-Chin-Nisga''a'!O10</f>
        <v>4903.6096579476862</v>
      </c>
      <c r="T16" s="14">
        <f t="shared" si="57"/>
        <v>4903.6096579476862</v>
      </c>
      <c r="U16" s="73"/>
      <c r="V16" s="14">
        <f t="shared" si="3"/>
        <v>10875.102243388392</v>
      </c>
      <c r="X16" s="14">
        <f t="shared" si="29"/>
        <v>72</v>
      </c>
      <c r="Y16" s="14">
        <f t="shared" si="30"/>
        <v>695</v>
      </c>
      <c r="Z16" s="14">
        <f t="shared" si="30"/>
        <v>6716</v>
      </c>
      <c r="AA16" s="14">
        <f t="shared" si="4"/>
        <v>7483</v>
      </c>
      <c r="AC16" s="14">
        <f>'A3.1b CF-tidal-Harvests (Chin)'!G10</f>
        <v>3408.7592038463467</v>
      </c>
      <c r="AD16" s="14">
        <v>2000.6123050868241</v>
      </c>
      <c r="AE16" s="14">
        <f t="shared" si="58"/>
        <v>5409.3715089331708</v>
      </c>
      <c r="AJ16" s="14">
        <f t="shared" si="31"/>
        <v>23767.473752321563</v>
      </c>
      <c r="AK16" s="75">
        <f t="shared" si="7"/>
        <v>1100</v>
      </c>
      <c r="AL16" s="14">
        <f t="shared" si="59"/>
        <v>24867.473752321563</v>
      </c>
      <c r="AM16" s="14"/>
      <c r="AN16" s="14">
        <f>'[1]Data-FW Catch Rates - new'!CE10</f>
        <v>9910.0909090909081</v>
      </c>
      <c r="AO16" s="76">
        <f t="shared" si="32"/>
        <v>7.2653218482538464E-3</v>
      </c>
      <c r="AP16" s="60">
        <f t="shared" si="33"/>
        <v>5</v>
      </c>
      <c r="AQ16" s="59"/>
      <c r="AR16" s="77">
        <f t="shared" si="34"/>
        <v>0.5626776426224992</v>
      </c>
      <c r="AS16" s="61">
        <f t="shared" si="60"/>
        <v>0.15406242281981586</v>
      </c>
      <c r="AT16" s="61">
        <f t="shared" si="35"/>
        <v>5.9078544712682764E-2</v>
      </c>
      <c r="AU16" s="61">
        <f t="shared" si="36"/>
        <v>0.21926133475453194</v>
      </c>
      <c r="AV16" s="61"/>
      <c r="AW16" s="33"/>
      <c r="AX16" s="61">
        <f t="shared" si="37"/>
        <v>0.27007166336600685</v>
      </c>
      <c r="AY16" s="61">
        <f t="shared" si="38"/>
        <v>0.13707702027947707</v>
      </c>
      <c r="AZ16" s="61">
        <f t="shared" si="39"/>
        <v>0.10839912135566922</v>
      </c>
      <c r="BA16" s="61">
        <f t="shared" si="40"/>
        <v>2.8953483862942959E-3</v>
      </c>
      <c r="BB16" s="61">
        <f t="shared" si="61"/>
        <v>0.5184431533874474</v>
      </c>
      <c r="BC16" s="61">
        <f t="shared" si="62"/>
        <v>4.4234489235051744E-2</v>
      </c>
      <c r="BD16" s="78">
        <f t="shared" si="41"/>
        <v>0.5626776426224992</v>
      </c>
      <c r="BE16" s="17"/>
      <c r="BF16" s="17"/>
      <c r="BG16" s="22">
        <f>'[1]Data-PSC CH Tables'!C10</f>
        <v>7844</v>
      </c>
      <c r="BH16" s="22">
        <f>'[1]Data-PSC CH Tables'!AG10</f>
        <v>21709.48603573268</v>
      </c>
      <c r="BI16" s="22">
        <f>'[1]Data-PSC CH Tables'!AI10</f>
        <v>22809.48603573268</v>
      </c>
      <c r="BJ16" s="17"/>
      <c r="BK16" s="22">
        <f t="shared" si="63"/>
        <v>-1340.6096579476871</v>
      </c>
      <c r="BL16" s="22">
        <f t="shared" si="64"/>
        <v>-2057.9877165888829</v>
      </c>
      <c r="BM16" s="22">
        <f t="shared" si="65"/>
        <v>-2057.9877165888829</v>
      </c>
      <c r="BO16" s="33"/>
      <c r="BP16" s="33"/>
      <c r="BQ16" s="33"/>
      <c r="BS16" s="62">
        <f t="shared" si="66"/>
        <v>3408.7592038463467</v>
      </c>
      <c r="BT16" s="62">
        <f t="shared" si="10"/>
        <v>6716</v>
      </c>
      <c r="BU16" s="62">
        <f t="shared" si="11"/>
        <v>72</v>
      </c>
      <c r="BV16" s="62">
        <f t="shared" si="12"/>
        <v>2000.6123050868241</v>
      </c>
      <c r="BW16" s="62">
        <f t="shared" si="13"/>
        <v>695</v>
      </c>
      <c r="BX16" s="62">
        <f t="shared" si="67"/>
        <v>12892.371508933171</v>
      </c>
      <c r="BY16" s="62">
        <f t="shared" si="15"/>
        <v>23767.473752321563</v>
      </c>
      <c r="BZ16" s="79">
        <f t="shared" si="68"/>
        <v>0.54243760373034466</v>
      </c>
      <c r="CA16" s="79">
        <f t="shared" si="69"/>
        <v>0.41957924538437308</v>
      </c>
      <c r="CB16" s="79">
        <f t="shared" si="70"/>
        <v>0.58042075461562692</v>
      </c>
      <c r="CC16" s="79">
        <f t="shared" si="19"/>
        <v>7.8614264872664749E-2</v>
      </c>
      <c r="CD16" s="33"/>
      <c r="CF16" s="36">
        <v>22193.531317663485</v>
      </c>
      <c r="CG16" s="36">
        <v>23293.531317663485</v>
      </c>
      <c r="CH16" s="81">
        <f t="shared" si="71"/>
        <v>-1573.9424346580781</v>
      </c>
      <c r="CI16" s="36">
        <f t="shared" si="72"/>
        <v>-1573.9424346580781</v>
      </c>
      <c r="CJ16" s="36">
        <v>9301.1598087303137</v>
      </c>
      <c r="CK16" s="81">
        <f t="shared" si="73"/>
        <v>1573.9424346580781</v>
      </c>
      <c r="CM16" s="33"/>
      <c r="CN16" s="82"/>
      <c r="CO16" s="82"/>
      <c r="CP16" s="82"/>
      <c r="CQ16" s="33"/>
      <c r="CR16" s="33"/>
      <c r="CS16" s="33"/>
      <c r="CT16" s="83"/>
      <c r="CU16" s="33"/>
      <c r="CV16" s="33"/>
      <c r="CW16" s="33"/>
      <c r="CX16" s="84"/>
      <c r="CY16" s="84"/>
      <c r="CZ16" s="33"/>
      <c r="DA16" s="33"/>
      <c r="DB16" s="33"/>
      <c r="DC16" s="33"/>
      <c r="DD16" s="33"/>
      <c r="DE16" s="33"/>
      <c r="DF16" s="33"/>
      <c r="DH16" s="66">
        <f t="shared" si="20"/>
        <v>0.15544613260702478</v>
      </c>
      <c r="DK16" s="90">
        <f t="shared" si="42"/>
        <v>18358.102243388392</v>
      </c>
      <c r="DN16" s="3">
        <f t="shared" si="74"/>
        <v>1722.4647612186452</v>
      </c>
      <c r="DO16" s="86">
        <f t="shared" si="75"/>
        <v>9.3825861648579992E-2</v>
      </c>
      <c r="DP16" s="3">
        <f t="shared" si="43"/>
        <v>691.27468496276731</v>
      </c>
      <c r="DQ16" s="86">
        <f t="shared" si="76"/>
        <v>3.7655018792137271E-2</v>
      </c>
      <c r="DS16" s="14">
        <f t="shared" si="44"/>
        <v>10875.102243388392</v>
      </c>
      <c r="DT16" s="14">
        <v>8817.1145267995089</v>
      </c>
      <c r="DU16" s="14">
        <f t="shared" si="77"/>
        <v>-2057.9877165888829</v>
      </c>
      <c r="DW16" s="14">
        <f t="shared" si="45"/>
        <v>23767.473752321563</v>
      </c>
      <c r="DX16" s="14">
        <v>21637.48603573268</v>
      </c>
      <c r="DY16" s="14">
        <f t="shared" si="78"/>
        <v>-2129.9877165888829</v>
      </c>
      <c r="EA16" s="3">
        <v>5409.3715089331708</v>
      </c>
      <c r="EC16" s="91">
        <f t="shared" si="46"/>
        <v>3496</v>
      </c>
      <c r="ED16" s="92">
        <f t="shared" si="79"/>
        <v>1913.3715089331708</v>
      </c>
      <c r="EE16" s="3">
        <f t="shared" si="80"/>
        <v>5409.3715089331708</v>
      </c>
      <c r="EG16" s="14">
        <f t="shared" si="47"/>
        <v>6176.3715089331708</v>
      </c>
      <c r="EI16" s="89">
        <f t="shared" si="81"/>
        <v>0.84736470448155621</v>
      </c>
      <c r="EJ16" s="89">
        <f t="shared" si="48"/>
        <v>0.15544613260702478</v>
      </c>
      <c r="EL16" s="67"/>
      <c r="EM16" s="67">
        <f t="shared" si="49"/>
        <v>10.875102243388392</v>
      </c>
      <c r="EN16" s="67">
        <f t="shared" si="22"/>
        <v>6.7160000000000002</v>
      </c>
      <c r="EO16" s="67">
        <f t="shared" si="23"/>
        <v>6.1763715089331708</v>
      </c>
      <c r="EP16" s="67">
        <f t="shared" si="24"/>
        <v>1.1000000000000001</v>
      </c>
      <c r="ET16" s="66">
        <f t="shared" si="25"/>
        <v>0.21926133475453194</v>
      </c>
      <c r="EW16" s="14">
        <f t="shared" si="27"/>
        <v>6176.3715089331708</v>
      </c>
      <c r="EY16" s="14">
        <f t="shared" si="50"/>
        <v>767</v>
      </c>
      <c r="EZ16" s="14" t="e">
        <f t="shared" si="51"/>
        <v>#VALUE!</v>
      </c>
      <c r="FB16" s="14">
        <f t="shared" si="52"/>
        <v>21742.994718275258</v>
      </c>
      <c r="FC16" s="66">
        <f t="shared" si="53"/>
        <v>0.87435478709393988</v>
      </c>
      <c r="FE16" s="14">
        <f t="shared" si="26"/>
        <v>12000</v>
      </c>
    </row>
    <row r="17" spans="2:161" x14ac:dyDescent="0.2">
      <c r="B17" s="4">
        <v>1996</v>
      </c>
      <c r="C17" s="71">
        <f t="shared" si="54"/>
        <v>21721.665471087395</v>
      </c>
      <c r="D17" s="71">
        <f t="shared" si="82"/>
        <v>18211.665471087395</v>
      </c>
      <c r="E17" s="71">
        <f>'Bayesian Sum (10Feb26)'!H12</f>
        <v>3510</v>
      </c>
      <c r="G17" s="14">
        <f>'[1]Data-Nisgaa &amp; Other FN Catch'!BI9</f>
        <v>49</v>
      </c>
      <c r="H17" s="14">
        <v>477</v>
      </c>
      <c r="I17" s="14">
        <f>'Data-Chin-Nisga''a'!N11</f>
        <v>1834.3345289126059</v>
      </c>
      <c r="J17" s="14">
        <f t="shared" si="55"/>
        <v>2360.3345289126059</v>
      </c>
      <c r="L17" s="72">
        <f>'Bayesian Sum (10Feb26)'!K12</f>
        <v>24082</v>
      </c>
      <c r="M17" s="73">
        <f t="shared" si="28"/>
        <v>1.9807324973008886E-2</v>
      </c>
      <c r="N17" s="56">
        <f>'Data-Coastal-Chin-Esc (new)'!J24</f>
        <v>710.81135845489166</v>
      </c>
      <c r="O17" s="74">
        <f t="shared" si="56"/>
        <v>2.9889873052375173</v>
      </c>
      <c r="P17" s="14">
        <f>'Data-Coastal-Chin-Esc (new)'!AL24</f>
        <v>2124.6061268403055</v>
      </c>
      <c r="R17" s="18" t="s">
        <v>106</v>
      </c>
      <c r="S17" s="14">
        <f>'Data-Chin-Nisga''a'!P11+'Data-Chin-Nisga''a'!Q11+'Data-Chin-Nisga''a'!O11</f>
        <v>5865.6654710873936</v>
      </c>
      <c r="T17" s="14">
        <f t="shared" si="57"/>
        <v>5865.6654710873936</v>
      </c>
      <c r="U17" s="73"/>
      <c r="V17" s="14">
        <f t="shared" si="3"/>
        <v>23846.271597927702</v>
      </c>
      <c r="X17" s="14">
        <f t="shared" si="29"/>
        <v>49</v>
      </c>
      <c r="Y17" s="14">
        <f t="shared" si="30"/>
        <v>477</v>
      </c>
      <c r="Z17" s="14">
        <f t="shared" si="30"/>
        <v>7700</v>
      </c>
      <c r="AA17" s="14">
        <f t="shared" si="4"/>
        <v>8226</v>
      </c>
      <c r="AC17" s="14">
        <f>'A3.1b CF-tidal-Harvests (Chin)'!G11</f>
        <v>6538.2283475257427</v>
      </c>
      <c r="AD17" s="14">
        <v>3837.308329308762</v>
      </c>
      <c r="AE17" s="14">
        <f t="shared" si="58"/>
        <v>10375.536676834505</v>
      </c>
      <c r="AJ17" s="14">
        <f t="shared" si="31"/>
        <v>42447.80827476221</v>
      </c>
      <c r="AK17" s="75">
        <f t="shared" si="7"/>
        <v>2000</v>
      </c>
      <c r="AL17" s="14">
        <f t="shared" si="59"/>
        <v>44447.80827476221</v>
      </c>
      <c r="AM17" s="14"/>
      <c r="AN17" s="14">
        <f>'[1]Data-FW Catch Rates - new'!CE11</f>
        <v>21794.384615384617</v>
      </c>
      <c r="AO17" s="76">
        <f t="shared" si="32"/>
        <v>2.248285549912292E-3</v>
      </c>
      <c r="AP17" s="60">
        <f t="shared" si="33"/>
        <v>26</v>
      </c>
      <c r="AQ17" s="59"/>
      <c r="AR17" s="77">
        <f t="shared" si="34"/>
        <v>0.46349949472159258</v>
      </c>
      <c r="AS17" s="61">
        <f t="shared" si="60"/>
        <v>7.6170356652794868E-2</v>
      </c>
      <c r="AT17" s="61">
        <f t="shared" si="35"/>
        <v>1.9807324973008886E-2</v>
      </c>
      <c r="AU17" s="61">
        <f t="shared" si="36"/>
        <v>9.8012396350494385E-2</v>
      </c>
      <c r="AV17" s="61"/>
      <c r="AW17" s="33"/>
      <c r="AX17" s="61">
        <f t="shared" si="37"/>
        <v>0.17323688836131243</v>
      </c>
      <c r="AY17" s="61">
        <f t="shared" si="38"/>
        <v>0.1470990044572838</v>
      </c>
      <c r="AZ17" s="61">
        <f t="shared" si="39"/>
        <v>9.7064590961135372E-2</v>
      </c>
      <c r="BA17" s="61">
        <f t="shared" si="40"/>
        <v>1.1024165622992609E-3</v>
      </c>
      <c r="BB17" s="61">
        <f t="shared" si="61"/>
        <v>0.41850290034203086</v>
      </c>
      <c r="BC17" s="61">
        <f t="shared" si="62"/>
        <v>4.4996594379561668E-2</v>
      </c>
      <c r="BD17" s="78">
        <f t="shared" si="41"/>
        <v>0.46349949472159258</v>
      </c>
      <c r="BE17" s="17"/>
      <c r="BF17" s="17"/>
      <c r="BG17" s="22">
        <f>'[1]Data-PSC CH Tables'!C11</f>
        <v>21842</v>
      </c>
      <c r="BH17" s="22">
        <f>'[1]Data-PSC CH Tables'!AG11</f>
        <v>41551.146707338012</v>
      </c>
      <c r="BI17" s="22">
        <f>'[1]Data-PSC CH Tables'!AI11</f>
        <v>43651.146707338012</v>
      </c>
      <c r="BJ17" s="17"/>
      <c r="BK17" s="22">
        <f t="shared" si="63"/>
        <v>120.33452891260458</v>
      </c>
      <c r="BL17" s="22">
        <f t="shared" si="64"/>
        <v>-896.66156742419844</v>
      </c>
      <c r="BM17" s="22">
        <f t="shared" si="65"/>
        <v>-796.66156742419844</v>
      </c>
      <c r="BO17" s="33"/>
      <c r="BP17" s="33"/>
      <c r="BQ17" s="33"/>
      <c r="BS17" s="62">
        <f t="shared" si="66"/>
        <v>6538.2283475257427</v>
      </c>
      <c r="BT17" s="62">
        <f t="shared" si="10"/>
        <v>7700</v>
      </c>
      <c r="BU17" s="62">
        <f t="shared" si="11"/>
        <v>49</v>
      </c>
      <c r="BV17" s="62">
        <f t="shared" si="12"/>
        <v>3837.308329308762</v>
      </c>
      <c r="BW17" s="62">
        <f t="shared" si="13"/>
        <v>477</v>
      </c>
      <c r="BX17" s="62">
        <f t="shared" si="67"/>
        <v>18601.536676834505</v>
      </c>
      <c r="BY17" s="62">
        <f t="shared" si="15"/>
        <v>42447.80827476221</v>
      </c>
      <c r="BZ17" s="79">
        <f t="shared" si="68"/>
        <v>0.438221369556417</v>
      </c>
      <c r="CA17" s="79">
        <f t="shared" si="69"/>
        <v>0.55777847051505802</v>
      </c>
      <c r="CB17" s="79">
        <f t="shared" si="70"/>
        <v>0.44222152948494198</v>
      </c>
      <c r="CC17" s="79">
        <f t="shared" si="19"/>
        <v>9.7080136854495389E-2</v>
      </c>
      <c r="CD17" s="33"/>
      <c r="CF17" s="36">
        <v>42102.092556690142</v>
      </c>
      <c r="CG17" s="36">
        <v>44202.092556690142</v>
      </c>
      <c r="CH17" s="81">
        <f t="shared" si="71"/>
        <v>-345.71571807206783</v>
      </c>
      <c r="CI17" s="36">
        <f t="shared" si="72"/>
        <v>-245.71571807206783</v>
      </c>
      <c r="CJ17" s="36">
        <v>23500.555879855641</v>
      </c>
      <c r="CK17" s="81">
        <f t="shared" si="73"/>
        <v>345.71571807206055</v>
      </c>
      <c r="CM17" s="33"/>
      <c r="CN17" s="82"/>
      <c r="CO17" s="82"/>
      <c r="CP17" s="82"/>
      <c r="CQ17" s="33"/>
      <c r="CR17" s="33"/>
      <c r="CS17" s="33"/>
      <c r="CT17" s="83"/>
      <c r="CU17" s="33"/>
      <c r="CV17" s="33"/>
      <c r="CW17" s="33"/>
      <c r="CX17" s="84"/>
      <c r="CY17" s="84"/>
      <c r="CZ17" s="33"/>
      <c r="DA17" s="33"/>
      <c r="DB17" s="33"/>
      <c r="DC17" s="33"/>
      <c r="DD17" s="33"/>
      <c r="DE17" s="33"/>
      <c r="DF17" s="33"/>
      <c r="DH17" s="66">
        <f t="shared" si="20"/>
        <v>8.909594601048404E-2</v>
      </c>
      <c r="DK17" s="90">
        <f t="shared" si="42"/>
        <v>32072.271597927702</v>
      </c>
      <c r="DN17" s="3">
        <f t="shared" si="74"/>
        <v>3009.2085177028462</v>
      </c>
      <c r="DO17" s="86">
        <f t="shared" si="75"/>
        <v>9.3825861648579992E-2</v>
      </c>
      <c r="DP17" s="3">
        <f t="shared" si="43"/>
        <v>1207.6819897264982</v>
      </c>
      <c r="DQ17" s="86">
        <f t="shared" si="76"/>
        <v>3.7655018792137271E-2</v>
      </c>
      <c r="DS17" s="14">
        <f t="shared" si="44"/>
        <v>23846.271597927702</v>
      </c>
      <c r="DT17" s="14">
        <v>22949.610030503507</v>
      </c>
      <c r="DU17" s="14">
        <f t="shared" si="77"/>
        <v>-896.6615674241948</v>
      </c>
      <c r="DW17" s="14">
        <f t="shared" si="45"/>
        <v>42447.80827476221</v>
      </c>
      <c r="DX17" s="14">
        <v>41502.146707338012</v>
      </c>
      <c r="DY17" s="14">
        <f t="shared" si="78"/>
        <v>-945.66156742419844</v>
      </c>
      <c r="EA17" s="3">
        <v>10375.536676834505</v>
      </c>
      <c r="EC17" s="91">
        <f t="shared" si="46"/>
        <v>6706</v>
      </c>
      <c r="ED17" s="92">
        <f t="shared" si="79"/>
        <v>3669.5366768345048</v>
      </c>
      <c r="EE17" s="3">
        <f t="shared" si="80"/>
        <v>10375.536676834505</v>
      </c>
      <c r="EG17" s="14">
        <f t="shared" si="47"/>
        <v>10901.536676834505</v>
      </c>
      <c r="EI17" s="89">
        <f t="shared" si="81"/>
        <v>1.064431927274702</v>
      </c>
      <c r="EJ17" s="89">
        <f t="shared" si="48"/>
        <v>8.909594601048404E-2</v>
      </c>
      <c r="EL17" s="67"/>
      <c r="EM17" s="67">
        <f t="shared" si="49"/>
        <v>23.846271597927704</v>
      </c>
      <c r="EN17" s="67">
        <f t="shared" si="22"/>
        <v>7.7</v>
      </c>
      <c r="EO17" s="67">
        <f t="shared" si="23"/>
        <v>10.901536676834505</v>
      </c>
      <c r="EP17" s="67">
        <f t="shared" si="24"/>
        <v>2</v>
      </c>
      <c r="ET17" s="66">
        <f t="shared" si="25"/>
        <v>9.8012396350494385E-2</v>
      </c>
      <c r="EW17" s="14">
        <f t="shared" si="27"/>
        <v>10901.536676834505</v>
      </c>
      <c r="EY17" s="14">
        <f t="shared" si="50"/>
        <v>526</v>
      </c>
      <c r="EZ17" s="14" t="e">
        <f t="shared" si="51"/>
        <v>#VALUE!</v>
      </c>
      <c r="FB17" s="14">
        <f t="shared" si="52"/>
        <v>40844.362436406758</v>
      </c>
      <c r="FC17" s="66">
        <f t="shared" si="53"/>
        <v>0.91892860462140025</v>
      </c>
      <c r="FE17" s="14">
        <f t="shared" si="26"/>
        <v>24000</v>
      </c>
    </row>
    <row r="18" spans="2:161" x14ac:dyDescent="0.2">
      <c r="B18" s="4">
        <v>1997</v>
      </c>
      <c r="C18" s="71">
        <f t="shared" si="54"/>
        <v>21372.273291925467</v>
      </c>
      <c r="D18" s="71">
        <f t="shared" si="82"/>
        <v>17879.273291925467</v>
      </c>
      <c r="E18" s="71">
        <f>'Bayesian Sum (10Feb26)'!H13</f>
        <v>3493</v>
      </c>
      <c r="G18" s="14">
        <f>'[1]Data-Nisgaa &amp; Other FN Catch'!BI10</f>
        <v>41</v>
      </c>
      <c r="H18" s="14">
        <v>203</v>
      </c>
      <c r="I18" s="14">
        <f>'Data-Chin-Nisga''a'!N12</f>
        <v>1876.7267080745341</v>
      </c>
      <c r="J18" s="14">
        <f t="shared" si="55"/>
        <v>2120.7267080745341</v>
      </c>
      <c r="L18" s="72">
        <f>'Bayesian Sum (10Feb26)'!K13</f>
        <v>23493</v>
      </c>
      <c r="M18" s="73">
        <f t="shared" si="28"/>
        <v>8.6408717490316263E-3</v>
      </c>
      <c r="N18" s="56">
        <f>'Data-Coastal-Chin-Esc (new)'!J25</f>
        <v>688.34560801498151</v>
      </c>
      <c r="O18" s="74">
        <f t="shared" si="56"/>
        <v>4.3538193132220426</v>
      </c>
      <c r="P18" s="14">
        <f>'Data-Coastal-Chin-Esc (new)'!AL25</f>
        <v>2996.9324023471959</v>
      </c>
      <c r="R18" s="18" t="s">
        <v>106</v>
      </c>
      <c r="S18" s="14">
        <f>'Data-Chin-Nisga''a'!P12+'Data-Chin-Nisga''a'!Q12+'Data-Chin-Nisga''a'!O12</f>
        <v>4828.2732919254659</v>
      </c>
      <c r="T18" s="14">
        <f t="shared" si="57"/>
        <v>4828.2732919254659</v>
      </c>
      <c r="U18" s="73"/>
      <c r="V18" s="14">
        <f t="shared" si="3"/>
        <v>24369.205694272663</v>
      </c>
      <c r="X18" s="14">
        <f t="shared" si="29"/>
        <v>41</v>
      </c>
      <c r="Y18" s="14">
        <f t="shared" si="30"/>
        <v>203</v>
      </c>
      <c r="Z18" s="14">
        <f t="shared" si="30"/>
        <v>6705</v>
      </c>
      <c r="AA18" s="14">
        <f t="shared" si="4"/>
        <v>6949</v>
      </c>
      <c r="AC18" s="14">
        <f>'A3.1b CF-tidal-Harvests (Chin)'!G12</f>
        <v>5664.4138550437501</v>
      </c>
      <c r="AD18" s="14">
        <v>3324.463648449494</v>
      </c>
      <c r="AE18" s="14">
        <f t="shared" si="58"/>
        <v>8988.8775034932441</v>
      </c>
      <c r="AJ18" s="14">
        <f t="shared" si="31"/>
        <v>40307.083197765911</v>
      </c>
      <c r="AK18" s="75">
        <f t="shared" si="7"/>
        <v>1900</v>
      </c>
      <c r="AL18" s="14">
        <f t="shared" si="59"/>
        <v>42207.083197765911</v>
      </c>
      <c r="AM18" s="14"/>
      <c r="AN18" s="14">
        <f>'[1]Data-FW Catch Rates - new'!CE12</f>
        <v>18702</v>
      </c>
      <c r="AO18" s="76">
        <f t="shared" si="32"/>
        <v>2.1922789006523368E-3</v>
      </c>
      <c r="AP18" s="60">
        <f t="shared" si="33"/>
        <v>24</v>
      </c>
      <c r="AQ18" s="59"/>
      <c r="AR18" s="77">
        <f t="shared" si="34"/>
        <v>0.42262758172394704</v>
      </c>
      <c r="AS18" s="61">
        <f t="shared" si="60"/>
        <v>7.9884506366770275E-2</v>
      </c>
      <c r="AT18" s="61">
        <f t="shared" si="35"/>
        <v>8.6408717490316263E-3</v>
      </c>
      <c r="AU18" s="61">
        <f t="shared" si="36"/>
        <v>9.0270578813882188E-2</v>
      </c>
      <c r="AV18" s="61"/>
      <c r="AW18" s="33"/>
      <c r="AX18" s="61">
        <f t="shared" si="37"/>
        <v>0.15885959161363955</v>
      </c>
      <c r="AY18" s="61">
        <f t="shared" si="38"/>
        <v>0.13420529034196746</v>
      </c>
      <c r="AZ18" s="61">
        <f t="shared" si="39"/>
        <v>8.3575158034995614E-2</v>
      </c>
      <c r="BA18" s="61">
        <f t="shared" si="40"/>
        <v>9.7140093305879513E-4</v>
      </c>
      <c r="BB18" s="61">
        <f t="shared" si="61"/>
        <v>0.37761144092366139</v>
      </c>
      <c r="BC18" s="61">
        <f t="shared" si="62"/>
        <v>4.5016140800285626E-2</v>
      </c>
      <c r="BD18" s="78">
        <f t="shared" si="41"/>
        <v>0.42262758172394704</v>
      </c>
      <c r="BE18" s="17"/>
      <c r="BF18" s="17"/>
      <c r="BG18" s="22">
        <f>'[1]Data-PSC CH Tables'!C12</f>
        <v>18702</v>
      </c>
      <c r="BH18" s="22">
        <f>'[1]Data-PSC CH Tables'!AG12</f>
        <v>36275.172460346294</v>
      </c>
      <c r="BI18" s="22">
        <f>'[1]Data-PSC CH Tables'!AI12</f>
        <v>38075.172460346294</v>
      </c>
      <c r="BJ18" s="17"/>
      <c r="BK18" s="22">
        <f t="shared" si="63"/>
        <v>-2670.2732919254668</v>
      </c>
      <c r="BL18" s="22">
        <f t="shared" si="64"/>
        <v>-4031.9107374196174</v>
      </c>
      <c r="BM18" s="22">
        <f t="shared" si="65"/>
        <v>-4131.9107374196174</v>
      </c>
      <c r="BO18" s="33"/>
      <c r="BP18" s="33"/>
      <c r="BQ18" s="33"/>
      <c r="BS18" s="62">
        <f t="shared" si="66"/>
        <v>5664.4138550437501</v>
      </c>
      <c r="BT18" s="62">
        <f t="shared" si="10"/>
        <v>6705</v>
      </c>
      <c r="BU18" s="62">
        <f t="shared" si="11"/>
        <v>41</v>
      </c>
      <c r="BV18" s="62">
        <f t="shared" si="12"/>
        <v>3324.463648449494</v>
      </c>
      <c r="BW18" s="62">
        <f t="shared" si="13"/>
        <v>203</v>
      </c>
      <c r="BX18" s="62">
        <f t="shared" si="67"/>
        <v>15937.877503493244</v>
      </c>
      <c r="BY18" s="62">
        <f t="shared" si="15"/>
        <v>40307.083197765911</v>
      </c>
      <c r="BZ18" s="79">
        <f t="shared" si="68"/>
        <v>0.39541133317174953</v>
      </c>
      <c r="CA18" s="79">
        <f t="shared" si="69"/>
        <v>0.56399464116367271</v>
      </c>
      <c r="CB18" s="79">
        <f t="shared" si="70"/>
        <v>0.43600535883632729</v>
      </c>
      <c r="CC18" s="79">
        <f t="shared" si="19"/>
        <v>0.10651491465999345</v>
      </c>
      <c r="CD18" s="33"/>
      <c r="CF18" s="36">
        <v>37145.537539580298</v>
      </c>
      <c r="CG18" s="36">
        <v>39045.537539580298</v>
      </c>
      <c r="CH18" s="81">
        <f t="shared" si="71"/>
        <v>-3161.5456581856124</v>
      </c>
      <c r="CI18" s="36">
        <f t="shared" si="72"/>
        <v>-3161.5456581856124</v>
      </c>
      <c r="CJ18" s="36">
        <v>21207.660036087051</v>
      </c>
      <c r="CK18" s="81">
        <f t="shared" si="73"/>
        <v>3161.5456581856124</v>
      </c>
      <c r="CM18" s="33"/>
      <c r="CN18" s="82"/>
      <c r="CO18" s="82"/>
      <c r="CP18" s="82"/>
      <c r="CQ18" s="33"/>
      <c r="CR18" s="33"/>
      <c r="CS18" s="33"/>
      <c r="CT18" s="83"/>
      <c r="CU18" s="33"/>
      <c r="CV18" s="33"/>
      <c r="CW18" s="33"/>
      <c r="CX18" s="84"/>
      <c r="CY18" s="84"/>
      <c r="CZ18" s="33"/>
      <c r="DA18" s="33"/>
      <c r="DB18" s="33"/>
      <c r="DC18" s="33"/>
      <c r="DD18" s="33"/>
      <c r="DE18" s="33"/>
      <c r="DF18" s="33"/>
      <c r="DH18" s="66">
        <f t="shared" si="20"/>
        <v>0.12298030719366226</v>
      </c>
      <c r="DK18" s="90">
        <f t="shared" si="42"/>
        <v>31318.205694272663</v>
      </c>
      <c r="DN18" s="3">
        <f t="shared" si="74"/>
        <v>2938.457634552597</v>
      </c>
      <c r="DO18" s="86">
        <f t="shared" si="75"/>
        <v>9.3825861648579992E-2</v>
      </c>
      <c r="DP18" s="3">
        <f t="shared" si="43"/>
        <v>1179.2876239538575</v>
      </c>
      <c r="DQ18" s="86">
        <f t="shared" si="76"/>
        <v>3.7655018792137271E-2</v>
      </c>
      <c r="DS18" s="14">
        <f t="shared" si="44"/>
        <v>24369.205694272663</v>
      </c>
      <c r="DT18" s="14">
        <v>19892.63251047974</v>
      </c>
      <c r="DU18" s="14">
        <f t="shared" si="77"/>
        <v>-4476.5731837929234</v>
      </c>
      <c r="DW18" s="14">
        <f t="shared" si="45"/>
        <v>40307.083197765911</v>
      </c>
      <c r="DX18" s="14">
        <v>35955.510013972984</v>
      </c>
      <c r="DY18" s="14">
        <f t="shared" si="78"/>
        <v>-4351.573183792927</v>
      </c>
      <c r="EA18" s="3">
        <v>8988.8775034932441</v>
      </c>
      <c r="EC18" s="91">
        <f t="shared" si="46"/>
        <v>5810</v>
      </c>
      <c r="ED18" s="92">
        <f t="shared" si="79"/>
        <v>3178.8775034932441</v>
      </c>
      <c r="EE18" s="3">
        <f t="shared" si="80"/>
        <v>8988.8775034932441</v>
      </c>
      <c r="EG18" s="14">
        <f t="shared" si="47"/>
        <v>9232.8775034932441</v>
      </c>
      <c r="EI18" s="89">
        <f t="shared" si="81"/>
        <v>1.5007172770892319</v>
      </c>
      <c r="EJ18" s="89">
        <f t="shared" si="48"/>
        <v>0.12298030719366226</v>
      </c>
      <c r="EL18" s="67"/>
      <c r="EM18" s="67">
        <f t="shared" si="49"/>
        <v>24.369205694272662</v>
      </c>
      <c r="EN18" s="67">
        <f t="shared" si="22"/>
        <v>6.7050000000000001</v>
      </c>
      <c r="EO18" s="67">
        <f t="shared" si="23"/>
        <v>9.2328775034932438</v>
      </c>
      <c r="EP18" s="67">
        <f t="shared" si="24"/>
        <v>1.9</v>
      </c>
      <c r="ET18" s="66">
        <f t="shared" si="25"/>
        <v>9.0270578813882188E-2</v>
      </c>
      <c r="EW18" s="14">
        <f t="shared" si="27"/>
        <v>9232.8775034932441</v>
      </c>
      <c r="EY18" s="14">
        <f t="shared" si="50"/>
        <v>244</v>
      </c>
      <c r="EZ18" s="14" t="e">
        <f t="shared" si="51"/>
        <v>#VALUE!</v>
      </c>
      <c r="FB18" s="14">
        <f t="shared" si="52"/>
        <v>37431.994559459665</v>
      </c>
      <c r="FC18" s="66">
        <f t="shared" si="53"/>
        <v>0.88686523027587472</v>
      </c>
      <c r="FE18" s="14">
        <f t="shared" si="26"/>
        <v>23000</v>
      </c>
    </row>
    <row r="19" spans="2:161" x14ac:dyDescent="0.2">
      <c r="B19" s="4">
        <v>1998</v>
      </c>
      <c r="C19" s="71">
        <f t="shared" si="54"/>
        <v>24908</v>
      </c>
      <c r="D19" s="71">
        <f t="shared" si="82"/>
        <v>20875</v>
      </c>
      <c r="E19" s="71">
        <f>'Bayesian Sum (10Feb26)'!H14</f>
        <v>4033</v>
      </c>
      <c r="G19" s="14">
        <f>'[1]Data-Nisgaa &amp; Other FN Catch'!BI11</f>
        <v>345</v>
      </c>
      <c r="H19" s="14">
        <v>196</v>
      </c>
      <c r="I19" s="14">
        <f>'Data-Chin-Nisga''a'!N13</f>
        <v>1595</v>
      </c>
      <c r="J19" s="14">
        <f t="shared" si="55"/>
        <v>2136</v>
      </c>
      <c r="L19" s="72">
        <f>'Bayesian Sum (10Feb26)'!K14</f>
        <v>27044</v>
      </c>
      <c r="M19" s="73">
        <f t="shared" si="28"/>
        <v>7.2474486022777694E-3</v>
      </c>
      <c r="N19" s="56">
        <f>'Data-Coastal-Chin-Esc (new)'!J26</f>
        <v>1101.879590817676</v>
      </c>
      <c r="O19" s="74">
        <f t="shared" si="56"/>
        <v>2.5450866368160074</v>
      </c>
      <c r="P19" s="14">
        <f>'Data-Coastal-Chin-Esc (new)'!AL26</f>
        <v>2804.3790219703574</v>
      </c>
      <c r="R19" s="18" t="s">
        <v>106</v>
      </c>
      <c r="S19" s="14">
        <f>'Data-Chin-Nisga''a'!P13+'Data-Chin-Nisga''a'!Q13+'Data-Chin-Nisga''a'!O13</f>
        <v>7470</v>
      </c>
      <c r="T19" s="14">
        <f t="shared" si="57"/>
        <v>7470</v>
      </c>
      <c r="U19" s="73"/>
      <c r="V19" s="14">
        <f t="shared" si="3"/>
        <v>27712.379021970359</v>
      </c>
      <c r="X19" s="14">
        <f t="shared" si="29"/>
        <v>345</v>
      </c>
      <c r="Y19" s="14">
        <f t="shared" si="30"/>
        <v>196</v>
      </c>
      <c r="Z19" s="14">
        <f t="shared" si="30"/>
        <v>9065</v>
      </c>
      <c r="AA19" s="14">
        <f t="shared" si="4"/>
        <v>9606</v>
      </c>
      <c r="AC19" s="14">
        <f>'A3.1b CF-tidal-Harvests (Chin)'!G13</f>
        <v>7191.3883245505385</v>
      </c>
      <c r="AD19" s="14">
        <v>4220.6501287974352</v>
      </c>
      <c r="AE19" s="14">
        <f t="shared" si="58"/>
        <v>11412.038453347974</v>
      </c>
      <c r="AJ19" s="14">
        <f t="shared" si="31"/>
        <v>48730.417475318332</v>
      </c>
      <c r="AK19" s="75">
        <f t="shared" si="7"/>
        <v>2300</v>
      </c>
      <c r="AL19" s="14">
        <f t="shared" si="59"/>
        <v>51030.417475318332</v>
      </c>
      <c r="AM19" s="14"/>
      <c r="AN19" s="14">
        <f>'[1]Data-FW Catch Rates - new'!CE13</f>
        <v>23511.997674418606</v>
      </c>
      <c r="AO19" s="76">
        <f t="shared" si="32"/>
        <v>1.4673359736478922E-2</v>
      </c>
      <c r="AP19" s="60">
        <f t="shared" si="33"/>
        <v>29</v>
      </c>
      <c r="AQ19" s="59"/>
      <c r="AR19" s="77">
        <f t="shared" si="34"/>
        <v>0.45694390927971756</v>
      </c>
      <c r="AS19" s="61">
        <f t="shared" si="60"/>
        <v>5.8977961839964503E-2</v>
      </c>
      <c r="AT19" s="61">
        <f t="shared" si="35"/>
        <v>7.2474486022777694E-3</v>
      </c>
      <c r="AU19" s="61">
        <f t="shared" si="36"/>
        <v>7.8982399053394464E-2</v>
      </c>
      <c r="AV19" s="61"/>
      <c r="AW19" s="33"/>
      <c r="AX19" s="61">
        <f t="shared" si="37"/>
        <v>0.17763915030451063</v>
      </c>
      <c r="AY19" s="61">
        <f t="shared" si="38"/>
        <v>0.14092356442172488</v>
      </c>
      <c r="AZ19" s="61">
        <f t="shared" si="39"/>
        <v>8.6549363052607159E-2</v>
      </c>
      <c r="BA19" s="61">
        <f t="shared" si="40"/>
        <v>6.7606736740271562E-3</v>
      </c>
      <c r="BB19" s="61">
        <f t="shared" si="61"/>
        <v>0.41187275145286983</v>
      </c>
      <c r="BC19" s="61">
        <f t="shared" si="62"/>
        <v>4.5071157826847709E-2</v>
      </c>
      <c r="BD19" s="78">
        <f t="shared" si="41"/>
        <v>0.45694390927971756</v>
      </c>
      <c r="BE19" s="17"/>
      <c r="BF19" s="17"/>
      <c r="BG19" s="22">
        <f>'[1]Data-PSC CH Tables'!C13</f>
        <v>23212.997674418606</v>
      </c>
      <c r="BH19" s="22">
        <f>'[1]Data-PSC CH Tables'!AG13</f>
        <v>45693.153813391888</v>
      </c>
      <c r="BI19" s="22">
        <f>'[1]Data-PSC CH Tables'!AI13</f>
        <v>47993.153813391888</v>
      </c>
      <c r="BJ19" s="17"/>
      <c r="BK19" s="22">
        <f t="shared" si="63"/>
        <v>-1695.002325581394</v>
      </c>
      <c r="BL19" s="22">
        <f t="shared" si="64"/>
        <v>-3037.2636619264449</v>
      </c>
      <c r="BM19" s="22">
        <f t="shared" si="65"/>
        <v>-3037.2636619264449</v>
      </c>
      <c r="BO19" s="33"/>
      <c r="BP19" s="33"/>
      <c r="BQ19" s="33"/>
      <c r="BS19" s="62">
        <f t="shared" si="66"/>
        <v>7191.3883245505385</v>
      </c>
      <c r="BT19" s="62">
        <f t="shared" si="10"/>
        <v>9065</v>
      </c>
      <c r="BU19" s="62">
        <f t="shared" si="11"/>
        <v>345</v>
      </c>
      <c r="BV19" s="62">
        <f t="shared" si="12"/>
        <v>4220.6501287974352</v>
      </c>
      <c r="BW19" s="62">
        <f t="shared" si="13"/>
        <v>196</v>
      </c>
      <c r="BX19" s="62">
        <f t="shared" si="67"/>
        <v>21018.038453347974</v>
      </c>
      <c r="BY19" s="62">
        <f t="shared" si="15"/>
        <v>48730.417475318332</v>
      </c>
      <c r="BZ19" s="79">
        <f t="shared" si="68"/>
        <v>0.43131250545911054</v>
      </c>
      <c r="CA19" s="79">
        <f t="shared" si="69"/>
        <v>0.54296401058920629</v>
      </c>
      <c r="CB19" s="79">
        <f t="shared" si="70"/>
        <v>0.45703598941079371</v>
      </c>
      <c r="CC19" s="79">
        <f t="shared" si="19"/>
        <v>9.8636084017168654E-2</v>
      </c>
      <c r="CD19" s="33"/>
      <c r="CF19" s="36">
        <v>46802.082373026547</v>
      </c>
      <c r="CG19" s="36">
        <v>49202.082373026547</v>
      </c>
      <c r="CH19" s="81">
        <f t="shared" si="71"/>
        <v>-1928.335102291785</v>
      </c>
      <c r="CI19" s="36">
        <f t="shared" si="72"/>
        <v>-1828.335102291785</v>
      </c>
      <c r="CJ19" s="36">
        <v>25784.043919678574</v>
      </c>
      <c r="CK19" s="81">
        <f t="shared" si="73"/>
        <v>1928.335102291785</v>
      </c>
      <c r="CM19" s="33"/>
      <c r="CN19" s="82"/>
      <c r="CO19" s="82"/>
      <c r="CP19" s="82"/>
      <c r="CQ19" s="33"/>
      <c r="CR19" s="33"/>
      <c r="CS19" s="33"/>
      <c r="CT19" s="83"/>
      <c r="CU19" s="33"/>
      <c r="CV19" s="33"/>
      <c r="CW19" s="33"/>
      <c r="CX19" s="84"/>
      <c r="CY19" s="84"/>
      <c r="CZ19" s="33"/>
      <c r="DA19" s="33"/>
      <c r="DB19" s="33"/>
      <c r="DC19" s="33"/>
      <c r="DD19" s="33"/>
      <c r="DE19" s="33"/>
      <c r="DF19" s="33"/>
      <c r="DH19" s="66">
        <f t="shared" si="20"/>
        <v>0.10119589587552362</v>
      </c>
      <c r="DK19" s="90">
        <f t="shared" si="42"/>
        <v>37318.379021970359</v>
      </c>
      <c r="DN19" s="3">
        <f t="shared" si="74"/>
        <v>3501.4290670646606</v>
      </c>
      <c r="DO19" s="86">
        <f t="shared" si="75"/>
        <v>9.3825861648579992E-2</v>
      </c>
      <c r="DP19" s="3">
        <f t="shared" si="43"/>
        <v>1405.2242633643953</v>
      </c>
      <c r="DQ19" s="86">
        <f t="shared" si="76"/>
        <v>3.7655018792137271E-2</v>
      </c>
      <c r="DS19" s="14">
        <f t="shared" si="44"/>
        <v>27712.379021970359</v>
      </c>
      <c r="DT19" s="14">
        <v>24675.115360043914</v>
      </c>
      <c r="DU19" s="14">
        <f t="shared" si="77"/>
        <v>-3037.2636619264449</v>
      </c>
      <c r="DW19" s="14">
        <f t="shared" si="45"/>
        <v>48730.417475318332</v>
      </c>
      <c r="DX19" s="14">
        <v>45648.153813391888</v>
      </c>
      <c r="DY19" s="14">
        <f t="shared" si="78"/>
        <v>-3082.2636619264449</v>
      </c>
      <c r="EA19" s="3">
        <v>11412.038453347974</v>
      </c>
      <c r="EC19" s="91">
        <f t="shared" si="46"/>
        <v>7376</v>
      </c>
      <c r="ED19" s="92">
        <f t="shared" si="79"/>
        <v>4036.0384533479737</v>
      </c>
      <c r="EE19" s="3">
        <f t="shared" si="80"/>
        <v>11412.038453347974</v>
      </c>
      <c r="EG19" s="14">
        <f t="shared" si="47"/>
        <v>11953.038453347974</v>
      </c>
      <c r="EI19" s="89">
        <f t="shared" si="81"/>
        <v>1.403593104089268</v>
      </c>
      <c r="EJ19" s="89">
        <f t="shared" si="48"/>
        <v>0.10119589587552362</v>
      </c>
      <c r="EL19" s="67"/>
      <c r="EM19" s="67">
        <f t="shared" si="49"/>
        <v>27.71237902197036</v>
      </c>
      <c r="EN19" s="67">
        <f t="shared" si="22"/>
        <v>9.0649999999999995</v>
      </c>
      <c r="EO19" s="67">
        <f t="shared" si="23"/>
        <v>11.953038453347974</v>
      </c>
      <c r="EP19" s="67">
        <f t="shared" si="24"/>
        <v>2.2999999999999998</v>
      </c>
      <c r="ET19" s="66">
        <f t="shared" si="25"/>
        <v>7.8982399053394464E-2</v>
      </c>
      <c r="EW19" s="14">
        <f t="shared" si="27"/>
        <v>11953.038453347974</v>
      </c>
      <c r="EY19" s="14">
        <f t="shared" si="50"/>
        <v>541</v>
      </c>
      <c r="EZ19" s="14" t="e">
        <f t="shared" si="51"/>
        <v>#VALUE!</v>
      </c>
      <c r="FB19" s="14">
        <f t="shared" si="52"/>
        <v>46235.898076297199</v>
      </c>
      <c r="FC19" s="66">
        <f t="shared" si="53"/>
        <v>0.90604585194036324</v>
      </c>
      <c r="FE19" s="14">
        <f t="shared" si="26"/>
        <v>27000</v>
      </c>
    </row>
    <row r="20" spans="2:161" ht="13.5" thickBot="1" x14ac:dyDescent="0.25">
      <c r="B20" s="4">
        <v>1999</v>
      </c>
      <c r="C20" s="71">
        <f t="shared" si="54"/>
        <v>13069</v>
      </c>
      <c r="D20" s="71">
        <f t="shared" si="82"/>
        <v>10844</v>
      </c>
      <c r="E20" s="71">
        <f>'Bayesian Sum (10Feb26)'!H15</f>
        <v>2225</v>
      </c>
      <c r="G20" s="14">
        <f>'[1]Data-Nisgaa &amp; Other FN Catch'!BI12</f>
        <v>193</v>
      </c>
      <c r="H20" s="14">
        <v>82</v>
      </c>
      <c r="I20" s="14">
        <f>'Data-Chin-Nisga''a'!N14</f>
        <v>1608</v>
      </c>
      <c r="J20" s="14">
        <f t="shared" si="55"/>
        <v>1883</v>
      </c>
      <c r="L20" s="72">
        <f>'Bayesian Sum (10Feb26)'!K15</f>
        <v>14952</v>
      </c>
      <c r="M20" s="73">
        <f t="shared" si="28"/>
        <v>5.484216158373462E-3</v>
      </c>
      <c r="N20" s="56">
        <f>'Data-Coastal-Chin-Esc (new)'!J27</f>
        <v>740.06838189246889</v>
      </c>
      <c r="O20" s="74">
        <f t="shared" si="56"/>
        <v>2.6486131953419267</v>
      </c>
      <c r="P20" s="14">
        <f>'Data-Coastal-Chin-Esc (new)'!AL27</f>
        <v>1960.1548817357414</v>
      </c>
      <c r="R20" s="18" t="s">
        <v>106</v>
      </c>
      <c r="S20" s="14">
        <f>'Data-Chin-Nisga''a'!P14+'Data-Chin-Nisga''a'!Q14+'Data-Chin-Nisga''a'!O14</f>
        <v>7309</v>
      </c>
      <c r="T20" s="14">
        <f t="shared" si="57"/>
        <v>7309</v>
      </c>
      <c r="U20" s="73"/>
      <c r="V20" s="14">
        <f t="shared" si="3"/>
        <v>15029.154881735742</v>
      </c>
      <c r="X20" s="14">
        <f t="shared" si="29"/>
        <v>193</v>
      </c>
      <c r="Y20" s="14">
        <f t="shared" si="30"/>
        <v>82</v>
      </c>
      <c r="Z20" s="14">
        <f t="shared" si="30"/>
        <v>8917</v>
      </c>
      <c r="AA20" s="14">
        <f t="shared" si="4"/>
        <v>9192</v>
      </c>
      <c r="AC20" s="14">
        <f>'A3.1b CF-tidal-Harvests (Chin)'!G14</f>
        <v>4561.9285096861749</v>
      </c>
      <c r="AD20" s="14">
        <v>2677.4112706777014</v>
      </c>
      <c r="AE20" s="14">
        <f t="shared" si="58"/>
        <v>7239.3397803638763</v>
      </c>
      <c r="AJ20" s="14">
        <f t="shared" si="31"/>
        <v>31460.494662099616</v>
      </c>
      <c r="AK20" s="75">
        <f t="shared" si="7"/>
        <v>1500</v>
      </c>
      <c r="AL20" s="14">
        <f t="shared" si="59"/>
        <v>32960.49466209962</v>
      </c>
      <c r="AM20" s="14"/>
      <c r="AN20" s="14">
        <f>'[1]Data-FW Catch Rates - new'!CE14</f>
        <v>11730.176923076924</v>
      </c>
      <c r="AO20" s="76">
        <f t="shared" si="32"/>
        <v>1.6453289772663929E-2</v>
      </c>
      <c r="AP20" s="60">
        <f t="shared" si="33"/>
        <v>11</v>
      </c>
      <c r="AQ20" s="59"/>
      <c r="AR20" s="77">
        <f t="shared" si="34"/>
        <v>0.54402520241853769</v>
      </c>
      <c r="AS20" s="61">
        <f t="shared" si="60"/>
        <v>0.10754414125200643</v>
      </c>
      <c r="AT20" s="61">
        <f t="shared" si="35"/>
        <v>5.484216158373462E-3</v>
      </c>
      <c r="AU20" s="61">
        <f t="shared" si="36"/>
        <v>0.12593632958801498</v>
      </c>
      <c r="AV20" s="61"/>
      <c r="AW20" s="33"/>
      <c r="AX20" s="61">
        <f t="shared" si="37"/>
        <v>0.27053598835254788</v>
      </c>
      <c r="AY20" s="61">
        <f t="shared" si="38"/>
        <v>0.13840594798268646</v>
      </c>
      <c r="AZ20" s="61">
        <f t="shared" si="39"/>
        <v>8.3718745697426489E-2</v>
      </c>
      <c r="BA20" s="61">
        <f t="shared" si="40"/>
        <v>5.85549464528897E-3</v>
      </c>
      <c r="BB20" s="61">
        <f t="shared" si="61"/>
        <v>0.49851617667794984</v>
      </c>
      <c r="BC20" s="61">
        <f t="shared" si="62"/>
        <v>4.550902574058785E-2</v>
      </c>
      <c r="BD20" s="78">
        <f t="shared" si="41"/>
        <v>0.54402520241853769</v>
      </c>
      <c r="BE20" s="17"/>
      <c r="BF20" s="17"/>
      <c r="BG20" s="22">
        <f>'[1]Data-PSC CH Tables'!C14</f>
        <v>11544</v>
      </c>
      <c r="BH20" s="22">
        <f>'[1]Data-PSC CH Tables'!AG14</f>
        <v>28957.359121455502</v>
      </c>
      <c r="BI20" s="22">
        <f>'[1]Data-PSC CH Tables'!AI14</f>
        <v>30457.359121455502</v>
      </c>
      <c r="BJ20" s="17"/>
      <c r="BK20" s="22">
        <f t="shared" si="63"/>
        <v>-1525</v>
      </c>
      <c r="BL20" s="22">
        <f t="shared" si="64"/>
        <v>-2503.1355406441144</v>
      </c>
      <c r="BM20" s="22">
        <f t="shared" si="65"/>
        <v>-2503.135540644118</v>
      </c>
      <c r="BO20" s="33"/>
      <c r="BP20" s="33"/>
      <c r="BQ20" s="33"/>
      <c r="BS20" s="62">
        <f t="shared" si="66"/>
        <v>4561.9285096861749</v>
      </c>
      <c r="BT20" s="62">
        <f t="shared" si="10"/>
        <v>8917</v>
      </c>
      <c r="BU20" s="62">
        <f t="shared" si="11"/>
        <v>193</v>
      </c>
      <c r="BV20" s="62">
        <f t="shared" si="12"/>
        <v>2677.4112706777014</v>
      </c>
      <c r="BW20" s="62">
        <f t="shared" si="13"/>
        <v>82</v>
      </c>
      <c r="BX20" s="62">
        <f t="shared" si="67"/>
        <v>16431.339780363876</v>
      </c>
      <c r="BY20" s="62">
        <f t="shared" si="15"/>
        <v>31460.494662099616</v>
      </c>
      <c r="BZ20" s="79">
        <f t="shared" si="68"/>
        <v>0.52228485142538694</v>
      </c>
      <c r="CA20" s="79">
        <f t="shared" si="69"/>
        <v>0.44058122326793969</v>
      </c>
      <c r="CB20" s="79">
        <f t="shared" si="70"/>
        <v>0.55941877673206031</v>
      </c>
      <c r="CC20" s="79">
        <f t="shared" si="19"/>
        <v>8.365242186992683E-2</v>
      </c>
      <c r="CD20" s="33"/>
      <c r="CF20" s="36">
        <v>29702.161885389225</v>
      </c>
      <c r="CG20" s="36">
        <v>31202.161885389225</v>
      </c>
      <c r="CH20" s="81">
        <f t="shared" si="71"/>
        <v>-1758.332776710391</v>
      </c>
      <c r="CI20" s="36">
        <f t="shared" si="72"/>
        <v>-1758.3327767103947</v>
      </c>
      <c r="CJ20" s="36">
        <v>13270.822105025351</v>
      </c>
      <c r="CK20" s="81">
        <f t="shared" si="73"/>
        <v>1758.332776710391</v>
      </c>
      <c r="CM20" s="33"/>
      <c r="CN20" s="82"/>
      <c r="CO20" s="82"/>
      <c r="CP20" s="82"/>
      <c r="CQ20" s="33"/>
      <c r="CR20" s="33"/>
      <c r="CS20" s="33"/>
      <c r="CT20" s="83"/>
      <c r="CU20" s="33"/>
      <c r="CV20" s="33"/>
      <c r="CW20" s="33"/>
      <c r="CX20" s="84"/>
      <c r="CY20" s="84"/>
      <c r="CZ20" s="33"/>
      <c r="DA20" s="33"/>
      <c r="DB20" s="33"/>
      <c r="DC20" s="33"/>
      <c r="DD20" s="33"/>
      <c r="DE20" s="33"/>
      <c r="DF20" s="33"/>
      <c r="DH20" s="66">
        <f t="shared" si="20"/>
        <v>0.1304234933474423</v>
      </c>
      <c r="DK20" s="93">
        <f t="shared" si="42"/>
        <v>24221.15488173574</v>
      </c>
      <c r="DN20" s="3">
        <f t="shared" si="74"/>
        <v>2272.5707269025652</v>
      </c>
      <c r="DO20" s="86">
        <f t="shared" si="75"/>
        <v>9.3825861648579978E-2</v>
      </c>
      <c r="DP20" s="3">
        <f t="shared" si="43"/>
        <v>912.0480422390267</v>
      </c>
      <c r="DQ20" s="86">
        <f t="shared" si="76"/>
        <v>3.7655018792137271E-2</v>
      </c>
      <c r="DS20" s="14">
        <f t="shared" si="44"/>
        <v>15029.154881735742</v>
      </c>
      <c r="DT20" s="14">
        <v>12526.019341091624</v>
      </c>
      <c r="DU20" s="14">
        <f t="shared" si="77"/>
        <v>-2503.135540644118</v>
      </c>
      <c r="DW20" s="14">
        <f t="shared" si="45"/>
        <v>31460.494662099616</v>
      </c>
      <c r="DX20" s="14">
        <v>28957.359121455502</v>
      </c>
      <c r="DY20" s="14">
        <f t="shared" si="78"/>
        <v>-2503.1355406441144</v>
      </c>
      <c r="EA20" s="3">
        <v>7239.3397803638763</v>
      </c>
      <c r="EC20" s="94">
        <f t="shared" si="46"/>
        <v>4679</v>
      </c>
      <c r="ED20" s="95">
        <f t="shared" si="79"/>
        <v>2560.3397803638763</v>
      </c>
      <c r="EE20" s="3">
        <f t="shared" si="80"/>
        <v>7239.3397803638763</v>
      </c>
      <c r="EG20" s="14">
        <f t="shared" si="47"/>
        <v>7514.3397803638763</v>
      </c>
      <c r="EI20" s="89">
        <f t="shared" si="81"/>
        <v>0.98056772473023579</v>
      </c>
      <c r="EJ20" s="89">
        <f t="shared" si="48"/>
        <v>0.1304234933474423</v>
      </c>
      <c r="EL20" s="67"/>
      <c r="EM20" s="67">
        <f t="shared" si="49"/>
        <v>15.029154881735742</v>
      </c>
      <c r="EN20" s="67">
        <f t="shared" si="22"/>
        <v>8.9169999999999998</v>
      </c>
      <c r="EO20" s="67">
        <f t="shared" si="23"/>
        <v>7.5143397803638763</v>
      </c>
      <c r="EP20" s="67">
        <f t="shared" si="24"/>
        <v>1.5</v>
      </c>
      <c r="ET20" s="66">
        <f t="shared" si="25"/>
        <v>0.12593632958801498</v>
      </c>
      <c r="EW20" s="14">
        <f t="shared" si="27"/>
        <v>7514.3397803638763</v>
      </c>
      <c r="EY20" s="14">
        <f t="shared" si="50"/>
        <v>275</v>
      </c>
      <c r="EZ20" s="14" t="e">
        <f t="shared" si="51"/>
        <v>#VALUE!</v>
      </c>
      <c r="FB20" s="14">
        <f t="shared" si="52"/>
        <v>29140.302914322263</v>
      </c>
      <c r="FC20" s="66">
        <f t="shared" si="53"/>
        <v>0.88409786361094611</v>
      </c>
      <c r="FE20" s="14">
        <f t="shared" si="26"/>
        <v>15000</v>
      </c>
    </row>
    <row r="21" spans="2:161" x14ac:dyDescent="0.2">
      <c r="B21" s="4">
        <v>2000</v>
      </c>
      <c r="C21" s="71">
        <f t="shared" si="54"/>
        <v>18085</v>
      </c>
      <c r="D21" s="71">
        <f t="shared" si="82"/>
        <v>14915</v>
      </c>
      <c r="E21" s="71">
        <f>'Bayesian Sum (10Feb26)'!H16</f>
        <v>3170</v>
      </c>
      <c r="G21" s="14">
        <f>'[1]Data-Nisgaa &amp; Other FN Catch'!BI13</f>
        <v>49</v>
      </c>
      <c r="H21" s="14">
        <f>'[1]Data-SF-FW'!U4</f>
        <v>1023</v>
      </c>
      <c r="I21" s="14">
        <f>'Data-Chin-Nisga''a'!N15</f>
        <v>2498</v>
      </c>
      <c r="J21" s="14">
        <f t="shared" si="55"/>
        <v>3570</v>
      </c>
      <c r="L21" s="72">
        <f>'Bayesian Sum (10Feb26)'!K16</f>
        <v>21655</v>
      </c>
      <c r="M21" s="73">
        <f t="shared" si="28"/>
        <v>4.724082198106673E-2</v>
      </c>
      <c r="N21" s="56">
        <f>'Data-Coastal-Chin-Esc (new)'!J28</f>
        <v>822.75788234449112</v>
      </c>
      <c r="O21" s="74">
        <f t="shared" si="56"/>
        <v>3.1841228128304615</v>
      </c>
      <c r="P21" s="14">
        <f>'Data-Coastal-Chin-Esc (new)'!AL28</f>
        <v>2619.762142609175</v>
      </c>
      <c r="R21" s="5">
        <f>SUM('[1]Data-SF-FW'!C4:H4)</f>
        <v>214.46730272298021</v>
      </c>
      <c r="S21" s="14">
        <f>'Data-Chin-Nisga''a'!P15+'Data-Chin-Nisga''a'!Q15+'Data-Chin-Nisga''a'!O15</f>
        <v>6828</v>
      </c>
      <c r="T21" s="14">
        <f t="shared" si="57"/>
        <v>7042.4673027229801</v>
      </c>
      <c r="U21" s="73">
        <f t="shared" ref="U21:U43" si="83">R21/SUM(T21,P21)</f>
        <v>2.2196461379479022E-2</v>
      </c>
      <c r="V21" s="14">
        <f t="shared" si="3"/>
        <v>20704.762142609175</v>
      </c>
      <c r="X21" s="14">
        <f t="shared" si="29"/>
        <v>49</v>
      </c>
      <c r="Y21" s="14">
        <f t="shared" si="30"/>
        <v>1237.4673027229801</v>
      </c>
      <c r="Z21" s="14">
        <f t="shared" si="30"/>
        <v>9326</v>
      </c>
      <c r="AA21" s="14">
        <f t="shared" si="4"/>
        <v>10612.46730272298</v>
      </c>
      <c r="AC21" s="14">
        <f>'A3.1b CF-tidal-Harvests (Chin)'!G15</f>
        <v>1826</v>
      </c>
      <c r="AD21" s="14">
        <f>'A3.1b CF-tidal-Harvests (Chin)'!L15</f>
        <v>986</v>
      </c>
      <c r="AE21" s="14">
        <f t="shared" si="58"/>
        <v>2812</v>
      </c>
      <c r="AJ21" s="14">
        <f t="shared" si="31"/>
        <v>34129.229445332152</v>
      </c>
      <c r="AK21" s="75">
        <f t="shared" si="7"/>
        <v>1600</v>
      </c>
      <c r="AL21" s="14">
        <f t="shared" si="59"/>
        <v>35729.229445332152</v>
      </c>
      <c r="AM21" s="14"/>
      <c r="AN21" s="14">
        <f>'[1]Data-FW Catch Rates - new'!CE15</f>
        <v>18488.665343866141</v>
      </c>
      <c r="AO21" s="76">
        <f t="shared" si="32"/>
        <v>2.6502724284669038E-3</v>
      </c>
      <c r="AP21" s="60">
        <f t="shared" si="33"/>
        <v>22</v>
      </c>
      <c r="AQ21" s="59"/>
      <c r="AR21" s="77">
        <f t="shared" si="34"/>
        <v>0.42050913316536281</v>
      </c>
      <c r="AS21" s="61">
        <f t="shared" si="60"/>
        <v>0.11535442161163703</v>
      </c>
      <c r="AT21" s="61">
        <f t="shared" si="35"/>
        <v>4.724082198106673E-2</v>
      </c>
      <c r="AU21" s="61">
        <f t="shared" si="36"/>
        <v>0.16485800046178711</v>
      </c>
      <c r="AV21" s="61"/>
      <c r="AW21" s="33"/>
      <c r="AX21" s="61">
        <f t="shared" si="37"/>
        <v>0.26101878335409767</v>
      </c>
      <c r="AY21" s="61">
        <f t="shared" si="38"/>
        <v>5.1106615741430661E-2</v>
      </c>
      <c r="AZ21" s="61">
        <f t="shared" si="39"/>
        <v>6.2231045484062775E-2</v>
      </c>
      <c r="BA21" s="61">
        <f t="shared" si="40"/>
        <v>1.3714261617360911E-3</v>
      </c>
      <c r="BB21" s="61">
        <f t="shared" si="61"/>
        <v>0.37572787074132719</v>
      </c>
      <c r="BC21" s="61">
        <f t="shared" si="62"/>
        <v>4.4781262424035628E-2</v>
      </c>
      <c r="BD21" s="78">
        <f t="shared" si="41"/>
        <v>0.42050913316536281</v>
      </c>
      <c r="BE21" s="17"/>
      <c r="BF21" s="17"/>
      <c r="BG21" s="22">
        <f>'[1]Data-PSC CH Tables'!C15</f>
        <v>18046.703991143764</v>
      </c>
      <c r="BH21" s="22">
        <f>'[1]Data-PSC CH Tables'!AG15</f>
        <v>32772.911392876646</v>
      </c>
      <c r="BI21" s="22">
        <f>'[1]Data-PSC CH Tables'!AI15</f>
        <v>34472.911392876646</v>
      </c>
      <c r="BJ21" s="17"/>
      <c r="BK21" s="22">
        <f t="shared" si="63"/>
        <v>-38.296008856235858</v>
      </c>
      <c r="BL21" s="22">
        <f t="shared" si="64"/>
        <v>-1356.3180524555064</v>
      </c>
      <c r="BM21" s="22">
        <f t="shared" si="65"/>
        <v>-1256.3180524555064</v>
      </c>
      <c r="BO21" s="33"/>
      <c r="BP21" s="33"/>
      <c r="BQ21" s="33"/>
      <c r="BS21" s="62">
        <f t="shared" si="66"/>
        <v>1826</v>
      </c>
      <c r="BT21" s="62">
        <f t="shared" si="10"/>
        <v>9326</v>
      </c>
      <c r="BU21" s="62">
        <f t="shared" si="11"/>
        <v>49</v>
      </c>
      <c r="BV21" s="62">
        <f t="shared" si="12"/>
        <v>986</v>
      </c>
      <c r="BW21" s="62">
        <f t="shared" si="13"/>
        <v>1237.4673027229801</v>
      </c>
      <c r="BX21" s="62">
        <f t="shared" si="67"/>
        <v>13424.46730272298</v>
      </c>
      <c r="BY21" s="62">
        <f t="shared" si="15"/>
        <v>34129.229445332152</v>
      </c>
      <c r="BZ21" s="79">
        <f t="shared" si="68"/>
        <v>0.39334223247630462</v>
      </c>
      <c r="CA21" s="79">
        <f t="shared" si="69"/>
        <v>0.20946827435228077</v>
      </c>
      <c r="CB21" s="79">
        <f t="shared" si="70"/>
        <v>0.79053172564771923</v>
      </c>
      <c r="CC21" s="79">
        <f t="shared" si="19"/>
        <v>0.10649296030016464</v>
      </c>
      <c r="CD21" s="33"/>
      <c r="CF21" s="36">
        <v>33390.935106344754</v>
      </c>
      <c r="CG21" s="36">
        <v>35090.935106344754</v>
      </c>
      <c r="CH21" s="81">
        <f t="shared" si="71"/>
        <v>-738.29433898739808</v>
      </c>
      <c r="CI21" s="36">
        <f t="shared" si="72"/>
        <v>-638.29433898739808</v>
      </c>
      <c r="CJ21" s="36">
        <v>19966.46780362177</v>
      </c>
      <c r="CK21" s="81">
        <f t="shared" si="73"/>
        <v>738.29433898740535</v>
      </c>
      <c r="CM21" s="33">
        <f t="shared" ref="CM21:CM46" si="84">B21</f>
        <v>2000</v>
      </c>
      <c r="CN21" s="96">
        <f>AJ21</f>
        <v>34129.229445332152</v>
      </c>
      <c r="CO21" s="97">
        <f>IF((CN21-DE$2-CT21)&gt;0, (CN21-DE$2-CT21),0)</f>
        <v>11962.0912618124</v>
      </c>
      <c r="CP21" s="97">
        <f>CO21+CT21</f>
        <v>19129.229445332152</v>
      </c>
      <c r="CQ21" s="62">
        <f>V21</f>
        <v>20704.762142609175</v>
      </c>
      <c r="CR21" s="98" t="str">
        <f t="shared" ref="CR21:CR44" si="85">IF(ROUND(CQ21,-3)&gt;=DE$3,"Y","N")</f>
        <v>Y</v>
      </c>
      <c r="CS21" s="98" t="str">
        <f>IF(CQ21&gt;DE$2,"Y","N")</f>
        <v>Y</v>
      </c>
      <c r="CT21" s="99">
        <f>IF(CN21*DB$1&gt;12600,12600,CN21*DB$1)</f>
        <v>7167.1381835197517</v>
      </c>
      <c r="CU21" s="100">
        <f>IF(CS21="N",(BX21-BT21)+CT21,CT21)</f>
        <v>7167.1381835197517</v>
      </c>
      <c r="CV21" s="100"/>
      <c r="CW21" s="100"/>
      <c r="CX21" s="101">
        <f>BT21</f>
        <v>9326</v>
      </c>
      <c r="CY21" s="102">
        <f t="shared" ref="CY21:CY42" si="86">CX21-CU21</f>
        <v>2158.8618164802483</v>
      </c>
      <c r="CZ21" s="79">
        <v>1</v>
      </c>
      <c r="DA21" s="103">
        <f>IF(CZ21=100%,CY21,CZ21*CT21*-1)</f>
        <v>2158.8618164802483</v>
      </c>
      <c r="DB21" s="103">
        <f t="shared" ref="DB21:DB39" si="87">IF(CX21&gt;CT21,CY21,(IF(CY21*-1&gt;(CT21*CZ21),CT21*CZ21*-1,CY21)))</f>
        <v>2158.8618164802483</v>
      </c>
      <c r="DC21" s="104">
        <v>2391</v>
      </c>
      <c r="DD21" s="104">
        <f>DC21+DD20</f>
        <v>2391</v>
      </c>
      <c r="DE21" s="105">
        <f>DB21</f>
        <v>2158.8618164802483</v>
      </c>
      <c r="DF21" s="105">
        <f>IF($DB21&gt;0,$DB21,$DB21*-1)</f>
        <v>2158.8618164802483</v>
      </c>
      <c r="DH21" s="66">
        <f t="shared" si="20"/>
        <v>0.12652944885649564</v>
      </c>
      <c r="DK21" s="106">
        <f t="shared" ref="DK21:DK31" si="88">AC21/AJ21</f>
        <v>5.3502526417271386E-2</v>
      </c>
      <c r="DL21" s="106">
        <f t="shared" ref="DL21:DL31" si="89">AD21/AJ21</f>
        <v>2.8890192249413794E-2</v>
      </c>
      <c r="DS21" s="14">
        <f t="shared" si="44"/>
        <v>20704.762142609175</v>
      </c>
      <c r="DT21" s="14">
        <v>19348.444090153665</v>
      </c>
      <c r="DU21" s="14">
        <f t="shared" si="77"/>
        <v>-1356.31805245551</v>
      </c>
      <c r="DW21" s="14">
        <f t="shared" si="45"/>
        <v>34129.229445332152</v>
      </c>
      <c r="DX21" s="14">
        <v>32617.444090153662</v>
      </c>
      <c r="DY21" s="14">
        <f t="shared" si="78"/>
        <v>-1511.7853551784901</v>
      </c>
      <c r="EC21" s="3">
        <f t="shared" ref="EC21:ED31" si="90">AC21/$AE21</f>
        <v>0.64935988620199148</v>
      </c>
      <c r="ED21" s="3">
        <f t="shared" si="90"/>
        <v>0.35064011379800852</v>
      </c>
      <c r="EG21" s="14">
        <f t="shared" si="47"/>
        <v>4098.4673027229801</v>
      </c>
      <c r="EI21" s="89">
        <f t="shared" si="81"/>
        <v>1.3098810713045874</v>
      </c>
      <c r="EJ21" s="89">
        <f t="shared" si="48"/>
        <v>0.12652944885649564</v>
      </c>
      <c r="EL21" s="67"/>
      <c r="EM21" s="67">
        <f t="shared" si="49"/>
        <v>20.704762142609177</v>
      </c>
      <c r="EN21" s="67">
        <f t="shared" si="22"/>
        <v>9.3260000000000005</v>
      </c>
      <c r="EO21" s="67">
        <f t="shared" si="23"/>
        <v>4.0984673027229803</v>
      </c>
      <c r="EP21" s="67">
        <f t="shared" si="24"/>
        <v>1.6</v>
      </c>
      <c r="ET21" s="66">
        <f t="shared" si="25"/>
        <v>0.16485800046178711</v>
      </c>
      <c r="EW21" s="14">
        <f t="shared" si="27"/>
        <v>4098.4673027229801</v>
      </c>
      <c r="EY21" s="14">
        <f t="shared" si="50"/>
        <v>1072</v>
      </c>
      <c r="EZ21" s="14">
        <f t="shared" si="51"/>
        <v>1286.4673027229801</v>
      </c>
      <c r="FB21" s="14">
        <f t="shared" si="52"/>
        <v>31681.965395996995</v>
      </c>
      <c r="FC21" s="66">
        <f t="shared" si="53"/>
        <v>0.89207877188585338</v>
      </c>
      <c r="FE21" s="14">
        <f t="shared" si="26"/>
        <v>22000</v>
      </c>
    </row>
    <row r="22" spans="2:161" x14ac:dyDescent="0.2">
      <c r="B22" s="4">
        <v>2001</v>
      </c>
      <c r="C22" s="71">
        <f t="shared" si="54"/>
        <v>29341</v>
      </c>
      <c r="D22" s="71">
        <f t="shared" si="82"/>
        <v>24024</v>
      </c>
      <c r="E22" s="71">
        <f>'Bayesian Sum (10Feb26)'!H17</f>
        <v>5317</v>
      </c>
      <c r="G22" s="14">
        <f>'[1]Data-Nisgaa &amp; Other FN Catch'!BI14</f>
        <v>195</v>
      </c>
      <c r="H22" s="14">
        <f>'[1]Data-SF-FW'!U5</f>
        <v>722</v>
      </c>
      <c r="I22" s="14">
        <f>'Data-Chin-Nisga''a'!N16</f>
        <v>5457</v>
      </c>
      <c r="J22" s="14">
        <f t="shared" si="55"/>
        <v>6374</v>
      </c>
      <c r="L22" s="72">
        <f>'Bayesian Sum (10Feb26)'!K17</f>
        <v>35715</v>
      </c>
      <c r="M22" s="73">
        <f t="shared" si="28"/>
        <v>2.0215595688086237E-2</v>
      </c>
      <c r="N22" s="56">
        <f>'Data-Coastal-Chin-Esc (new)'!J29</f>
        <v>1514.9352638133296</v>
      </c>
      <c r="O22" s="74">
        <f t="shared" si="56"/>
        <v>3.2574574601036721</v>
      </c>
      <c r="P22" s="14">
        <f>'Data-Coastal-Chin-Esc (new)'!AL29</f>
        <v>4934.837176682855</v>
      </c>
      <c r="R22" s="5">
        <f>SUM('[1]Data-SF-FW'!C5:H5)</f>
        <v>328.00881592926385</v>
      </c>
      <c r="S22" s="14">
        <f>'Data-Chin-Nisga''a'!P16+'Data-Chin-Nisga''a'!Q16+'Data-Chin-Nisga''a'!O16</f>
        <v>6307</v>
      </c>
      <c r="T22" s="14">
        <f t="shared" si="57"/>
        <v>6635.0088159292636</v>
      </c>
      <c r="U22" s="73">
        <f t="shared" si="83"/>
        <v>2.8350318244401235E-2</v>
      </c>
      <c r="V22" s="14">
        <f t="shared" si="3"/>
        <v>34275.837176682857</v>
      </c>
      <c r="X22" s="14">
        <f t="shared" si="29"/>
        <v>195</v>
      </c>
      <c r="Y22" s="14">
        <f t="shared" si="30"/>
        <v>1050.0088159292638</v>
      </c>
      <c r="Z22" s="14">
        <f t="shared" si="30"/>
        <v>11764</v>
      </c>
      <c r="AA22" s="14">
        <f t="shared" si="4"/>
        <v>13009.008815929265</v>
      </c>
      <c r="AC22" s="14">
        <f>'A3.1b CF-tidal-Harvests (Chin)'!G16</f>
        <v>928</v>
      </c>
      <c r="AD22" s="14">
        <f>'A3.1b CF-tidal-Harvests (Chin)'!L16</f>
        <v>1705</v>
      </c>
      <c r="AE22" s="14">
        <f t="shared" si="58"/>
        <v>2633</v>
      </c>
      <c r="AJ22" s="14">
        <f t="shared" si="31"/>
        <v>49917.845992612121</v>
      </c>
      <c r="AK22" s="75">
        <f t="shared" si="7"/>
        <v>2300</v>
      </c>
      <c r="AL22" s="14">
        <f t="shared" si="59"/>
        <v>52217.845992612121</v>
      </c>
      <c r="AM22" s="14"/>
      <c r="AN22" s="14">
        <f>'[1]Data-FW Catch Rates - new'!CE16</f>
        <v>28924.479431156342</v>
      </c>
      <c r="AO22" s="76">
        <f t="shared" si="32"/>
        <v>6.7416943652909263E-3</v>
      </c>
      <c r="AP22" s="60">
        <f t="shared" si="33"/>
        <v>34</v>
      </c>
      <c r="AQ22" s="59"/>
      <c r="AR22" s="77">
        <f t="shared" si="34"/>
        <v>0.34359917524111838</v>
      </c>
      <c r="AS22" s="61">
        <f t="shared" si="60"/>
        <v>0.15279294414111719</v>
      </c>
      <c r="AT22" s="61">
        <f t="shared" si="35"/>
        <v>2.0215595688086237E-2</v>
      </c>
      <c r="AU22" s="61">
        <f t="shared" si="36"/>
        <v>0.17846843063138737</v>
      </c>
      <c r="AV22" s="61"/>
      <c r="AW22" s="33"/>
      <c r="AX22" s="61">
        <f t="shared" si="37"/>
        <v>0.22528696418585312</v>
      </c>
      <c r="AY22" s="61">
        <f t="shared" si="38"/>
        <v>1.7771702037102318E-2</v>
      </c>
      <c r="AZ22" s="61">
        <f t="shared" si="39"/>
        <v>5.2759909252462225E-2</v>
      </c>
      <c r="BA22" s="61">
        <f t="shared" si="40"/>
        <v>3.734355492710078E-3</v>
      </c>
      <c r="BB22" s="61">
        <f t="shared" si="61"/>
        <v>0.29955293096812774</v>
      </c>
      <c r="BC22" s="61">
        <f t="shared" si="62"/>
        <v>4.4046244272990663E-2</v>
      </c>
      <c r="BD22" s="78">
        <f t="shared" si="41"/>
        <v>0.34359917524111838</v>
      </c>
      <c r="BE22" s="17"/>
      <c r="BF22" s="17"/>
      <c r="BG22" s="22">
        <f>'[1]Data-PSC CH Tables'!C16</f>
        <v>28329</v>
      </c>
      <c r="BH22" s="22">
        <f>'[1]Data-PSC CH Tables'!AG16</f>
        <v>47898.318267833471</v>
      </c>
      <c r="BI22" s="22">
        <f>'[1]Data-PSC CH Tables'!AI16</f>
        <v>50298.318267833471</v>
      </c>
      <c r="BJ22" s="17"/>
      <c r="BK22" s="22">
        <f t="shared" si="63"/>
        <v>-1012</v>
      </c>
      <c r="BL22" s="22">
        <f t="shared" si="64"/>
        <v>-2019.5277247786507</v>
      </c>
      <c r="BM22" s="22">
        <f t="shared" si="65"/>
        <v>-1919.5277247786507</v>
      </c>
      <c r="BO22" s="33"/>
      <c r="BP22" s="33"/>
      <c r="BQ22" s="33"/>
      <c r="BS22" s="62">
        <f t="shared" si="66"/>
        <v>928</v>
      </c>
      <c r="BT22" s="62">
        <f t="shared" si="10"/>
        <v>11764</v>
      </c>
      <c r="BU22" s="62">
        <f t="shared" si="11"/>
        <v>195</v>
      </c>
      <c r="BV22" s="62">
        <f t="shared" si="12"/>
        <v>1705</v>
      </c>
      <c r="BW22" s="62">
        <f t="shared" si="13"/>
        <v>1050.0088159292638</v>
      </c>
      <c r="BX22" s="62">
        <f t="shared" si="67"/>
        <v>15642.008815929265</v>
      </c>
      <c r="BY22" s="62">
        <f t="shared" si="15"/>
        <v>49917.845992612121</v>
      </c>
      <c r="BZ22" s="79">
        <f t="shared" si="68"/>
        <v>0.31335504377020384</v>
      </c>
      <c r="CA22" s="79">
        <f t="shared" si="69"/>
        <v>0.16832876333112962</v>
      </c>
      <c r="CB22" s="79">
        <f t="shared" si="70"/>
        <v>0.83167123666887044</v>
      </c>
      <c r="CC22" s="79">
        <f t="shared" si="19"/>
        <v>0.1281907741544534</v>
      </c>
      <c r="CD22" s="33"/>
      <c r="CF22" s="36">
        <v>47505.849332349782</v>
      </c>
      <c r="CG22" s="36">
        <v>49905.849332349782</v>
      </c>
      <c r="CH22" s="81">
        <f>AJ22-CF22</f>
        <v>2411.996660262339</v>
      </c>
      <c r="CI22" s="36">
        <f>AL22-CG22</f>
        <v>2311.996660262339</v>
      </c>
      <c r="CJ22" s="36">
        <v>31863.840516420514</v>
      </c>
      <c r="CK22" s="81">
        <f t="shared" si="73"/>
        <v>2411.9966602623426</v>
      </c>
      <c r="CM22" s="33">
        <f t="shared" si="84"/>
        <v>2001</v>
      </c>
      <c r="CN22" s="96">
        <f t="shared" ref="CN22:CN46" si="91">AJ22</f>
        <v>49917.845992612121</v>
      </c>
      <c r="CO22" s="97">
        <f t="shared" ref="CO22:CO39" si="92">IF((CN22-DE$2-CT22)&gt;0, (CN22-DE$2-CT22),0)</f>
        <v>24435.098334163577</v>
      </c>
      <c r="CP22" s="97">
        <f t="shared" ref="CP22:CP46" si="93">CO22+CT22</f>
        <v>34917.845992612121</v>
      </c>
      <c r="CQ22" s="62">
        <f t="shared" ref="CQ22:CQ39" si="94">V22</f>
        <v>34275.837176682857</v>
      </c>
      <c r="CR22" s="98" t="str">
        <f t="shared" si="85"/>
        <v>Y</v>
      </c>
      <c r="CS22" s="98" t="str">
        <f t="shared" ref="CS22:CS44" si="95">IF(CQ22&gt;DE$2,"Y","N")</f>
        <v>Y</v>
      </c>
      <c r="CT22" s="99">
        <f>IF(CN22*DB$1&gt;12600,12600,CN22*DB$1)</f>
        <v>10482.747658448545</v>
      </c>
      <c r="CU22" s="100">
        <f>IF(CR22="N",0,IF(CS22="N",(BX22-BT22)+CT22,CT22))</f>
        <v>10482.747658448545</v>
      </c>
      <c r="CV22" s="100"/>
      <c r="CW22" s="100"/>
      <c r="CX22" s="101">
        <f t="shared" ref="CX22:CX44" si="96">BT22</f>
        <v>11764</v>
      </c>
      <c r="CY22" s="102">
        <f t="shared" si="86"/>
        <v>1281.2523415514552</v>
      </c>
      <c r="CZ22" s="79">
        <v>1</v>
      </c>
      <c r="DA22" s="103">
        <f t="shared" ref="DA22:DA46" si="97">IF(CZ22=100%,CY22,CZ22*CT22*-1)</f>
        <v>1281.2523415514552</v>
      </c>
      <c r="DB22" s="103">
        <f t="shared" si="87"/>
        <v>1281.2523415514552</v>
      </c>
      <c r="DC22" s="104">
        <v>1317</v>
      </c>
      <c r="DD22" s="104">
        <f>DC22+DD21</f>
        <v>3708</v>
      </c>
      <c r="DE22" s="105">
        <f t="shared" ref="DE22:DE46" si="98">DB22</f>
        <v>1281.2523415514552</v>
      </c>
      <c r="DF22" s="105">
        <f t="shared" ref="DF22:DF46" si="99">IF($DB22&gt;0,$DB22,$DB22*-1)</f>
        <v>1281.2523415514552</v>
      </c>
      <c r="DH22" s="66">
        <f t="shared" si="20"/>
        <v>0.14397422741988991</v>
      </c>
      <c r="DK22" s="106">
        <f t="shared" si="88"/>
        <v>1.8590545756668762E-2</v>
      </c>
      <c r="DL22" s="106">
        <f t="shared" si="89"/>
        <v>3.4156121244741634E-2</v>
      </c>
      <c r="DS22" s="14">
        <f t="shared" si="44"/>
        <v>34275.837176682857</v>
      </c>
      <c r="DT22" s="14">
        <v>32952.32699619772</v>
      </c>
      <c r="DU22" s="14">
        <f t="shared" si="77"/>
        <v>-1323.5101804851365</v>
      </c>
      <c r="DW22" s="14">
        <f t="shared" si="45"/>
        <v>49917.845992612121</v>
      </c>
      <c r="DX22" s="14">
        <v>48266.32699619772</v>
      </c>
      <c r="DY22" s="14">
        <f t="shared" si="78"/>
        <v>-1651.518996414401</v>
      </c>
      <c r="EC22" s="3">
        <f t="shared" si="90"/>
        <v>0.35244967717432585</v>
      </c>
      <c r="ED22" s="3">
        <f t="shared" si="90"/>
        <v>0.64755032282567415</v>
      </c>
      <c r="EG22" s="14">
        <f t="shared" si="47"/>
        <v>3878.0088159292636</v>
      </c>
      <c r="EI22" s="89">
        <f t="shared" si="81"/>
        <v>2.4661854955936309</v>
      </c>
      <c r="EJ22" s="89">
        <f t="shared" si="48"/>
        <v>0.14397422741988991</v>
      </c>
      <c r="EL22" s="67"/>
      <c r="EM22" s="67">
        <f t="shared" si="49"/>
        <v>34.275837176682856</v>
      </c>
      <c r="EN22" s="67">
        <f t="shared" si="22"/>
        <v>11.763999999999999</v>
      </c>
      <c r="EO22" s="67">
        <f t="shared" si="23"/>
        <v>3.8780088159292636</v>
      </c>
      <c r="EP22" s="67">
        <f t="shared" si="24"/>
        <v>2.2999999999999998</v>
      </c>
      <c r="ET22" s="66">
        <f t="shared" si="25"/>
        <v>0.17846843063138737</v>
      </c>
      <c r="EW22" s="14">
        <f t="shared" si="27"/>
        <v>3878.0088159292645</v>
      </c>
      <c r="EY22" s="14">
        <f t="shared" si="50"/>
        <v>917</v>
      </c>
      <c r="EZ22" s="14">
        <f t="shared" si="51"/>
        <v>1245.0088159292638</v>
      </c>
      <c r="FB22" s="14">
        <f t="shared" si="52"/>
        <v>45590.478670558317</v>
      </c>
      <c r="FC22" s="66">
        <f t="shared" si="53"/>
        <v>0.8786013052098145</v>
      </c>
      <c r="FE22" s="14">
        <f t="shared" si="26"/>
        <v>36000</v>
      </c>
    </row>
    <row r="23" spans="2:161" x14ac:dyDescent="0.2">
      <c r="B23" s="4">
        <v>2002</v>
      </c>
      <c r="C23" s="71">
        <f t="shared" si="54"/>
        <v>14360</v>
      </c>
      <c r="D23" s="71">
        <f t="shared" si="82"/>
        <v>11839</v>
      </c>
      <c r="E23" s="71">
        <f>'Bayesian Sum (10Feb26)'!H18</f>
        <v>2521</v>
      </c>
      <c r="G23" s="14">
        <f>'[1]Data-Nisgaa &amp; Other FN Catch'!BI15</f>
        <v>151</v>
      </c>
      <c r="H23" s="14">
        <f>'[1]Data-SF-FW'!U6</f>
        <v>703</v>
      </c>
      <c r="I23" s="14">
        <f>'Data-Chin-Nisga''a'!N17</f>
        <v>1875</v>
      </c>
      <c r="J23" s="14">
        <f t="shared" si="55"/>
        <v>2729</v>
      </c>
      <c r="L23" s="72">
        <f>'Bayesian Sum (10Feb26)'!K18</f>
        <v>17089</v>
      </c>
      <c r="M23" s="73">
        <f t="shared" si="28"/>
        <v>4.1137573877933174E-2</v>
      </c>
      <c r="N23" s="56">
        <f>'Data-Coastal-Chin-Esc (new)'!J30</f>
        <v>1399.6101396678414</v>
      </c>
      <c r="O23" s="74">
        <f t="shared" si="56"/>
        <v>1.4752344986392494</v>
      </c>
      <c r="P23" s="14">
        <f>'Data-Coastal-Chin-Esc (new)'!AL30</f>
        <v>2064.7531626832979</v>
      </c>
      <c r="R23" s="5">
        <f>SUM('[1]Data-SF-FW'!C6:H6)</f>
        <v>166.66034979401866</v>
      </c>
      <c r="S23" s="14">
        <f>'Data-Chin-Nisga''a'!P17+'Data-Chin-Nisga''a'!Q17+'Data-Chin-Nisga''a'!O17</f>
        <v>3555.8882595702994</v>
      </c>
      <c r="T23" s="14">
        <f t="shared" si="57"/>
        <v>3722.5486093643181</v>
      </c>
      <c r="U23" s="73">
        <f t="shared" si="83"/>
        <v>2.8797591063763076E-2</v>
      </c>
      <c r="V23" s="14">
        <f t="shared" si="3"/>
        <v>16424.753162683297</v>
      </c>
      <c r="X23" s="14">
        <f t="shared" si="29"/>
        <v>151</v>
      </c>
      <c r="Y23" s="14">
        <f t="shared" si="30"/>
        <v>869.66034979401866</v>
      </c>
      <c r="Z23" s="14">
        <f t="shared" si="30"/>
        <v>5430.8882595702999</v>
      </c>
      <c r="AA23" s="14">
        <f t="shared" si="4"/>
        <v>6451.5486093643185</v>
      </c>
      <c r="AC23" s="14">
        <f>'A3.1b CF-tidal-Harvests (Chin)'!G17</f>
        <v>5980</v>
      </c>
      <c r="AD23" s="14">
        <f>'A3.1b CF-tidal-Harvests (Chin)'!L17</f>
        <v>1116</v>
      </c>
      <c r="AE23" s="14">
        <f t="shared" si="58"/>
        <v>7096</v>
      </c>
      <c r="AJ23" s="14">
        <f t="shared" si="31"/>
        <v>29972.301772047616</v>
      </c>
      <c r="AK23" s="75">
        <f t="shared" si="7"/>
        <v>1400</v>
      </c>
      <c r="AL23" s="14">
        <f t="shared" si="59"/>
        <v>31372.301772047616</v>
      </c>
      <c r="AM23" s="14"/>
      <c r="AN23" s="14">
        <f>'[1]Data-FW Catch Rates - new'!CE17</f>
        <v>13909.456177650904</v>
      </c>
      <c r="AO23" s="76">
        <f t="shared" si="32"/>
        <v>1.0855924061403644E-2</v>
      </c>
      <c r="AP23" s="60">
        <f t="shared" si="33"/>
        <v>18</v>
      </c>
      <c r="AQ23" s="59"/>
      <c r="AR23" s="77">
        <f t="shared" si="34"/>
        <v>0.47645686688767047</v>
      </c>
      <c r="AS23" s="61">
        <f t="shared" si="60"/>
        <v>0.10971970273275207</v>
      </c>
      <c r="AT23" s="61">
        <f t="shared" si="35"/>
        <v>4.1137573877933174E-2</v>
      </c>
      <c r="AU23" s="61">
        <f t="shared" si="36"/>
        <v>0.1596933700040962</v>
      </c>
      <c r="AV23" s="61"/>
      <c r="AW23" s="33"/>
      <c r="AX23" s="61">
        <f t="shared" si="37"/>
        <v>0.17311092756379012</v>
      </c>
      <c r="AY23" s="61">
        <f t="shared" si="38"/>
        <v>0.19061400223199804</v>
      </c>
      <c r="AZ23" s="61">
        <f t="shared" si="39"/>
        <v>6.3293422466158364E-2</v>
      </c>
      <c r="BA23" s="61">
        <f t="shared" si="40"/>
        <v>4.8131629326139966E-3</v>
      </c>
      <c r="BB23" s="61">
        <f t="shared" si="61"/>
        <v>0.43183151519456053</v>
      </c>
      <c r="BC23" s="61">
        <f t="shared" si="62"/>
        <v>4.4625351693109903E-2</v>
      </c>
      <c r="BD23" s="78">
        <f t="shared" si="41"/>
        <v>0.47645686688767047</v>
      </c>
      <c r="BE23" s="17"/>
      <c r="BF23" s="17"/>
      <c r="BG23" s="22">
        <f>'[1]Data-PSC CH Tables'!C17</f>
        <v>13352</v>
      </c>
      <c r="BH23" s="22">
        <f>'[1]Data-PSC CH Tables'!AG17</f>
        <v>28352.032162114476</v>
      </c>
      <c r="BI23" s="22">
        <f>'[1]Data-PSC CH Tables'!AI17</f>
        <v>29752.032162114476</v>
      </c>
      <c r="BJ23" s="17"/>
      <c r="BK23" s="22">
        <f t="shared" si="63"/>
        <v>-1008</v>
      </c>
      <c r="BL23" s="22">
        <f t="shared" si="64"/>
        <v>-1620.2696099331406</v>
      </c>
      <c r="BM23" s="22">
        <f t="shared" si="65"/>
        <v>-1620.2696099331406</v>
      </c>
      <c r="BO23" s="33"/>
      <c r="BP23" s="33"/>
      <c r="BQ23" s="33"/>
      <c r="BS23" s="62">
        <f t="shared" si="66"/>
        <v>5980</v>
      </c>
      <c r="BT23" s="62">
        <f t="shared" si="10"/>
        <v>5430.8882595702999</v>
      </c>
      <c r="BU23" s="62">
        <f t="shared" si="11"/>
        <v>151</v>
      </c>
      <c r="BV23" s="62">
        <f t="shared" si="12"/>
        <v>1116</v>
      </c>
      <c r="BW23" s="62">
        <f t="shared" si="13"/>
        <v>869.66034979401866</v>
      </c>
      <c r="BX23" s="62">
        <f t="shared" si="67"/>
        <v>13547.548609364319</v>
      </c>
      <c r="BY23" s="62">
        <f t="shared" si="15"/>
        <v>29972.301772047616</v>
      </c>
      <c r="BZ23" s="79">
        <f t="shared" si="68"/>
        <v>0.45200227571440177</v>
      </c>
      <c r="CA23" s="79">
        <f t="shared" si="69"/>
        <v>0.5237847971326054</v>
      </c>
      <c r="CB23" s="79">
        <f t="shared" si="70"/>
        <v>0.47621520286739455</v>
      </c>
      <c r="CC23" s="79">
        <f t="shared" si="19"/>
        <v>9.3660842763403349E-2</v>
      </c>
      <c r="CD23" s="33"/>
      <c r="CF23" s="36">
        <v>28366.035519699588</v>
      </c>
      <c r="CG23" s="36">
        <v>29766.035519699588</v>
      </c>
      <c r="CH23" s="81">
        <f t="shared" ref="CH23:CH46" si="100">AJ23-CF23</f>
        <v>1606.2662523480285</v>
      </c>
      <c r="CI23" s="36">
        <f t="shared" ref="CI23:CI46" si="101">AL23-CG23</f>
        <v>1606.2662523480285</v>
      </c>
      <c r="CJ23" s="36">
        <v>14818.486910335268</v>
      </c>
      <c r="CK23" s="81">
        <f t="shared" si="73"/>
        <v>1606.2662523480285</v>
      </c>
      <c r="CM23" s="33">
        <f t="shared" si="84"/>
        <v>2002</v>
      </c>
      <c r="CN23" s="96">
        <f t="shared" si="91"/>
        <v>29972.301772047616</v>
      </c>
      <c r="CO23" s="97">
        <f t="shared" si="92"/>
        <v>8678.1183999176174</v>
      </c>
      <c r="CP23" s="97">
        <f t="shared" si="93"/>
        <v>14972.301772047616</v>
      </c>
      <c r="CQ23" s="62">
        <f t="shared" si="94"/>
        <v>16424.753162683297</v>
      </c>
      <c r="CR23" s="98" t="str">
        <f t="shared" si="85"/>
        <v>Y</v>
      </c>
      <c r="CS23" s="98" t="str">
        <f t="shared" si="95"/>
        <v>Y</v>
      </c>
      <c r="CT23" s="99">
        <f t="shared" ref="CT23:CT46" si="102">IF(CN23*DB$1&gt;12600,12600,CN23*DB$1)</f>
        <v>6294.183372129999</v>
      </c>
      <c r="CU23" s="100">
        <f t="shared" ref="CU23:CU39" si="103">IF(CR23="N",0,IF(CS23="N",(BX23-BT23)+CT23,CT23))</f>
        <v>6294.183372129999</v>
      </c>
      <c r="CV23" s="100"/>
      <c r="CW23" s="100"/>
      <c r="CX23" s="101">
        <f t="shared" si="96"/>
        <v>5430.8882595702999</v>
      </c>
      <c r="CY23" s="102">
        <f t="shared" si="86"/>
        <v>-863.29511255969919</v>
      </c>
      <c r="CZ23" s="79">
        <v>1</v>
      </c>
      <c r="DA23" s="103">
        <f t="shared" si="97"/>
        <v>-863.29511255969919</v>
      </c>
      <c r="DB23" s="103">
        <f t="shared" si="87"/>
        <v>-863.29511255969919</v>
      </c>
      <c r="DC23" s="104">
        <v>-884</v>
      </c>
      <c r="DD23" s="104">
        <f>DC23+DD22</f>
        <v>2824</v>
      </c>
      <c r="DE23" s="105">
        <f t="shared" si="98"/>
        <v>-863.29511255969919</v>
      </c>
      <c r="DF23" s="105">
        <f t="shared" si="99"/>
        <v>863.29511255969919</v>
      </c>
      <c r="DH23" s="66">
        <f t="shared" si="20"/>
        <v>0.12570984429613072</v>
      </c>
      <c r="DK23" s="106">
        <f t="shared" si="88"/>
        <v>0.1995175427459826</v>
      </c>
      <c r="DL23" s="106">
        <f t="shared" si="89"/>
        <v>3.7234377542561301E-2</v>
      </c>
      <c r="DS23" s="14">
        <f t="shared" si="44"/>
        <v>16424.753162683297</v>
      </c>
      <c r="DT23" s="14">
        <v>17162.387825418129</v>
      </c>
      <c r="DU23" s="14">
        <f t="shared" si="77"/>
        <v>737.63466273483209</v>
      </c>
      <c r="DW23" s="14">
        <f t="shared" si="45"/>
        <v>29972.301772047616</v>
      </c>
      <c r="DX23" s="14">
        <v>30543.276084988433</v>
      </c>
      <c r="DY23" s="14">
        <f t="shared" si="78"/>
        <v>570.97431294081616</v>
      </c>
      <c r="EC23" s="3">
        <f t="shared" si="90"/>
        <v>0.84272829763246904</v>
      </c>
      <c r="ED23" s="3">
        <f t="shared" si="90"/>
        <v>0.15727170236753099</v>
      </c>
      <c r="EG23" s="14">
        <f t="shared" si="47"/>
        <v>8116.6603497940187</v>
      </c>
      <c r="EI23" s="89">
        <f t="shared" si="81"/>
        <v>1.0313452361055433</v>
      </c>
      <c r="EJ23" s="89">
        <f t="shared" si="48"/>
        <v>0.12570984429613072</v>
      </c>
      <c r="EL23" s="67"/>
      <c r="EM23" s="67">
        <f t="shared" si="49"/>
        <v>16.424753162683295</v>
      </c>
      <c r="EN23" s="67">
        <f t="shared" si="22"/>
        <v>5.4308882595702999</v>
      </c>
      <c r="EO23" s="67">
        <f t="shared" si="23"/>
        <v>8.1166603497940191</v>
      </c>
      <c r="EP23" s="67">
        <f t="shared" si="24"/>
        <v>1.4</v>
      </c>
      <c r="ET23" s="66">
        <f t="shared" si="25"/>
        <v>0.1596933700040962</v>
      </c>
      <c r="EW23" s="14">
        <f t="shared" si="27"/>
        <v>8116.6603497940196</v>
      </c>
      <c r="EY23" s="14">
        <f t="shared" si="50"/>
        <v>854</v>
      </c>
      <c r="EZ23" s="14">
        <f t="shared" si="51"/>
        <v>1020.6603497940187</v>
      </c>
      <c r="FB23" s="14">
        <f t="shared" si="52"/>
        <v>27841.708188233963</v>
      </c>
      <c r="FC23" s="66">
        <f t="shared" si="53"/>
        <v>0.89220111874961427</v>
      </c>
      <c r="FE23" s="14">
        <f t="shared" si="26"/>
        <v>17000</v>
      </c>
    </row>
    <row r="24" spans="2:161" x14ac:dyDescent="0.2">
      <c r="B24" s="4">
        <v>2003</v>
      </c>
      <c r="C24" s="71">
        <f t="shared" si="54"/>
        <v>30740</v>
      </c>
      <c r="D24" s="71">
        <f t="shared" si="82"/>
        <v>25724</v>
      </c>
      <c r="E24" s="71">
        <f>'Bayesian Sum (10Feb26)'!H19</f>
        <v>5016</v>
      </c>
      <c r="G24" s="14">
        <f>'[1]Data-Nisgaa &amp; Other FN Catch'!BI16</f>
        <v>181</v>
      </c>
      <c r="H24" s="14">
        <f>'[1]Data-SF-FW'!U7</f>
        <v>1030</v>
      </c>
      <c r="I24" s="14">
        <f>'Data-Chin-Nisga''a'!N18</f>
        <v>2403</v>
      </c>
      <c r="J24" s="14">
        <f t="shared" si="55"/>
        <v>3614</v>
      </c>
      <c r="L24" s="72">
        <f>'Bayesian Sum (10Feb26)'!K19</f>
        <v>34354</v>
      </c>
      <c r="M24" s="73">
        <f t="shared" si="28"/>
        <v>2.9981952611049658E-2</v>
      </c>
      <c r="N24" s="56">
        <f>'Data-Coastal-Chin-Esc (new)'!J31</f>
        <v>1145.1355688191429</v>
      </c>
      <c r="O24" s="74">
        <f t="shared" si="56"/>
        <v>2.5926525393368229</v>
      </c>
      <c r="P24" s="14">
        <f>'Data-Coastal-Chin-Esc (new)'!AL31</f>
        <v>2968.938640383868</v>
      </c>
      <c r="R24" s="5">
        <f>SUM('[1]Data-SF-FW'!C7:H7)</f>
        <v>160.02049522055177</v>
      </c>
      <c r="S24" s="14">
        <f>'Data-Chin-Nisga''a'!P18+'Data-Chin-Nisga''a'!Q18+'Data-Chin-Nisga''a'!O18</f>
        <v>4306</v>
      </c>
      <c r="T24" s="14">
        <f t="shared" si="57"/>
        <v>4466.0204952205513</v>
      </c>
      <c r="U24" s="73">
        <f t="shared" si="83"/>
        <v>2.152271348126825E-2</v>
      </c>
      <c r="V24" s="14">
        <f t="shared" si="3"/>
        <v>33708.938640383865</v>
      </c>
      <c r="X24" s="14">
        <f t="shared" si="29"/>
        <v>181</v>
      </c>
      <c r="Y24" s="14">
        <f t="shared" si="30"/>
        <v>1190.0204952205518</v>
      </c>
      <c r="Z24" s="14">
        <f t="shared" si="30"/>
        <v>6709</v>
      </c>
      <c r="AA24" s="14">
        <f t="shared" si="4"/>
        <v>8080.0204952205513</v>
      </c>
      <c r="AC24" s="14">
        <f>'A3.1b CF-tidal-Harvests (Chin)'!G18</f>
        <v>6076</v>
      </c>
      <c r="AD24" s="14">
        <f>'A3.1b CF-tidal-Harvests (Chin)'!L18</f>
        <v>1167</v>
      </c>
      <c r="AE24" s="14">
        <f t="shared" si="58"/>
        <v>7243</v>
      </c>
      <c r="AJ24" s="14">
        <f t="shared" si="31"/>
        <v>49031.959135604418</v>
      </c>
      <c r="AK24" s="75">
        <f t="shared" si="7"/>
        <v>2300</v>
      </c>
      <c r="AL24" s="14">
        <f t="shared" si="59"/>
        <v>51331.959135604418</v>
      </c>
      <c r="AM24" s="14"/>
      <c r="AN24" s="14">
        <f>'[1]Data-FW Catch Rates - new'!CE18</f>
        <v>26658.367611499238</v>
      </c>
      <c r="AO24" s="76">
        <f t="shared" si="32"/>
        <v>6.7896130264902127E-3</v>
      </c>
      <c r="AP24" s="60">
        <f t="shared" si="33"/>
        <v>33</v>
      </c>
      <c r="AQ24" s="59"/>
      <c r="AR24" s="77">
        <f t="shared" si="34"/>
        <v>0.34331478462892001</v>
      </c>
      <c r="AS24" s="61">
        <f t="shared" si="60"/>
        <v>6.9948186528497408E-2</v>
      </c>
      <c r="AT24" s="61">
        <f t="shared" si="35"/>
        <v>2.9981952611049658E-2</v>
      </c>
      <c r="AU24" s="61">
        <f t="shared" si="36"/>
        <v>0.1051988123653723</v>
      </c>
      <c r="AV24" s="61"/>
      <c r="AW24" s="33"/>
      <c r="AX24" s="61">
        <f t="shared" si="37"/>
        <v>0.13069830399959473</v>
      </c>
      <c r="AY24" s="61">
        <f t="shared" si="38"/>
        <v>0.11836680505314318</v>
      </c>
      <c r="AZ24" s="61">
        <f t="shared" si="39"/>
        <v>4.5917212880848261E-2</v>
      </c>
      <c r="BA24" s="61">
        <f t="shared" si="40"/>
        <v>3.5260684191275368E-3</v>
      </c>
      <c r="BB24" s="61">
        <f t="shared" si="61"/>
        <v>0.2985083903527137</v>
      </c>
      <c r="BC24" s="61">
        <f t="shared" si="62"/>
        <v>4.4806394276206273E-2</v>
      </c>
      <c r="BD24" s="78">
        <f t="shared" si="41"/>
        <v>0.34331478462892001</v>
      </c>
      <c r="BE24" s="17"/>
      <c r="BF24" s="17"/>
      <c r="BG24" s="22">
        <f>'[1]Data-PSC CH Tables'!C18</f>
        <v>25848.367611499238</v>
      </c>
      <c r="BH24" s="22">
        <f>'[1]Data-PSC CH Tables'!AG18</f>
        <v>43596.832974513345</v>
      </c>
      <c r="BI24" s="22">
        <f>'[1]Data-PSC CH Tables'!AI18</f>
        <v>45796.832974513345</v>
      </c>
      <c r="BJ24" s="17"/>
      <c r="BK24" s="22">
        <f t="shared" si="63"/>
        <v>-4891.6323885007623</v>
      </c>
      <c r="BL24" s="22">
        <f t="shared" si="64"/>
        <v>-5435.1261610910733</v>
      </c>
      <c r="BM24" s="22">
        <f t="shared" si="65"/>
        <v>-5535.1261610910733</v>
      </c>
      <c r="BO24" s="33"/>
      <c r="BP24" s="33"/>
      <c r="BQ24" s="33"/>
      <c r="BS24" s="62">
        <f t="shared" si="66"/>
        <v>6076</v>
      </c>
      <c r="BT24" s="62">
        <f t="shared" si="10"/>
        <v>6709</v>
      </c>
      <c r="BU24" s="62">
        <f t="shared" si="11"/>
        <v>181</v>
      </c>
      <c r="BV24" s="62">
        <f t="shared" si="12"/>
        <v>1167</v>
      </c>
      <c r="BW24" s="62">
        <f t="shared" si="13"/>
        <v>1190.0204952205518</v>
      </c>
      <c r="BX24" s="62">
        <f t="shared" si="67"/>
        <v>15323.020495220551</v>
      </c>
      <c r="BY24" s="62">
        <f t="shared" si="15"/>
        <v>49031.959135604418</v>
      </c>
      <c r="BZ24" s="79">
        <f t="shared" si="68"/>
        <v>0.31251087587266696</v>
      </c>
      <c r="CA24" s="79">
        <f t="shared" si="69"/>
        <v>0.4726874836628448</v>
      </c>
      <c r="CB24" s="79">
        <f t="shared" si="70"/>
        <v>0.52731251633715526</v>
      </c>
      <c r="CC24" s="79">
        <f t="shared" si="19"/>
        <v>0.13051111190750592</v>
      </c>
      <c r="CD24" s="33"/>
      <c r="CF24" s="36">
        <v>43620.216627789407</v>
      </c>
      <c r="CG24" s="36">
        <v>45820.216627789407</v>
      </c>
      <c r="CH24" s="81">
        <f t="shared" si="100"/>
        <v>5411.7425078150118</v>
      </c>
      <c r="CI24" s="36">
        <f t="shared" si="101"/>
        <v>5511.7425078150118</v>
      </c>
      <c r="CJ24" s="36">
        <v>28297.196132568853</v>
      </c>
      <c r="CK24" s="81">
        <f t="shared" si="73"/>
        <v>5411.7425078150118</v>
      </c>
      <c r="CM24" s="33">
        <f t="shared" si="84"/>
        <v>2003</v>
      </c>
      <c r="CN24" s="96">
        <f t="shared" si="91"/>
        <v>49031.959135604418</v>
      </c>
      <c r="CO24" s="97">
        <f t="shared" si="92"/>
        <v>23735.247717127491</v>
      </c>
      <c r="CP24" s="97">
        <f t="shared" si="93"/>
        <v>34031.959135604418</v>
      </c>
      <c r="CQ24" s="62">
        <f t="shared" si="94"/>
        <v>33708.938640383865</v>
      </c>
      <c r="CR24" s="98" t="str">
        <f t="shared" si="85"/>
        <v>Y</v>
      </c>
      <c r="CS24" s="98" t="str">
        <f t="shared" si="95"/>
        <v>Y</v>
      </c>
      <c r="CT24" s="99">
        <f t="shared" si="102"/>
        <v>10296.711418476927</v>
      </c>
      <c r="CU24" s="100">
        <f>IF(CR24="N",0,IF(CS24="N",(BX24-BT24)+CT24,CT24))</f>
        <v>10296.711418476927</v>
      </c>
      <c r="CV24" s="100"/>
      <c r="CW24" s="100"/>
      <c r="CX24" s="101">
        <f t="shared" si="96"/>
        <v>6709</v>
      </c>
      <c r="CY24" s="102">
        <f>CX24-CU24</f>
        <v>-3587.7114184769271</v>
      </c>
      <c r="CZ24" s="79">
        <v>0.1</v>
      </c>
      <c r="DA24" s="103">
        <f t="shared" si="97"/>
        <v>-1029.6711418476928</v>
      </c>
      <c r="DB24" s="107">
        <f t="shared" si="87"/>
        <v>-1029.6711418476928</v>
      </c>
      <c r="DC24" s="33"/>
      <c r="DD24" s="107">
        <f>DB24+DD23</f>
        <v>1794.3288581523072</v>
      </c>
      <c r="DE24" s="105">
        <f t="shared" si="98"/>
        <v>-1029.6711418476928</v>
      </c>
      <c r="DF24" s="105">
        <f t="shared" si="99"/>
        <v>1029.6711418476928</v>
      </c>
      <c r="DH24" s="66">
        <f t="shared" si="20"/>
        <v>8.8075708109867049E-2</v>
      </c>
      <c r="DK24" s="106">
        <f t="shared" si="88"/>
        <v>0.12391917653536975</v>
      </c>
      <c r="DL24" s="106">
        <f t="shared" si="89"/>
        <v>2.3800802998152817E-2</v>
      </c>
      <c r="DS24" s="14">
        <f t="shared" si="44"/>
        <v>33708.938640383865</v>
      </c>
      <c r="DT24" s="14">
        <v>28477.624273975463</v>
      </c>
      <c r="DU24" s="14">
        <f t="shared" si="77"/>
        <v>-5231.3143664084018</v>
      </c>
      <c r="DW24" s="14">
        <f t="shared" si="45"/>
        <v>49031.959135604418</v>
      </c>
      <c r="DX24" s="14">
        <v>43690.62427397546</v>
      </c>
      <c r="DY24" s="14">
        <f t="shared" si="78"/>
        <v>-5341.3348616289586</v>
      </c>
      <c r="EC24" s="3">
        <f t="shared" si="90"/>
        <v>0.83887891757559019</v>
      </c>
      <c r="ED24" s="3">
        <f t="shared" si="90"/>
        <v>0.16112108242440978</v>
      </c>
      <c r="EG24" s="14">
        <f t="shared" si="47"/>
        <v>8614.0204952205513</v>
      </c>
      <c r="EI24" s="89">
        <f t="shared" si="81"/>
        <v>1.4822459512650366</v>
      </c>
      <c r="EJ24" s="89">
        <f t="shared" si="48"/>
        <v>8.8075708109867049E-2</v>
      </c>
      <c r="EL24" s="67"/>
      <c r="EM24" s="67">
        <f t="shared" si="49"/>
        <v>33.708938640383863</v>
      </c>
      <c r="EN24" s="67">
        <f t="shared" si="22"/>
        <v>6.7089999999999996</v>
      </c>
      <c r="EO24" s="67">
        <f t="shared" si="23"/>
        <v>8.6140204952205508</v>
      </c>
      <c r="EP24" s="67">
        <f t="shared" si="24"/>
        <v>2.2999999999999998</v>
      </c>
      <c r="ET24" s="66">
        <f t="shared" si="25"/>
        <v>0.1051988123653723</v>
      </c>
      <c r="EW24" s="14">
        <f t="shared" si="27"/>
        <v>8614.0204952205513</v>
      </c>
      <c r="EY24" s="14">
        <f t="shared" si="50"/>
        <v>1211</v>
      </c>
      <c r="EZ24" s="14">
        <f t="shared" si="51"/>
        <v>1371.0204952205518</v>
      </c>
      <c r="FB24" s="14">
        <f t="shared" si="52"/>
        <v>47101.349574591448</v>
      </c>
      <c r="FC24" s="66">
        <f t="shared" si="53"/>
        <v>0.92045270955241887</v>
      </c>
      <c r="FE24" s="14">
        <f t="shared" si="26"/>
        <v>34000</v>
      </c>
    </row>
    <row r="25" spans="2:161" x14ac:dyDescent="0.2">
      <c r="B25" s="4">
        <v>2004</v>
      </c>
      <c r="C25" s="71">
        <f t="shared" si="54"/>
        <v>13736.6</v>
      </c>
      <c r="D25" s="71">
        <f t="shared" si="82"/>
        <v>11335.6</v>
      </c>
      <c r="E25" s="71">
        <f>'Bayesian Sum (10Feb26)'!H20</f>
        <v>2401</v>
      </c>
      <c r="G25" s="14">
        <f>'[1]Data-Nisgaa &amp; Other FN Catch'!BI17</f>
        <v>230</v>
      </c>
      <c r="H25" s="14">
        <f>'[1]Data-SF-FW'!U8</f>
        <v>643</v>
      </c>
      <c r="I25" s="14">
        <f>'Data-Chin-Nisga''a'!N19</f>
        <v>1994.4</v>
      </c>
      <c r="J25" s="14">
        <f t="shared" si="55"/>
        <v>2867.4</v>
      </c>
      <c r="L25" s="72">
        <f>'Bayesian Sum (10Feb26)'!K20</f>
        <v>16604</v>
      </c>
      <c r="M25" s="73">
        <f t="shared" si="28"/>
        <v>3.8725608287159721E-2</v>
      </c>
      <c r="N25" s="56">
        <f>'Data-Coastal-Chin-Esc (new)'!J32</f>
        <v>801.5948981734</v>
      </c>
      <c r="O25" s="74">
        <f t="shared" si="56"/>
        <v>2.2978347279143878</v>
      </c>
      <c r="P25" s="14">
        <f>'Data-Coastal-Chin-Esc (new)'!AL32</f>
        <v>1841.9325947418361</v>
      </c>
      <c r="R25" s="5">
        <f>SUM('[1]Data-SF-FW'!C8:H8)</f>
        <v>287.10379110691798</v>
      </c>
      <c r="S25" s="14">
        <f>'Data-Chin-Nisga''a'!P19+'Data-Chin-Nisga''a'!Q19+'Data-Chin-Nisga''a'!O19</f>
        <v>3990.2</v>
      </c>
      <c r="T25" s="14">
        <f t="shared" si="57"/>
        <v>4277.3037911069177</v>
      </c>
      <c r="U25" s="73">
        <f t="shared" si="83"/>
        <v>4.6918238323145935E-2</v>
      </c>
      <c r="V25" s="14">
        <f t="shared" si="3"/>
        <v>15578.532594741837</v>
      </c>
      <c r="X25" s="14">
        <f t="shared" si="29"/>
        <v>230</v>
      </c>
      <c r="Y25" s="14">
        <f t="shared" si="30"/>
        <v>930.10379110691792</v>
      </c>
      <c r="Z25" s="14">
        <f t="shared" si="30"/>
        <v>5984.6</v>
      </c>
      <c r="AA25" s="14">
        <f t="shared" si="4"/>
        <v>7144.7037911069183</v>
      </c>
      <c r="AC25" s="14">
        <f>'A3.1b CF-tidal-Harvests (Chin)'!G19</f>
        <v>7185.5119999999997</v>
      </c>
      <c r="AD25" s="14">
        <f>'A3.1b CF-tidal-Harvests (Chin)'!L19</f>
        <v>1925</v>
      </c>
      <c r="AE25" s="14">
        <f t="shared" si="58"/>
        <v>9110.5119999999988</v>
      </c>
      <c r="AJ25" s="14">
        <f t="shared" si="31"/>
        <v>31833.748385848754</v>
      </c>
      <c r="AK25" s="3">
        <v>598</v>
      </c>
      <c r="AL25" s="14">
        <f t="shared" si="59"/>
        <v>32431.748385848754</v>
      </c>
      <c r="AM25" s="14"/>
      <c r="AN25" s="14">
        <f>'[1]Data-FW Catch Rates - new'!CE19</f>
        <v>15736.751738356423</v>
      </c>
      <c r="AO25" s="76">
        <f t="shared" si="32"/>
        <v>1.4615468542939705E-2</v>
      </c>
      <c r="AP25" s="60">
        <f t="shared" si="33"/>
        <v>16</v>
      </c>
      <c r="AQ25" s="59"/>
      <c r="AR25" s="77">
        <f t="shared" si="34"/>
        <v>0.51965178042823723</v>
      </c>
      <c r="AS25" s="61">
        <f t="shared" si="60"/>
        <v>0.12011563478679836</v>
      </c>
      <c r="AT25" s="61">
        <f t="shared" si="35"/>
        <v>3.8725608287159721E-2</v>
      </c>
      <c r="AU25" s="61">
        <f t="shared" si="36"/>
        <v>0.17269332690917852</v>
      </c>
      <c r="AV25" s="61"/>
      <c r="AW25" s="33"/>
      <c r="AX25" s="61">
        <f t="shared" si="37"/>
        <v>0.18452905864955824</v>
      </c>
      <c r="AY25" s="61">
        <f t="shared" si="38"/>
        <v>0.22155795964226588</v>
      </c>
      <c r="AZ25" s="61">
        <f t="shared" si="39"/>
        <v>8.8034223660686514E-2</v>
      </c>
      <c r="BA25" s="61">
        <f t="shared" si="40"/>
        <v>7.0918162432574263E-3</v>
      </c>
      <c r="BB25" s="61">
        <f t="shared" si="61"/>
        <v>0.501213058195768</v>
      </c>
      <c r="BC25" s="108">
        <f t="shared" si="62"/>
        <v>1.8438722232469309E-2</v>
      </c>
      <c r="BD25" s="78">
        <f t="shared" si="41"/>
        <v>0.51965178042823723</v>
      </c>
      <c r="BE25" s="17"/>
      <c r="BF25" s="17"/>
      <c r="BG25" s="22">
        <f>'[1]Data-PSC CH Tables'!C19</f>
        <v>15184.751738356423</v>
      </c>
      <c r="BH25" s="22">
        <f>'[1]Data-PSC CH Tables'!AG19</f>
        <v>33130.599955108351</v>
      </c>
      <c r="BI25" s="22">
        <f>'[1]Data-PSC CH Tables'!AI19</f>
        <v>33728.599955108351</v>
      </c>
      <c r="BJ25" s="17"/>
      <c r="BK25" s="22">
        <f t="shared" si="63"/>
        <v>1448.1517383564224</v>
      </c>
      <c r="BL25" s="22">
        <f t="shared" si="64"/>
        <v>1296.8515692595975</v>
      </c>
      <c r="BM25" s="22">
        <f t="shared" si="65"/>
        <v>1296.8515692595975</v>
      </c>
      <c r="BO25" s="33"/>
      <c r="BP25" s="33"/>
      <c r="BQ25" s="33"/>
      <c r="BS25" s="62">
        <f t="shared" si="66"/>
        <v>7185.5119999999997</v>
      </c>
      <c r="BT25" s="62">
        <f t="shared" si="10"/>
        <v>5984.6</v>
      </c>
      <c r="BU25" s="62">
        <f t="shared" si="11"/>
        <v>230</v>
      </c>
      <c r="BV25" s="62">
        <f t="shared" si="12"/>
        <v>1925</v>
      </c>
      <c r="BW25" s="62">
        <f t="shared" si="13"/>
        <v>930.10379110691792</v>
      </c>
      <c r="BX25" s="62">
        <f t="shared" si="67"/>
        <v>16255.215791106919</v>
      </c>
      <c r="BY25" s="62">
        <f t="shared" si="15"/>
        <v>31833.748385848754</v>
      </c>
      <c r="BZ25" s="79">
        <f t="shared" si="68"/>
        <v>0.51062839330391097</v>
      </c>
      <c r="CA25" s="79">
        <f t="shared" si="69"/>
        <v>0.56046699822861024</v>
      </c>
      <c r="CB25" s="79">
        <f t="shared" si="70"/>
        <v>0.43953300177138965</v>
      </c>
      <c r="CC25" s="79">
        <f t="shared" si="19"/>
        <v>3.5482842408957452E-2</v>
      </c>
      <c r="CD25" s="33"/>
      <c r="CF25" s="36">
        <v>33146.899300017598</v>
      </c>
      <c r="CG25" s="36">
        <v>33744.899300017598</v>
      </c>
      <c r="CH25" s="81">
        <f t="shared" si="100"/>
        <v>-1313.1509141688439</v>
      </c>
      <c r="CI25" s="36">
        <f t="shared" si="101"/>
        <v>-1313.1509141688439</v>
      </c>
      <c r="CJ25" s="36">
        <v>16891.683508910683</v>
      </c>
      <c r="CK25" s="81">
        <f t="shared" si="73"/>
        <v>-1313.1509141688457</v>
      </c>
      <c r="CM25" s="33">
        <f t="shared" si="84"/>
        <v>2004</v>
      </c>
      <c r="CN25" s="96">
        <f t="shared" si="91"/>
        <v>31833.748385848754</v>
      </c>
      <c r="CO25" s="97">
        <f t="shared" si="92"/>
        <v>10148.661224820517</v>
      </c>
      <c r="CP25" s="97">
        <f t="shared" si="93"/>
        <v>16833.748385848754</v>
      </c>
      <c r="CQ25" s="62">
        <f t="shared" si="94"/>
        <v>15578.532594741837</v>
      </c>
      <c r="CR25" s="98" t="str">
        <f t="shared" si="85"/>
        <v>Y</v>
      </c>
      <c r="CS25" s="98" t="str">
        <f t="shared" si="95"/>
        <v>Y</v>
      </c>
      <c r="CT25" s="99">
        <f t="shared" si="102"/>
        <v>6685.0871610282384</v>
      </c>
      <c r="CU25" s="100">
        <f t="shared" si="103"/>
        <v>6685.0871610282384</v>
      </c>
      <c r="CV25" s="100"/>
      <c r="CW25" s="100"/>
      <c r="CX25" s="101">
        <f t="shared" si="96"/>
        <v>5984.6</v>
      </c>
      <c r="CY25" s="102">
        <f t="shared" si="86"/>
        <v>-700.48716102823801</v>
      </c>
      <c r="CZ25" s="79">
        <v>0.1</v>
      </c>
      <c r="DA25" s="103">
        <f t="shared" si="97"/>
        <v>-668.50871610282388</v>
      </c>
      <c r="DB25" s="107">
        <f t="shared" si="87"/>
        <v>-668.50871610282388</v>
      </c>
      <c r="DC25" s="33"/>
      <c r="DD25" s="107">
        <f t="shared" ref="DD25:DD46" si="104">DB25+DD24</f>
        <v>1125.8201420494834</v>
      </c>
      <c r="DE25" s="105">
        <f t="shared" si="98"/>
        <v>-668.50871610282388</v>
      </c>
      <c r="DF25" s="105">
        <f t="shared" si="99"/>
        <v>668.50871610282388</v>
      </c>
      <c r="DH25" s="66">
        <f t="shared" si="20"/>
        <v>0.11823530769281419</v>
      </c>
      <c r="DK25" s="106">
        <f t="shared" si="88"/>
        <v>0.2257199470482156</v>
      </c>
      <c r="DL25" s="106">
        <f t="shared" si="89"/>
        <v>6.0470415757125598E-2</v>
      </c>
      <c r="DS25" s="14">
        <f t="shared" si="44"/>
        <v>15578.532594741837</v>
      </c>
      <c r="DT25" s="14">
        <v>17670.381390128794</v>
      </c>
      <c r="DU25" s="14">
        <f t="shared" si="77"/>
        <v>2091.8487953869571</v>
      </c>
      <c r="DW25" s="14">
        <f t="shared" si="45"/>
        <v>31833.748385848754</v>
      </c>
      <c r="DX25" s="14">
        <v>32875.501390128797</v>
      </c>
      <c r="DY25" s="14">
        <f t="shared" si="78"/>
        <v>1041.7530042800427</v>
      </c>
      <c r="EC25" s="3">
        <f t="shared" si="90"/>
        <v>0.78870561830114494</v>
      </c>
      <c r="ED25" s="3">
        <f t="shared" si="90"/>
        <v>0.21129438169885514</v>
      </c>
      <c r="EG25" s="14">
        <f t="shared" si="47"/>
        <v>10270.615791106917</v>
      </c>
      <c r="EI25" s="89">
        <f t="shared" si="81"/>
        <v>0.91912804128834136</v>
      </c>
      <c r="EJ25" s="89">
        <f t="shared" si="48"/>
        <v>0.11823530769281419</v>
      </c>
      <c r="EL25" s="67"/>
      <c r="EM25" s="67">
        <f t="shared" si="49"/>
        <v>15.578532594741837</v>
      </c>
      <c r="EN25" s="67">
        <f t="shared" si="22"/>
        <v>5.9846000000000004</v>
      </c>
      <c r="EO25" s="67">
        <f t="shared" si="23"/>
        <v>10.270615791106916</v>
      </c>
      <c r="EP25" s="67">
        <f t="shared" si="24"/>
        <v>0.59799999999999998</v>
      </c>
      <c r="ET25" s="66">
        <f t="shared" si="25"/>
        <v>0.17269332690917852</v>
      </c>
      <c r="EW25" s="14">
        <f t="shared" si="27"/>
        <v>10270.615791106919</v>
      </c>
      <c r="EY25" s="14">
        <f t="shared" si="50"/>
        <v>873</v>
      </c>
      <c r="EZ25" s="14">
        <f t="shared" si="51"/>
        <v>1160.1037911069179</v>
      </c>
      <c r="FB25" s="14">
        <f t="shared" si="52"/>
        <v>28934.816719607737</v>
      </c>
      <c r="FC25" s="66">
        <f t="shared" si="53"/>
        <v>0.90014424126937909</v>
      </c>
      <c r="FE25" s="14">
        <f t="shared" si="26"/>
        <v>17000</v>
      </c>
    </row>
    <row r="26" spans="2:161" x14ac:dyDescent="0.2">
      <c r="B26" s="4">
        <v>2005</v>
      </c>
      <c r="C26" s="71">
        <f t="shared" si="54"/>
        <v>13109.8</v>
      </c>
      <c r="D26" s="71">
        <f t="shared" si="82"/>
        <v>10776.8</v>
      </c>
      <c r="E26" s="71">
        <f>'Bayesian Sum (10Feb26)'!H21</f>
        <v>2333</v>
      </c>
      <c r="G26" s="14">
        <f>'[1]Data-Nisgaa &amp; Other FN Catch'!BI18</f>
        <v>179</v>
      </c>
      <c r="H26" s="14">
        <f>'[1]Data-SF-FW'!U9</f>
        <v>600</v>
      </c>
      <c r="I26" s="14">
        <f>'Data-Chin-Nisga''a'!N20</f>
        <v>2290.1999999999998</v>
      </c>
      <c r="J26" s="14">
        <f t="shared" si="55"/>
        <v>3069.2</v>
      </c>
      <c r="L26" s="72">
        <f>'Bayesian Sum (10Feb26)'!K21</f>
        <v>16178.999999999998</v>
      </c>
      <c r="M26" s="73">
        <f t="shared" si="28"/>
        <v>3.7085110328203233E-2</v>
      </c>
      <c r="N26" s="56">
        <f>'Data-Coastal-Chin-Esc (new)'!J33</f>
        <v>996.39339008363618</v>
      </c>
      <c r="O26" s="74">
        <f t="shared" si="56"/>
        <v>2.5558630076550202</v>
      </c>
      <c r="P26" s="14">
        <f>'Data-Coastal-Chin-Esc (new)'!AL33</f>
        <v>2546.645006786744</v>
      </c>
      <c r="R26" s="5">
        <f>SUM('[1]Data-SF-FW'!C9:H9)</f>
        <v>156.13668283080534</v>
      </c>
      <c r="S26" s="14">
        <f>'Data-Chin-Nisga''a'!P20+'Data-Chin-Nisga''a'!Q20+'Data-Chin-Nisga''a'!O20</f>
        <v>4311.2000000000007</v>
      </c>
      <c r="T26" s="14">
        <f t="shared" si="57"/>
        <v>4467.3366828308062</v>
      </c>
      <c r="U26" s="73">
        <f t="shared" si="83"/>
        <v>2.2260777079291031E-2</v>
      </c>
      <c r="V26" s="14">
        <f t="shared" si="3"/>
        <v>15656.445006786744</v>
      </c>
      <c r="X26" s="14">
        <f t="shared" si="29"/>
        <v>179</v>
      </c>
      <c r="Y26" s="14">
        <f t="shared" si="30"/>
        <v>756.13668283080528</v>
      </c>
      <c r="Z26" s="14">
        <f t="shared" si="30"/>
        <v>6601.4000000000005</v>
      </c>
      <c r="AA26" s="14">
        <f t="shared" si="4"/>
        <v>7536.5366828308061</v>
      </c>
      <c r="AC26" s="14">
        <f>'A3.1b CF-tidal-Harvests (Chin)'!G20</f>
        <v>3448.6480000000001</v>
      </c>
      <c r="AD26" s="14">
        <f>'A3.1b CF-tidal-Harvests (Chin)'!L20</f>
        <v>1542</v>
      </c>
      <c r="AE26" s="14">
        <f t="shared" si="58"/>
        <v>4990.6480000000001</v>
      </c>
      <c r="AJ26" s="14">
        <f t="shared" si="31"/>
        <v>28183.629689617552</v>
      </c>
      <c r="AK26" s="3">
        <v>251</v>
      </c>
      <c r="AL26" s="14">
        <f t="shared" si="59"/>
        <v>28434.629689617552</v>
      </c>
      <c r="AM26" s="109">
        <v>622</v>
      </c>
      <c r="AN26" s="14">
        <f>'[1]Data-FW Catch Rates - new'!CE20</f>
        <v>14374.486895266944</v>
      </c>
      <c r="AO26" s="76">
        <f t="shared" si="32"/>
        <v>1.2452618399821905E-2</v>
      </c>
      <c r="AP26" s="60">
        <f t="shared" si="33"/>
        <v>15</v>
      </c>
      <c r="AQ26" s="59"/>
      <c r="AR26" s="77">
        <f t="shared" si="34"/>
        <v>0.44938811661389616</v>
      </c>
      <c r="AS26" s="61">
        <f t="shared" si="60"/>
        <v>0.14155386612275173</v>
      </c>
      <c r="AT26" s="61">
        <f t="shared" si="35"/>
        <v>3.7085110328203233E-2</v>
      </c>
      <c r="AU26" s="61">
        <f t="shared" si="36"/>
        <v>0.18970270103220224</v>
      </c>
      <c r="AV26" s="61"/>
      <c r="AW26" s="33"/>
      <c r="AX26" s="61">
        <f t="shared" si="37"/>
        <v>0.23216057575071553</v>
      </c>
      <c r="AY26" s="61">
        <f t="shared" si="38"/>
        <v>0.12128338007718871</v>
      </c>
      <c r="AZ26" s="61">
        <f t="shared" si="39"/>
        <v>8.0821755300366477E-2</v>
      </c>
      <c r="BA26" s="61">
        <f t="shared" si="40"/>
        <v>6.2951408882022108E-3</v>
      </c>
      <c r="BB26" s="61">
        <f t="shared" si="61"/>
        <v>0.44056085201647294</v>
      </c>
      <c r="BC26" s="108">
        <f t="shared" si="62"/>
        <v>8.8272645974232129E-3</v>
      </c>
      <c r="BD26" s="78">
        <f t="shared" si="41"/>
        <v>0.44938811661389616</v>
      </c>
      <c r="BE26" s="17"/>
      <c r="BF26" s="17"/>
      <c r="BG26" s="22">
        <f>'[1]Data-PSC CH Tables'!C20</f>
        <v>13706.486895266944</v>
      </c>
      <c r="BH26" s="22">
        <f>'[1]Data-PSC CH Tables'!AG20</f>
        <v>28115.467449808668</v>
      </c>
      <c r="BI26" s="22">
        <f>'[1]Data-PSC CH Tables'!AI20</f>
        <v>28366.467449808668</v>
      </c>
      <c r="BJ26" s="17"/>
      <c r="BK26" s="22">
        <f t="shared" si="63"/>
        <v>596.6868952669447</v>
      </c>
      <c r="BL26" s="22">
        <f t="shared" si="64"/>
        <v>-68.162239808883896</v>
      </c>
      <c r="BM26" s="22">
        <f t="shared" si="65"/>
        <v>-68.162239808883896</v>
      </c>
      <c r="BO26" s="33"/>
      <c r="BP26" s="33"/>
      <c r="BQ26" s="33"/>
      <c r="BS26" s="62">
        <f t="shared" si="66"/>
        <v>3448.6480000000001</v>
      </c>
      <c r="BT26" s="62">
        <f t="shared" si="10"/>
        <v>6601.4000000000005</v>
      </c>
      <c r="BU26" s="62">
        <f t="shared" si="11"/>
        <v>179</v>
      </c>
      <c r="BV26" s="62">
        <f t="shared" si="12"/>
        <v>1542</v>
      </c>
      <c r="BW26" s="62">
        <f t="shared" si="13"/>
        <v>756.13668283080528</v>
      </c>
      <c r="BX26" s="62">
        <f t="shared" si="67"/>
        <v>12527.184682830806</v>
      </c>
      <c r="BY26" s="62">
        <f t="shared" si="15"/>
        <v>28183.629689617552</v>
      </c>
      <c r="BZ26" s="79">
        <f t="shared" si="68"/>
        <v>0.44448443372237617</v>
      </c>
      <c r="CA26" s="79">
        <f t="shared" si="69"/>
        <v>0.39838544145038085</v>
      </c>
      <c r="CB26" s="79">
        <f t="shared" si="70"/>
        <v>0.60161455854961909</v>
      </c>
      <c r="CC26" s="79">
        <f t="shared" si="19"/>
        <v>1.9642852739266786E-2</v>
      </c>
      <c r="CD26" s="33"/>
      <c r="CF26" s="36">
        <v>28133.445900143179</v>
      </c>
      <c r="CG26" s="36">
        <v>28384.445900143179</v>
      </c>
      <c r="CH26" s="81">
        <f t="shared" si="100"/>
        <v>50.183789474373043</v>
      </c>
      <c r="CI26" s="36">
        <f t="shared" si="101"/>
        <v>50.183789474373043</v>
      </c>
      <c r="CJ26" s="36">
        <v>15589.261217312373</v>
      </c>
      <c r="CK26" s="81">
        <f t="shared" si="73"/>
        <v>67.183789474371224</v>
      </c>
      <c r="CM26" s="33">
        <f t="shared" si="84"/>
        <v>2005</v>
      </c>
      <c r="CN26" s="96">
        <f t="shared" si="91"/>
        <v>28183.629689617552</v>
      </c>
      <c r="CO26" s="97">
        <f t="shared" si="92"/>
        <v>7265.067454797866</v>
      </c>
      <c r="CP26" s="97">
        <f t="shared" si="93"/>
        <v>13183.629689617552</v>
      </c>
      <c r="CQ26" s="62">
        <f t="shared" si="94"/>
        <v>15656.445006786744</v>
      </c>
      <c r="CR26" s="98" t="str">
        <f t="shared" si="85"/>
        <v>Y</v>
      </c>
      <c r="CS26" s="98" t="str">
        <f t="shared" si="95"/>
        <v>Y</v>
      </c>
      <c r="CT26" s="99">
        <f t="shared" si="102"/>
        <v>5918.5622348196857</v>
      </c>
      <c r="CU26" s="100">
        <f>IF(CR26="N",0,IF(CS26="N",(BX26-BT26)+CT26,CT26))</f>
        <v>5918.5622348196857</v>
      </c>
      <c r="CV26" s="100"/>
      <c r="CW26" s="100"/>
      <c r="CX26" s="101">
        <f t="shared" si="96"/>
        <v>6601.4000000000005</v>
      </c>
      <c r="CY26" s="102">
        <f t="shared" si="86"/>
        <v>682.83776518031482</v>
      </c>
      <c r="CZ26" s="79">
        <v>0.1</v>
      </c>
      <c r="DA26" s="103">
        <f t="shared" si="97"/>
        <v>-591.85622348196864</v>
      </c>
      <c r="DB26" s="107">
        <f t="shared" si="87"/>
        <v>682.83776518031482</v>
      </c>
      <c r="DC26" s="33"/>
      <c r="DD26" s="107">
        <f t="shared" si="104"/>
        <v>1808.6579072297982</v>
      </c>
      <c r="DE26" s="105">
        <f t="shared" si="98"/>
        <v>682.83776518031482</v>
      </c>
      <c r="DF26" s="105">
        <f t="shared" si="99"/>
        <v>682.83776518031482</v>
      </c>
      <c r="DH26" s="66">
        <f t="shared" si="20"/>
        <v>0.16265793452363075</v>
      </c>
      <c r="DK26" s="106">
        <f t="shared" si="88"/>
        <v>0.12236351520295603</v>
      </c>
      <c r="DL26" s="106">
        <f t="shared" si="89"/>
        <v>5.4712612143355363E-2</v>
      </c>
      <c r="DS26" s="14">
        <f t="shared" si="44"/>
        <v>15656.445006786744</v>
      </c>
      <c r="DT26" s="14">
        <v>16663.306215128945</v>
      </c>
      <c r="DU26" s="14">
        <f t="shared" si="77"/>
        <v>1006.8612083422013</v>
      </c>
      <c r="DW26" s="14">
        <f t="shared" si="45"/>
        <v>28183.629689617552</v>
      </c>
      <c r="DX26" s="14">
        <v>28324.306215128945</v>
      </c>
      <c r="DY26" s="14">
        <f t="shared" si="78"/>
        <v>140.67652551139327</v>
      </c>
      <c r="EC26" s="3">
        <f t="shared" si="90"/>
        <v>0.69102208771285811</v>
      </c>
      <c r="ED26" s="3">
        <f t="shared" si="90"/>
        <v>0.30897791228714189</v>
      </c>
      <c r="EG26" s="14">
        <f t="shared" si="47"/>
        <v>5925.7846828308057</v>
      </c>
      <c r="EI26" s="89">
        <f t="shared" si="81"/>
        <v>1.2701471355544858</v>
      </c>
      <c r="EJ26" s="89">
        <f t="shared" si="48"/>
        <v>0.16265793452363075</v>
      </c>
      <c r="EL26" s="67"/>
      <c r="EM26" s="67">
        <f t="shared" si="49"/>
        <v>15.656445006786743</v>
      </c>
      <c r="EN26" s="67">
        <f t="shared" si="22"/>
        <v>6.6014000000000008</v>
      </c>
      <c r="EO26" s="67">
        <f t="shared" si="23"/>
        <v>5.9257846828308054</v>
      </c>
      <c r="EP26" s="67">
        <f t="shared" si="24"/>
        <v>0.251</v>
      </c>
      <c r="ET26" s="66">
        <f t="shared" si="25"/>
        <v>0.18970270103220224</v>
      </c>
      <c r="EW26" s="14">
        <f t="shared" si="27"/>
        <v>5925.7846828308057</v>
      </c>
      <c r="EY26" s="14">
        <f t="shared" si="50"/>
        <v>779</v>
      </c>
      <c r="EZ26" s="14">
        <f t="shared" si="51"/>
        <v>935.13668283080528</v>
      </c>
      <c r="FB26" s="14">
        <f t="shared" si="52"/>
        <v>24432.682462525823</v>
      </c>
      <c r="FC26" s="66">
        <f t="shared" si="53"/>
        <v>0.86400228105019816</v>
      </c>
      <c r="FE26" s="14">
        <f t="shared" si="26"/>
        <v>16000</v>
      </c>
    </row>
    <row r="27" spans="2:161" x14ac:dyDescent="0.2">
      <c r="B27" s="4">
        <v>2006</v>
      </c>
      <c r="C27" s="71">
        <f t="shared" si="54"/>
        <v>22580.6</v>
      </c>
      <c r="D27" s="71">
        <f t="shared" si="82"/>
        <v>18518.599999999999</v>
      </c>
      <c r="E27" s="71">
        <f>'Bayesian Sum (10Feb26)'!H22</f>
        <v>4062</v>
      </c>
      <c r="G27" s="14">
        <f>'[1]Data-Nisgaa &amp; Other FN Catch'!BI19</f>
        <v>456</v>
      </c>
      <c r="H27" s="14">
        <f>'[1]Data-SF-FW'!U10</f>
        <v>1012</v>
      </c>
      <c r="I27" s="14">
        <f>'Data-Chin-Nisga''a'!N21</f>
        <v>3584.4</v>
      </c>
      <c r="J27" s="14">
        <f t="shared" si="55"/>
        <v>5052.3999999999996</v>
      </c>
      <c r="L27" s="72">
        <f>'Bayesian Sum (10Feb26)'!K22</f>
        <v>27633</v>
      </c>
      <c r="M27" s="73">
        <f t="shared" si="28"/>
        <v>3.6622878442442011E-2</v>
      </c>
      <c r="N27" s="56">
        <f>'Data-Coastal-Chin-Esc (new)'!J34</f>
        <v>964.39827963336984</v>
      </c>
      <c r="O27" s="74">
        <f t="shared" si="56"/>
        <v>5.7811586270446762</v>
      </c>
      <c r="P27" s="14">
        <f>'Data-Coastal-Chin-Esc (new)'!AL34</f>
        <v>5575.3394342094998</v>
      </c>
      <c r="R27" s="5">
        <f>SUM('[1]Data-SF-FW'!C10:H10)</f>
        <v>267.9066579719829</v>
      </c>
      <c r="S27" s="14">
        <f>'Data-Chin-Nisga''a'!P21+'Data-Chin-Nisga''a'!Q21+'Data-Chin-Nisga''a'!O21</f>
        <v>4225.3999999999996</v>
      </c>
      <c r="T27" s="14">
        <f t="shared" si="57"/>
        <v>4493.3066579719825</v>
      </c>
      <c r="U27" s="73">
        <f t="shared" si="83"/>
        <v>2.6608012191432381E-2</v>
      </c>
      <c r="V27" s="14">
        <f t="shared" si="3"/>
        <v>28155.939434209497</v>
      </c>
      <c r="X27" s="14">
        <f t="shared" si="29"/>
        <v>456</v>
      </c>
      <c r="Y27" s="14">
        <f t="shared" si="30"/>
        <v>1279.9066579719829</v>
      </c>
      <c r="Z27" s="14">
        <f t="shared" si="30"/>
        <v>7809.7999999999993</v>
      </c>
      <c r="AA27" s="14">
        <f t="shared" si="4"/>
        <v>9545.7066579719831</v>
      </c>
      <c r="AC27" s="14">
        <f>'A3.1b CF-tidal-Harvests (Chin)'!G21</f>
        <v>4939.2640000000001</v>
      </c>
      <c r="AD27" s="14">
        <f>'A3.1b CF-tidal-Harvests (Chin)'!L21</f>
        <v>983</v>
      </c>
      <c r="AE27" s="14">
        <f t="shared" si="58"/>
        <v>5922.2640000000001</v>
      </c>
      <c r="AJ27" s="14">
        <f t="shared" si="31"/>
        <v>43623.910092181482</v>
      </c>
      <c r="AK27" s="3">
        <v>1750</v>
      </c>
      <c r="AL27" s="14">
        <f t="shared" si="59"/>
        <v>45373.910092181482</v>
      </c>
      <c r="AM27" s="109">
        <v>2741</v>
      </c>
      <c r="AN27" s="14">
        <f>'[1]Data-FW Catch Rates - new'!CE21</f>
        <v>24539.274081002797</v>
      </c>
      <c r="AO27" s="76">
        <f t="shared" si="32"/>
        <v>1.8582456779070524E-2</v>
      </c>
      <c r="AP27" s="60">
        <f t="shared" si="33"/>
        <v>30</v>
      </c>
      <c r="AQ27" s="59"/>
      <c r="AR27" s="77">
        <f t="shared" si="34"/>
        <v>0.37946852327674674</v>
      </c>
      <c r="AS27" s="61">
        <f t="shared" si="60"/>
        <v>0.12971447182716317</v>
      </c>
      <c r="AT27" s="61">
        <f t="shared" si="35"/>
        <v>3.6622878442442011E-2</v>
      </c>
      <c r="AU27" s="61">
        <f t="shared" si="36"/>
        <v>0.1828393587377411</v>
      </c>
      <c r="AV27" s="61"/>
      <c r="AW27" s="33"/>
      <c r="AX27" s="61">
        <f t="shared" si="37"/>
        <v>0.17212093875387058</v>
      </c>
      <c r="AY27" s="61">
        <f t="shared" si="38"/>
        <v>0.10885691777423211</v>
      </c>
      <c r="AZ27" s="61">
        <f t="shared" si="39"/>
        <v>4.9872419048185825E-2</v>
      </c>
      <c r="BA27" s="61">
        <f t="shared" si="40"/>
        <v>1.0049828173802785E-2</v>
      </c>
      <c r="BB27" s="61">
        <f t="shared" si="61"/>
        <v>0.34090010375009133</v>
      </c>
      <c r="BC27" s="61">
        <f t="shared" si="62"/>
        <v>3.8568419526655427E-2</v>
      </c>
      <c r="BD27" s="78">
        <f t="shared" si="41"/>
        <v>0.37946852327674674</v>
      </c>
      <c r="BE27" s="17"/>
      <c r="BF27" s="17"/>
      <c r="BG27" s="22">
        <f>'[1]Data-PSC CH Tables'!C21</f>
        <v>23594.274081002797</v>
      </c>
      <c r="BH27" s="22">
        <f>'[1]Data-PSC CH Tables'!AG21</f>
        <v>43559.187215170736</v>
      </c>
      <c r="BI27" s="22">
        <f>'[1]Data-PSC CH Tables'!AI21</f>
        <v>45309.187215170736</v>
      </c>
      <c r="BJ27" s="17"/>
      <c r="BK27" s="22">
        <f t="shared" si="63"/>
        <v>1013.6740810027986</v>
      </c>
      <c r="BL27" s="22">
        <f t="shared" si="64"/>
        <v>-64.722877010746743</v>
      </c>
      <c r="BM27" s="22">
        <f t="shared" si="65"/>
        <v>-64.722877010746743</v>
      </c>
      <c r="BO27" s="33"/>
      <c r="BP27" s="33"/>
      <c r="BQ27" s="33"/>
      <c r="BS27" s="62">
        <f t="shared" si="66"/>
        <v>4939.2640000000001</v>
      </c>
      <c r="BT27" s="62">
        <f t="shared" si="10"/>
        <v>7809.7999999999993</v>
      </c>
      <c r="BU27" s="62">
        <f t="shared" si="11"/>
        <v>456</v>
      </c>
      <c r="BV27" s="62">
        <f t="shared" si="12"/>
        <v>983</v>
      </c>
      <c r="BW27" s="62">
        <f t="shared" si="13"/>
        <v>1279.9066579719829</v>
      </c>
      <c r="BX27" s="62">
        <f t="shared" si="67"/>
        <v>15467.970657971982</v>
      </c>
      <c r="BY27" s="62">
        <f t="shared" si="15"/>
        <v>43623.910092181482</v>
      </c>
      <c r="BZ27" s="79">
        <f t="shared" si="68"/>
        <v>0.35457552120584068</v>
      </c>
      <c r="CA27" s="79">
        <f t="shared" si="69"/>
        <v>0.38287272008417894</v>
      </c>
      <c r="CB27" s="79">
        <f t="shared" si="70"/>
        <v>0.61712727991582106</v>
      </c>
      <c r="CC27" s="79">
        <f t="shared" si="19"/>
        <v>0.10163799409135035</v>
      </c>
      <c r="CD27" s="33"/>
      <c r="CF27" s="36">
        <v>43603.252895802958</v>
      </c>
      <c r="CG27" s="36">
        <v>45353.252895802958</v>
      </c>
      <c r="CH27" s="81">
        <f t="shared" si="100"/>
        <v>20.657196378524532</v>
      </c>
      <c r="CI27" s="36">
        <f t="shared" si="101"/>
        <v>20.657196378524532</v>
      </c>
      <c r="CJ27" s="36">
        <v>28104.282237830972</v>
      </c>
      <c r="CK27" s="81">
        <f t="shared" si="73"/>
        <v>51.657196378524532</v>
      </c>
      <c r="CM27" s="33">
        <f t="shared" si="84"/>
        <v>2006</v>
      </c>
      <c r="CN27" s="96">
        <f t="shared" si="91"/>
        <v>43623.910092181482</v>
      </c>
      <c r="CO27" s="97">
        <f t="shared" si="92"/>
        <v>19462.88897282337</v>
      </c>
      <c r="CP27" s="97">
        <f t="shared" si="93"/>
        <v>28623.910092181482</v>
      </c>
      <c r="CQ27" s="62">
        <f t="shared" si="94"/>
        <v>28155.939434209497</v>
      </c>
      <c r="CR27" s="98" t="str">
        <f t="shared" si="85"/>
        <v>Y</v>
      </c>
      <c r="CS27" s="98" t="str">
        <f t="shared" si="95"/>
        <v>Y</v>
      </c>
      <c r="CT27" s="99">
        <f t="shared" si="102"/>
        <v>9161.0211193581108</v>
      </c>
      <c r="CU27" s="100">
        <f t="shared" si="103"/>
        <v>9161.0211193581108</v>
      </c>
      <c r="CV27" s="100"/>
      <c r="CW27" s="100"/>
      <c r="CX27" s="101">
        <f t="shared" si="96"/>
        <v>7809.7999999999993</v>
      </c>
      <c r="CY27" s="102">
        <f t="shared" si="86"/>
        <v>-1351.2211193581115</v>
      </c>
      <c r="CZ27" s="79">
        <v>0.1</v>
      </c>
      <c r="DA27" s="103">
        <f t="shared" si="97"/>
        <v>-916.10211193581108</v>
      </c>
      <c r="DB27" s="107">
        <f t="shared" si="87"/>
        <v>-916.10211193581108</v>
      </c>
      <c r="DC27" s="33"/>
      <c r="DD27" s="107">
        <f t="shared" si="104"/>
        <v>892.5557952939871</v>
      </c>
      <c r="DE27" s="105">
        <f t="shared" si="98"/>
        <v>-916.10211193581108</v>
      </c>
      <c r="DF27" s="105">
        <f t="shared" si="99"/>
        <v>916.10211193581108</v>
      </c>
      <c r="DH27" s="66">
        <f t="shared" si="20"/>
        <v>0.19801645927095071</v>
      </c>
      <c r="DK27" s="106">
        <f t="shared" si="88"/>
        <v>0.11322378002253498</v>
      </c>
      <c r="DL27" s="106">
        <f t="shared" si="89"/>
        <v>2.2533514256810709E-2</v>
      </c>
      <c r="DS27" s="14">
        <f t="shared" si="44"/>
        <v>28155.939434209497</v>
      </c>
      <c r="DT27" s="14">
        <v>28577.107523933752</v>
      </c>
      <c r="DU27" s="14">
        <f t="shared" si="77"/>
        <v>421.16808972425497</v>
      </c>
      <c r="DW27" s="14">
        <f t="shared" si="45"/>
        <v>43623.910092181482</v>
      </c>
      <c r="DX27" s="14">
        <v>42688.913623933746</v>
      </c>
      <c r="DY27" s="14">
        <f t="shared" si="78"/>
        <v>-934.99646824773663</v>
      </c>
      <c r="EC27" s="3">
        <f t="shared" si="90"/>
        <v>0.83401618029861557</v>
      </c>
      <c r="ED27" s="3">
        <f t="shared" si="90"/>
        <v>0.16598381970138446</v>
      </c>
      <c r="EG27" s="14">
        <f t="shared" si="47"/>
        <v>7658.170657971983</v>
      </c>
      <c r="EI27" s="89">
        <f t="shared" si="81"/>
        <v>2.7793317219389331</v>
      </c>
      <c r="EJ27" s="89">
        <f t="shared" si="48"/>
        <v>0.19801645927095071</v>
      </c>
      <c r="EL27" s="67"/>
      <c r="EM27" s="67">
        <f t="shared" si="49"/>
        <v>28.155939434209497</v>
      </c>
      <c r="EN27" s="67">
        <f t="shared" si="22"/>
        <v>7.8097999999999992</v>
      </c>
      <c r="EO27" s="67">
        <f t="shared" si="23"/>
        <v>7.6581706579719828</v>
      </c>
      <c r="EP27" s="67">
        <f t="shared" si="24"/>
        <v>1.75</v>
      </c>
      <c r="ET27" s="66">
        <f t="shared" si="25"/>
        <v>0.1828393587377411</v>
      </c>
      <c r="EW27" s="14">
        <f t="shared" si="27"/>
        <v>7658.170657971983</v>
      </c>
      <c r="EY27" s="14">
        <f t="shared" si="50"/>
        <v>1468</v>
      </c>
      <c r="EZ27" s="14">
        <f t="shared" si="51"/>
        <v>1735.9066579719829</v>
      </c>
      <c r="FB27" s="14">
        <f t="shared" si="52"/>
        <v>37533.168298488308</v>
      </c>
      <c r="FC27" s="66">
        <f t="shared" si="53"/>
        <v>0.83211026118138043</v>
      </c>
      <c r="FE27" s="14">
        <f t="shared" si="26"/>
        <v>28000</v>
      </c>
    </row>
    <row r="28" spans="2:161" x14ac:dyDescent="0.2">
      <c r="B28" s="4">
        <v>2007</v>
      </c>
      <c r="C28" s="71">
        <f t="shared" si="54"/>
        <v>20640.400000000001</v>
      </c>
      <c r="D28" s="71">
        <f t="shared" si="82"/>
        <v>16385.400000000001</v>
      </c>
      <c r="E28" s="71">
        <f>'Bayesian Sum (10Feb26)'!H23</f>
        <v>4255</v>
      </c>
      <c r="G28" s="14">
        <f>'[1]Data-Nisgaa &amp; Other FN Catch'!BI20</f>
        <v>24</v>
      </c>
      <c r="H28" s="14">
        <f>'[1]Data-SF-FW'!U11</f>
        <v>965</v>
      </c>
      <c r="I28" s="14">
        <f>'Data-Chin-Nisga''a'!N22</f>
        <v>4092.6</v>
      </c>
      <c r="J28" s="14">
        <f t="shared" si="55"/>
        <v>5081.6000000000004</v>
      </c>
      <c r="L28" s="72">
        <f>'Bayesian Sum (10Feb26)'!K23</f>
        <v>25722</v>
      </c>
      <c r="M28" s="73">
        <f t="shared" si="28"/>
        <v>3.75165228209315E-2</v>
      </c>
      <c r="N28" s="56">
        <f>'Data-Coastal-Chin-Esc (new)'!J35</f>
        <v>1912.5599223080219</v>
      </c>
      <c r="O28" s="74">
        <f t="shared" si="56"/>
        <v>1.9671721005127598</v>
      </c>
      <c r="P28" s="14">
        <f>'Data-Coastal-Chin-Esc (new)'!AL35</f>
        <v>3762.334519723192</v>
      </c>
      <c r="R28" s="5">
        <f>SUM('[1]Data-SF-FW'!C11:H11)</f>
        <v>525</v>
      </c>
      <c r="S28" s="14">
        <f>'Data-Chin-Nisga''a'!P22+'Data-Chin-Nisga''a'!Q22+'Data-Chin-Nisga''a'!O22</f>
        <v>2721.4</v>
      </c>
      <c r="T28" s="14">
        <f t="shared" si="57"/>
        <v>3246.4</v>
      </c>
      <c r="U28" s="73">
        <f t="shared" si="83"/>
        <v>7.4906532487798494E-2</v>
      </c>
      <c r="V28" s="14">
        <f t="shared" si="3"/>
        <v>24402.734519723192</v>
      </c>
      <c r="X28" s="14">
        <f t="shared" si="29"/>
        <v>24</v>
      </c>
      <c r="Y28" s="14">
        <f t="shared" si="30"/>
        <v>1490</v>
      </c>
      <c r="Z28" s="14">
        <f t="shared" si="30"/>
        <v>6814</v>
      </c>
      <c r="AA28" s="14">
        <f t="shared" si="4"/>
        <v>8328</v>
      </c>
      <c r="AC28" s="14">
        <f>'A3.1b CF-tidal-Harvests (Chin)'!G22</f>
        <v>4475.0479999999998</v>
      </c>
      <c r="AD28" s="14">
        <f>'A3.1b CF-tidal-Harvests (Chin)'!L22</f>
        <v>1810</v>
      </c>
      <c r="AE28" s="14">
        <f t="shared" si="58"/>
        <v>6285.0479999999998</v>
      </c>
      <c r="AJ28" s="14">
        <f t="shared" si="31"/>
        <v>39015.782519723194</v>
      </c>
      <c r="AK28" s="3">
        <v>1322</v>
      </c>
      <c r="AL28" s="14">
        <f t="shared" si="59"/>
        <v>40337.782519723194</v>
      </c>
      <c r="AM28" s="109">
        <v>1141</v>
      </c>
      <c r="AN28" s="14">
        <f>'[1]Data-FW Catch Rates - new'!CE22</f>
        <v>22649.31290378391</v>
      </c>
      <c r="AO28" s="76">
        <f t="shared" si="32"/>
        <v>1.05963479342415E-3</v>
      </c>
      <c r="AP28" s="60">
        <f t="shared" si="33"/>
        <v>27</v>
      </c>
      <c r="AQ28" s="59"/>
      <c r="AR28" s="77">
        <f t="shared" si="34"/>
        <v>0.39504025765939271</v>
      </c>
      <c r="AS28" s="61">
        <f t="shared" si="60"/>
        <v>0.15910893398647072</v>
      </c>
      <c r="AT28" s="61">
        <f t="shared" si="35"/>
        <v>3.75165228209315E-2</v>
      </c>
      <c r="AU28" s="61">
        <f t="shared" si="36"/>
        <v>0.19755851022471038</v>
      </c>
      <c r="AV28" s="61"/>
      <c r="AW28" s="33"/>
      <c r="AX28" s="61">
        <f t="shared" si="37"/>
        <v>0.16892351473877595</v>
      </c>
      <c r="AY28" s="61">
        <f t="shared" si="38"/>
        <v>0.11093936553929114</v>
      </c>
      <c r="AZ28" s="61">
        <f t="shared" si="39"/>
        <v>8.1809157416783185E-2</v>
      </c>
      <c r="BA28" s="61">
        <f t="shared" si="40"/>
        <v>5.9497569030387773E-4</v>
      </c>
      <c r="BB28" s="61">
        <f t="shared" si="61"/>
        <v>0.36226701338515416</v>
      </c>
      <c r="BC28" s="61">
        <f>AK28/AL28</f>
        <v>3.2773244274238597E-2</v>
      </c>
      <c r="BD28" s="78">
        <f t="shared" si="41"/>
        <v>0.39504025765939271</v>
      </c>
      <c r="BE28" s="17"/>
      <c r="BF28" s="17"/>
      <c r="BG28" s="22">
        <f>'[1]Data-PSC CH Tables'!C22</f>
        <v>22136.31290378391</v>
      </c>
      <c r="BH28" s="22">
        <f>'[1]Data-PSC CH Tables'!AG22</f>
        <v>39605.233147075145</v>
      </c>
      <c r="BI28" s="22">
        <f>'[1]Data-PSC CH Tables'!AI22</f>
        <v>40927.233147075145</v>
      </c>
      <c r="BJ28" s="17"/>
      <c r="BK28" s="22">
        <f t="shared" si="63"/>
        <v>1495.9129037839084</v>
      </c>
      <c r="BL28" s="22">
        <f t="shared" si="64"/>
        <v>589.45062735195097</v>
      </c>
      <c r="BM28" s="22">
        <f t="shared" si="65"/>
        <v>589.45062735195097</v>
      </c>
      <c r="BO28" s="33"/>
      <c r="BP28" s="33"/>
      <c r="BQ28" s="33"/>
      <c r="BS28" s="62">
        <f t="shared" si="66"/>
        <v>4475.0479999999998</v>
      </c>
      <c r="BT28" s="62">
        <f t="shared" si="10"/>
        <v>6814</v>
      </c>
      <c r="BU28" s="62">
        <f t="shared" si="11"/>
        <v>24</v>
      </c>
      <c r="BV28" s="62">
        <f t="shared" si="12"/>
        <v>1810</v>
      </c>
      <c r="BW28" s="62">
        <f t="shared" si="13"/>
        <v>1490</v>
      </c>
      <c r="BX28" s="62">
        <f t="shared" si="67"/>
        <v>14613.047999999999</v>
      </c>
      <c r="BY28" s="62">
        <f t="shared" si="15"/>
        <v>39015.782519723194</v>
      </c>
      <c r="BZ28" s="79">
        <f t="shared" si="68"/>
        <v>0.37454196882025459</v>
      </c>
      <c r="CA28" s="79">
        <f t="shared" si="69"/>
        <v>0.4300983614096115</v>
      </c>
      <c r="CB28" s="79">
        <f t="shared" si="70"/>
        <v>0.56990163859038856</v>
      </c>
      <c r="CC28" s="79">
        <f t="shared" si="19"/>
        <v>8.2961783359548097E-2</v>
      </c>
      <c r="CD28" s="33"/>
      <c r="CF28" s="36">
        <v>39632.49659260804</v>
      </c>
      <c r="CG28" s="36">
        <v>40954.49659260804</v>
      </c>
      <c r="CH28" s="81">
        <f t="shared" si="100"/>
        <v>-616.71407288484625</v>
      </c>
      <c r="CI28" s="36">
        <f t="shared" si="101"/>
        <v>-616.71407288484625</v>
      </c>
      <c r="CJ28" s="36">
        <v>24991.448592608034</v>
      </c>
      <c r="CK28" s="81">
        <f t="shared" si="73"/>
        <v>-588.71407288484261</v>
      </c>
      <c r="CM28" s="33">
        <f t="shared" si="84"/>
        <v>2007</v>
      </c>
      <c r="CN28" s="96">
        <f t="shared" si="91"/>
        <v>39015.782519723194</v>
      </c>
      <c r="CO28" s="97">
        <f t="shared" si="92"/>
        <v>15822.468190581323</v>
      </c>
      <c r="CP28" s="97">
        <f t="shared" si="93"/>
        <v>24015.782519723194</v>
      </c>
      <c r="CQ28" s="62">
        <f t="shared" si="94"/>
        <v>24402.734519723192</v>
      </c>
      <c r="CR28" s="98" t="str">
        <f t="shared" si="85"/>
        <v>Y</v>
      </c>
      <c r="CS28" s="98" t="str">
        <f t="shared" si="95"/>
        <v>Y</v>
      </c>
      <c r="CT28" s="99">
        <f t="shared" si="102"/>
        <v>8193.314329141871</v>
      </c>
      <c r="CU28" s="100">
        <f t="shared" si="103"/>
        <v>8193.314329141871</v>
      </c>
      <c r="CV28" s="100"/>
      <c r="CW28" s="100"/>
      <c r="CX28" s="101">
        <f t="shared" si="96"/>
        <v>6814</v>
      </c>
      <c r="CY28" s="102">
        <f t="shared" si="86"/>
        <v>-1379.314329141871</v>
      </c>
      <c r="CZ28" s="79">
        <v>0.1</v>
      </c>
      <c r="DA28" s="103">
        <f t="shared" si="97"/>
        <v>-819.33143291418719</v>
      </c>
      <c r="DB28" s="107">
        <f t="shared" si="87"/>
        <v>-819.33143291418719</v>
      </c>
      <c r="DC28" s="33"/>
      <c r="DD28" s="107">
        <f t="shared" si="104"/>
        <v>73.224362379799913</v>
      </c>
      <c r="DE28" s="105">
        <f t="shared" si="98"/>
        <v>-819.33143291418719</v>
      </c>
      <c r="DF28" s="105">
        <f t="shared" si="99"/>
        <v>819.33143291418719</v>
      </c>
      <c r="DH28" s="66">
        <f t="shared" si="20"/>
        <v>0.15417675903011338</v>
      </c>
      <c r="DK28" s="106">
        <f t="shared" si="88"/>
        <v>0.11469840436335682</v>
      </c>
      <c r="DL28" s="106">
        <f t="shared" si="89"/>
        <v>4.6391482705364473E-2</v>
      </c>
      <c r="DS28" s="14">
        <f t="shared" si="44"/>
        <v>24402.734519723192</v>
      </c>
      <c r="DT28" s="14">
        <v>27841.629482244516</v>
      </c>
      <c r="DU28" s="14">
        <f t="shared" si="77"/>
        <v>3438.8949625213245</v>
      </c>
      <c r="DW28" s="14">
        <f t="shared" si="45"/>
        <v>39015.782519723194</v>
      </c>
      <c r="DX28" s="14">
        <v>41711.629482244512</v>
      </c>
      <c r="DY28" s="14">
        <f t="shared" si="78"/>
        <v>2695.8469625213183</v>
      </c>
      <c r="EC28" s="3">
        <f t="shared" si="90"/>
        <v>0.71201492812783607</v>
      </c>
      <c r="ED28" s="3">
        <f t="shared" si="90"/>
        <v>0.28798507187216393</v>
      </c>
      <c r="EG28" s="14">
        <f t="shared" si="47"/>
        <v>7799.0479999999998</v>
      </c>
      <c r="EI28" s="89">
        <f t="shared" si="81"/>
        <v>1.8746061383772756</v>
      </c>
      <c r="EJ28" s="89">
        <f t="shared" si="48"/>
        <v>0.15417675903011338</v>
      </c>
      <c r="EL28" s="67"/>
      <c r="EM28" s="67">
        <f t="shared" si="49"/>
        <v>24.402734519723193</v>
      </c>
      <c r="EN28" s="67">
        <f t="shared" si="22"/>
        <v>6.8140000000000001</v>
      </c>
      <c r="EO28" s="67">
        <f t="shared" si="23"/>
        <v>7.799048</v>
      </c>
      <c r="EP28" s="67">
        <f t="shared" si="24"/>
        <v>1.3220000000000001</v>
      </c>
      <c r="ET28" s="66">
        <f t="shared" si="25"/>
        <v>0.19755851022471038</v>
      </c>
      <c r="EW28" s="14">
        <f t="shared" si="27"/>
        <v>7799.0479999999989</v>
      </c>
      <c r="EY28" s="14">
        <f t="shared" si="50"/>
        <v>989</v>
      </c>
      <c r="EZ28" s="14">
        <f t="shared" si="51"/>
        <v>1514</v>
      </c>
      <c r="FB28" s="14">
        <f t="shared" si="52"/>
        <v>34732.491292529747</v>
      </c>
      <c r="FC28" s="66">
        <f t="shared" si="53"/>
        <v>0.8723954743761837</v>
      </c>
      <c r="FE28" s="14">
        <f t="shared" si="26"/>
        <v>26000</v>
      </c>
    </row>
    <row r="29" spans="2:161" x14ac:dyDescent="0.2">
      <c r="B29" s="4">
        <v>2008</v>
      </c>
      <c r="C29" s="71">
        <f t="shared" si="54"/>
        <v>21046.799999999999</v>
      </c>
      <c r="D29" s="71">
        <f t="shared" si="82"/>
        <v>17645.8</v>
      </c>
      <c r="E29" s="71">
        <f>'Bayesian Sum (10Feb26)'!H24</f>
        <v>3401</v>
      </c>
      <c r="G29" s="14">
        <f>'[1]Data-Nisgaa &amp; Other FN Catch'!BI21</f>
        <v>174</v>
      </c>
      <c r="H29" s="14">
        <f>'[1]Data-SF-FW'!U12</f>
        <v>775</v>
      </c>
      <c r="I29" s="14">
        <f>'Data-Chin-Nisga''a'!N23</f>
        <v>1092.2</v>
      </c>
      <c r="J29" s="14">
        <f t="shared" si="55"/>
        <v>2041.2</v>
      </c>
      <c r="L29" s="72">
        <f>'Bayesian Sum (10Feb26)'!K24</f>
        <v>23088</v>
      </c>
      <c r="M29" s="73">
        <f t="shared" si="28"/>
        <v>3.356722106722107E-2</v>
      </c>
      <c r="N29" s="56">
        <f>'Data-Coastal-Chin-Esc (new)'!J36</f>
        <v>616.19310226672303</v>
      </c>
      <c r="O29" s="74">
        <f t="shared" si="56"/>
        <v>4.8596458573634207</v>
      </c>
      <c r="P29" s="14">
        <f>'Data-Coastal-Chin-Esc (new)'!AL36</f>
        <v>2994.4802567663951</v>
      </c>
      <c r="R29" s="5">
        <f>SUM('[1]Data-SF-FW'!C12:H12)</f>
        <v>519</v>
      </c>
      <c r="S29" s="14">
        <f>'Data-Chin-Nisga''a'!P23+'Data-Chin-Nisga''a'!Q23+'Data-Chin-Nisga''a'!O23</f>
        <v>3382.9999999999995</v>
      </c>
      <c r="T29" s="14">
        <f t="shared" si="57"/>
        <v>3901.9999999999995</v>
      </c>
      <c r="U29" s="73">
        <f t="shared" si="83"/>
        <v>7.5255779858253005E-2</v>
      </c>
      <c r="V29" s="14">
        <f t="shared" si="3"/>
        <v>24041.280256766393</v>
      </c>
      <c r="X29" s="14">
        <f t="shared" si="29"/>
        <v>174</v>
      </c>
      <c r="Y29" s="14">
        <f t="shared" si="30"/>
        <v>1294</v>
      </c>
      <c r="Z29" s="14">
        <f t="shared" si="30"/>
        <v>4475.2</v>
      </c>
      <c r="AA29" s="14">
        <f t="shared" si="4"/>
        <v>5943.2</v>
      </c>
      <c r="AC29" s="14">
        <f>'A3.1b CF-tidal-Harvests (Chin)'!G23</f>
        <v>466.62400000000002</v>
      </c>
      <c r="AD29" s="14">
        <f>'A3.1b CF-tidal-Harvests (Chin)'!L23</f>
        <v>1620</v>
      </c>
      <c r="AE29" s="14">
        <f t="shared" si="58"/>
        <v>2086.6239999999998</v>
      </c>
      <c r="AJ29" s="14">
        <f t="shared" si="31"/>
        <v>32071.104256766394</v>
      </c>
      <c r="AK29" s="3">
        <v>366</v>
      </c>
      <c r="AL29" s="14">
        <f t="shared" si="59"/>
        <v>32437.104256766394</v>
      </c>
      <c r="AM29" s="109">
        <v>353</v>
      </c>
      <c r="AN29" s="14">
        <f>'[1]Data-FW Catch Rates - new'!CE23</f>
        <v>20294.36</v>
      </c>
      <c r="AO29" s="76">
        <f t="shared" si="32"/>
        <v>8.5738106547829044E-3</v>
      </c>
      <c r="AP29" s="60">
        <f t="shared" si="33"/>
        <v>23</v>
      </c>
      <c r="AQ29" s="59"/>
      <c r="AR29" s="77">
        <f t="shared" si="34"/>
        <v>0.25883395550786958</v>
      </c>
      <c r="AS29" s="61">
        <f t="shared" si="60"/>
        <v>4.7305959805959807E-2</v>
      </c>
      <c r="AT29" s="61">
        <f t="shared" si="35"/>
        <v>3.356722106722107E-2</v>
      </c>
      <c r="AU29" s="61">
        <f t="shared" si="36"/>
        <v>8.8409563409563408E-2</v>
      </c>
      <c r="AV29" s="61"/>
      <c r="AW29" s="33"/>
      <c r="AX29" s="61">
        <f t="shared" si="37"/>
        <v>0.13796545969625112</v>
      </c>
      <c r="AY29" s="61">
        <f t="shared" si="38"/>
        <v>1.4385501131860809E-2</v>
      </c>
      <c r="AZ29" s="61">
        <f t="shared" si="39"/>
        <v>8.983539273214064E-2</v>
      </c>
      <c r="BA29" s="61">
        <f t="shared" si="40"/>
        <v>5.3642272942321456E-3</v>
      </c>
      <c r="BB29" s="61">
        <f t="shared" si="61"/>
        <v>0.24755058085448473</v>
      </c>
      <c r="BC29" s="61">
        <f t="shared" si="62"/>
        <v>1.1283374653384857E-2</v>
      </c>
      <c r="BD29" s="78">
        <f t="shared" si="41"/>
        <v>0.25883395550786958</v>
      </c>
      <c r="BE29" s="17"/>
      <c r="BF29" s="17"/>
      <c r="BG29" s="22">
        <f>'[1]Data-PSC CH Tables'!C23</f>
        <v>19630</v>
      </c>
      <c r="BH29" s="22">
        <f>'[1]Data-PSC CH Tables'!AG23</f>
        <v>30190.519494596934</v>
      </c>
      <c r="BI29" s="22">
        <f>'[1]Data-PSC CH Tables'!AI23</f>
        <v>30556.519494596934</v>
      </c>
      <c r="BJ29" s="17"/>
      <c r="BK29" s="22">
        <f t="shared" si="63"/>
        <v>-1416.7999999999993</v>
      </c>
      <c r="BL29" s="22">
        <f t="shared" si="64"/>
        <v>-1880.5847621694593</v>
      </c>
      <c r="BM29" s="22">
        <f t="shared" si="65"/>
        <v>-1880.5847621694593</v>
      </c>
      <c r="BO29" s="33"/>
      <c r="BP29" s="33"/>
      <c r="BQ29" s="33"/>
      <c r="BS29" s="62">
        <f t="shared" si="66"/>
        <v>466.62400000000002</v>
      </c>
      <c r="BT29" s="62">
        <f t="shared" si="10"/>
        <v>4475.2</v>
      </c>
      <c r="BU29" s="62">
        <f t="shared" si="11"/>
        <v>174</v>
      </c>
      <c r="BV29" s="62">
        <f t="shared" si="12"/>
        <v>1620</v>
      </c>
      <c r="BW29" s="62">
        <f t="shared" si="13"/>
        <v>1294</v>
      </c>
      <c r="BX29" s="62">
        <f t="shared" si="67"/>
        <v>8029.8239999999996</v>
      </c>
      <c r="BY29" s="62">
        <f t="shared" si="15"/>
        <v>32071.104256766394</v>
      </c>
      <c r="BZ29" s="79">
        <f t="shared" si="68"/>
        <v>0.2503756632672185</v>
      </c>
      <c r="CA29" s="79">
        <f t="shared" si="69"/>
        <v>0.25985924473562555</v>
      </c>
      <c r="CB29" s="79">
        <f t="shared" si="70"/>
        <v>0.74014075526437439</v>
      </c>
      <c r="CC29" s="79">
        <f t="shared" si="19"/>
        <v>4.3593100569997656E-2</v>
      </c>
      <c r="CD29" s="33"/>
      <c r="CF29" s="36">
        <v>30214.69612410777</v>
      </c>
      <c r="CG29" s="36">
        <v>30580.69612410777</v>
      </c>
      <c r="CH29" s="81">
        <f t="shared" si="100"/>
        <v>1856.4081326586238</v>
      </c>
      <c r="CI29" s="36">
        <f t="shared" si="101"/>
        <v>1856.4081326586238</v>
      </c>
      <c r="CJ29" s="36">
        <v>22161.872124107769</v>
      </c>
      <c r="CK29" s="81">
        <f t="shared" si="73"/>
        <v>1879.4081326586238</v>
      </c>
      <c r="CM29" s="33">
        <f t="shared" si="84"/>
        <v>2008</v>
      </c>
      <c r="CN29" s="96">
        <f t="shared" si="91"/>
        <v>32071.104256766394</v>
      </c>
      <c r="CO29" s="97">
        <f t="shared" si="92"/>
        <v>10336.172362845451</v>
      </c>
      <c r="CP29" s="97">
        <f t="shared" si="93"/>
        <v>17071.104256766394</v>
      </c>
      <c r="CQ29" s="62">
        <f t="shared" si="94"/>
        <v>24041.280256766393</v>
      </c>
      <c r="CR29" s="98" t="str">
        <f t="shared" si="85"/>
        <v>Y</v>
      </c>
      <c r="CS29" s="98" t="str">
        <f t="shared" si="95"/>
        <v>Y</v>
      </c>
      <c r="CT29" s="99">
        <f t="shared" si="102"/>
        <v>6734.9318939209425</v>
      </c>
      <c r="CU29" s="100">
        <f t="shared" si="103"/>
        <v>6734.9318939209425</v>
      </c>
      <c r="CV29" s="100"/>
      <c r="CW29" s="100"/>
      <c r="CX29" s="101">
        <f t="shared" si="96"/>
        <v>4475.2</v>
      </c>
      <c r="CY29" s="102">
        <f t="shared" si="86"/>
        <v>-2259.7318939209426</v>
      </c>
      <c r="CZ29" s="79">
        <v>0.1</v>
      </c>
      <c r="DA29" s="103">
        <f t="shared" si="97"/>
        <v>-673.49318939209434</v>
      </c>
      <c r="DB29" s="107">
        <f t="shared" si="87"/>
        <v>-673.49318939209434</v>
      </c>
      <c r="DC29" s="33"/>
      <c r="DD29" s="107">
        <f t="shared" si="104"/>
        <v>-600.26882701229442</v>
      </c>
      <c r="DE29" s="105">
        <f t="shared" si="98"/>
        <v>-673.49318939209434</v>
      </c>
      <c r="DF29" s="105">
        <f t="shared" si="99"/>
        <v>673.49318939209434</v>
      </c>
      <c r="DH29" s="66">
        <f t="shared" si="20"/>
        <v>0.124555773435718</v>
      </c>
      <c r="DK29" s="106">
        <f t="shared" si="88"/>
        <v>1.4549670515369024E-2</v>
      </c>
      <c r="DL29" s="106">
        <f t="shared" si="89"/>
        <v>5.0512760241431684E-2</v>
      </c>
      <c r="DS29" s="14">
        <f t="shared" si="44"/>
        <v>24041.280256766393</v>
      </c>
      <c r="DT29" s="14">
        <v>21390</v>
      </c>
      <c r="DU29" s="14">
        <f t="shared" si="77"/>
        <v>-2651.280256766393</v>
      </c>
      <c r="DW29" s="14">
        <f t="shared" si="45"/>
        <v>32071.104256766394</v>
      </c>
      <c r="DX29" s="14">
        <v>29328.132232680142</v>
      </c>
      <c r="DY29" s="14">
        <f t="shared" si="78"/>
        <v>-2742.9720240862516</v>
      </c>
      <c r="EC29" s="3">
        <f t="shared" si="90"/>
        <v>0.22362629779011459</v>
      </c>
      <c r="ED29" s="3">
        <f t="shared" si="90"/>
        <v>0.77637370220988555</v>
      </c>
      <c r="EG29" s="14">
        <f t="shared" si="47"/>
        <v>3554.6239999999998</v>
      </c>
      <c r="EI29" s="89">
        <f t="shared" si="81"/>
        <v>1.491275028270117</v>
      </c>
      <c r="EJ29" s="89">
        <f t="shared" si="48"/>
        <v>0.124555773435718</v>
      </c>
      <c r="EL29" s="67"/>
      <c r="EM29" s="67">
        <f t="shared" si="49"/>
        <v>24.041280256766392</v>
      </c>
      <c r="EN29" s="67">
        <f t="shared" si="22"/>
        <v>4.4752000000000001</v>
      </c>
      <c r="EO29" s="67">
        <f t="shared" si="23"/>
        <v>3.554624</v>
      </c>
      <c r="EP29" s="67">
        <f t="shared" si="24"/>
        <v>0.36599999999999999</v>
      </c>
      <c r="ET29" s="66">
        <f t="shared" si="25"/>
        <v>8.8409563409563408E-2</v>
      </c>
      <c r="EW29" s="14">
        <f t="shared" si="27"/>
        <v>3554.6239999999998</v>
      </c>
      <c r="EY29" s="14">
        <f t="shared" si="50"/>
        <v>949</v>
      </c>
      <c r="EZ29" s="14">
        <f t="shared" si="51"/>
        <v>1468</v>
      </c>
      <c r="FB29" s="14">
        <f t="shared" si="52"/>
        <v>28253.647039147942</v>
      </c>
      <c r="FC29" s="66">
        <f t="shared" si="53"/>
        <v>0.88519189021567235</v>
      </c>
      <c r="FE29" s="14">
        <f t="shared" si="26"/>
        <v>23000</v>
      </c>
    </row>
    <row r="30" spans="2:161" x14ac:dyDescent="0.2">
      <c r="B30" s="4">
        <v>2009</v>
      </c>
      <c r="C30" s="71">
        <f t="shared" si="54"/>
        <v>26500.400000000001</v>
      </c>
      <c r="D30" s="71">
        <f t="shared" si="82"/>
        <v>22049.4</v>
      </c>
      <c r="E30" s="71">
        <f>'Bayesian Sum (10Feb26)'!H25</f>
        <v>4451</v>
      </c>
      <c r="G30" s="14">
        <f>'[1]Data-Nisgaa &amp; Other FN Catch'!BI22</f>
        <v>148</v>
      </c>
      <c r="H30" s="14">
        <f>'[1]Data-SF-FW'!U13</f>
        <v>1071</v>
      </c>
      <c r="I30" s="14">
        <f>'Data-Chin-Nisga''a'!N24</f>
        <v>2803.6</v>
      </c>
      <c r="J30" s="14">
        <f t="shared" si="55"/>
        <v>4022.6</v>
      </c>
      <c r="L30" s="72">
        <f>'Bayesian Sum (10Feb26)'!K25</f>
        <v>30523</v>
      </c>
      <c r="M30" s="73">
        <f t="shared" si="28"/>
        <v>3.5088294073321757E-2</v>
      </c>
      <c r="N30" s="56">
        <f>'Data-Coastal-Chin-Esc (new)'!J37</f>
        <v>2170.114761959102</v>
      </c>
      <c r="O30" s="74">
        <f t="shared" si="56"/>
        <v>1.8787855479008366</v>
      </c>
      <c r="P30" s="14">
        <f>'Data-Coastal-Chin-Esc (new)'!AL37</f>
        <v>4077.180252055025</v>
      </c>
      <c r="R30" s="5">
        <f>SUM('[1]Data-SF-FW'!C13:H13)</f>
        <v>193</v>
      </c>
      <c r="S30" s="14">
        <f>'Data-Chin-Nisga''a'!P24+'Data-Chin-Nisga''a'!Q24+'Data-Chin-Nisga''a'!O24</f>
        <v>2714.8</v>
      </c>
      <c r="T30" s="14">
        <f t="shared" si="57"/>
        <v>2907.8</v>
      </c>
      <c r="U30" s="73">
        <f t="shared" si="83"/>
        <v>2.763071519682796E-2</v>
      </c>
      <c r="V30" s="14">
        <f t="shared" si="3"/>
        <v>30577.580252055028</v>
      </c>
      <c r="X30" s="14">
        <f t="shared" si="29"/>
        <v>148</v>
      </c>
      <c r="Y30" s="14">
        <f t="shared" si="30"/>
        <v>1264</v>
      </c>
      <c r="Z30" s="14">
        <f t="shared" si="30"/>
        <v>5518.4</v>
      </c>
      <c r="AA30" s="14">
        <f t="shared" si="4"/>
        <v>6930.4</v>
      </c>
      <c r="AC30" s="14">
        <f>'A3.1b CF-tidal-Harvests (Chin)'!G24</f>
        <v>1366.0720000000001</v>
      </c>
      <c r="AD30" s="14">
        <f>'A3.1b CF-tidal-Harvests (Chin)'!L24</f>
        <v>1316</v>
      </c>
      <c r="AE30" s="14">
        <f t="shared" si="58"/>
        <v>2682.0720000000001</v>
      </c>
      <c r="AJ30" s="14">
        <f t="shared" si="31"/>
        <v>40190.052252055029</v>
      </c>
      <c r="AK30" s="3">
        <v>1152</v>
      </c>
      <c r="AL30" s="14">
        <f t="shared" si="59"/>
        <v>41342.052252055029</v>
      </c>
      <c r="AM30" s="109">
        <v>1056</v>
      </c>
      <c r="AN30" s="14">
        <f>'[1]Data-FW Catch Rates - new'!CE24</f>
        <v>26864</v>
      </c>
      <c r="AO30" s="76">
        <f t="shared" si="32"/>
        <v>5.5092316855270993E-3</v>
      </c>
      <c r="AP30" s="60">
        <f t="shared" si="33"/>
        <v>32</v>
      </c>
      <c r="AQ30" s="59"/>
      <c r="AR30" s="77">
        <f t="shared" si="34"/>
        <v>0.26037585009981984</v>
      </c>
      <c r="AS30" s="61">
        <f t="shared" si="60"/>
        <v>9.1852045998099791E-2</v>
      </c>
      <c r="AT30" s="61">
        <f t="shared" si="35"/>
        <v>3.5088294073321757E-2</v>
      </c>
      <c r="AU30" s="61">
        <f t="shared" si="36"/>
        <v>0.13178914261376667</v>
      </c>
      <c r="AV30" s="61"/>
      <c r="AW30" s="33"/>
      <c r="AX30" s="61">
        <f t="shared" si="37"/>
        <v>0.13348152061623142</v>
      </c>
      <c r="AY30" s="61">
        <f t="shared" si="38"/>
        <v>3.3043158856055473E-2</v>
      </c>
      <c r="AZ30" s="61">
        <f t="shared" si="39"/>
        <v>6.2406190778101819E-2</v>
      </c>
      <c r="BA30" s="61">
        <f t="shared" si="40"/>
        <v>3.5798900136275462E-3</v>
      </c>
      <c r="BB30" s="61">
        <f t="shared" si="61"/>
        <v>0.23251076026401624</v>
      </c>
      <c r="BC30" s="61">
        <f t="shared" si="62"/>
        <v>2.7865089835803603E-2</v>
      </c>
      <c r="BD30" s="78">
        <f t="shared" si="41"/>
        <v>0.26037585009981984</v>
      </c>
      <c r="BE30" s="17"/>
      <c r="BF30" s="17"/>
      <c r="BG30" s="22">
        <f>'[1]Data-PSC CH Tables'!C24</f>
        <v>26226</v>
      </c>
      <c r="BH30" s="22">
        <f>'[1]Data-PSC CH Tables'!AG24</f>
        <v>39219.794060178268</v>
      </c>
      <c r="BI30" s="22">
        <f>'[1]Data-PSC CH Tables'!AI24</f>
        <v>40371.794060178268</v>
      </c>
      <c r="BJ30" s="17"/>
      <c r="BK30" s="22">
        <f t="shared" si="63"/>
        <v>-274.40000000000146</v>
      </c>
      <c r="BL30" s="22">
        <f t="shared" si="64"/>
        <v>-970.25819187676097</v>
      </c>
      <c r="BM30" s="22">
        <f t="shared" si="65"/>
        <v>-970.25819187676097</v>
      </c>
      <c r="BO30" s="33"/>
      <c r="BP30" s="33"/>
      <c r="BQ30" s="33"/>
      <c r="BS30" s="62">
        <f t="shared" si="66"/>
        <v>1366.0720000000001</v>
      </c>
      <c r="BT30" s="62">
        <f t="shared" si="10"/>
        <v>5518.4</v>
      </c>
      <c r="BU30" s="62">
        <f t="shared" si="11"/>
        <v>148</v>
      </c>
      <c r="BV30" s="62">
        <f t="shared" si="12"/>
        <v>1316</v>
      </c>
      <c r="BW30" s="62">
        <f t="shared" si="13"/>
        <v>1264</v>
      </c>
      <c r="BX30" s="62">
        <f t="shared" si="67"/>
        <v>9612.4719999999998</v>
      </c>
      <c r="BY30" s="62">
        <f t="shared" si="15"/>
        <v>40190.052252055029</v>
      </c>
      <c r="BZ30" s="79">
        <f t="shared" si="68"/>
        <v>0.23917540439396884</v>
      </c>
      <c r="CA30" s="79">
        <f t="shared" si="69"/>
        <v>0.27902000650821146</v>
      </c>
      <c r="CB30" s="79">
        <f t="shared" si="70"/>
        <v>0.72097999349178854</v>
      </c>
      <c r="CC30" s="79">
        <f t="shared" si="19"/>
        <v>0.10701871861434542</v>
      </c>
      <c r="CD30" s="33"/>
      <c r="CF30" s="36">
        <v>39253.094431321973</v>
      </c>
      <c r="CG30" s="36">
        <v>40405.094431321973</v>
      </c>
      <c r="CH30" s="81">
        <f t="shared" si="100"/>
        <v>936.957820733056</v>
      </c>
      <c r="CI30" s="36">
        <f t="shared" si="101"/>
        <v>936.957820733056</v>
      </c>
      <c r="CJ30" s="36">
        <v>29608.622431321975</v>
      </c>
      <c r="CK30" s="81">
        <f t="shared" si="73"/>
        <v>968.95782073305236</v>
      </c>
      <c r="CM30" s="33">
        <f t="shared" si="84"/>
        <v>2009</v>
      </c>
      <c r="CN30" s="96">
        <f t="shared" si="91"/>
        <v>40190.052252055029</v>
      </c>
      <c r="CO30" s="97">
        <f t="shared" si="92"/>
        <v>16750.141279123476</v>
      </c>
      <c r="CP30" s="97">
        <f t="shared" si="93"/>
        <v>25190.052252055029</v>
      </c>
      <c r="CQ30" s="62">
        <f t="shared" si="94"/>
        <v>30577.580252055028</v>
      </c>
      <c r="CR30" s="98" t="str">
        <f t="shared" si="85"/>
        <v>Y</v>
      </c>
      <c r="CS30" s="98" t="str">
        <f t="shared" si="95"/>
        <v>Y</v>
      </c>
      <c r="CT30" s="99">
        <f t="shared" si="102"/>
        <v>8439.9109729315551</v>
      </c>
      <c r="CU30" s="100">
        <f t="shared" si="103"/>
        <v>8439.9109729315551</v>
      </c>
      <c r="CV30" s="100"/>
      <c r="CW30" s="100"/>
      <c r="CX30" s="101">
        <f t="shared" si="96"/>
        <v>5518.4</v>
      </c>
      <c r="CY30" s="102">
        <f t="shared" si="86"/>
        <v>-2921.5109729315554</v>
      </c>
      <c r="CZ30" s="79">
        <v>0.1</v>
      </c>
      <c r="DA30" s="103">
        <f t="shared" si="97"/>
        <v>-843.99109729315558</v>
      </c>
      <c r="DB30" s="107">
        <f t="shared" si="87"/>
        <v>-843.99109729315558</v>
      </c>
      <c r="DC30" s="33"/>
      <c r="DD30" s="107">
        <f t="shared" si="104"/>
        <v>-1444.2599243054501</v>
      </c>
      <c r="DE30" s="105">
        <f t="shared" si="98"/>
        <v>-843.99109729315558</v>
      </c>
      <c r="DF30" s="105">
        <f t="shared" si="99"/>
        <v>843.99109729315558</v>
      </c>
      <c r="DH30" s="66">
        <f t="shared" si="20"/>
        <v>0.13333887830385172</v>
      </c>
      <c r="DK30" s="106">
        <f t="shared" si="88"/>
        <v>3.3990301665511001E-2</v>
      </c>
      <c r="DL30" s="106">
        <f t="shared" si="89"/>
        <v>3.274442122509829E-2</v>
      </c>
      <c r="DS30" s="14">
        <f t="shared" si="44"/>
        <v>30577.580252055028</v>
      </c>
      <c r="DT30" s="14">
        <v>27829.656551783522</v>
      </c>
      <c r="DU30" s="14">
        <f t="shared" si="77"/>
        <v>-2747.9237002715054</v>
      </c>
      <c r="DW30" s="14">
        <f t="shared" si="45"/>
        <v>40190.052252055029</v>
      </c>
      <c r="DX30" s="14">
        <v>36851.656551783526</v>
      </c>
      <c r="DY30" s="14">
        <f t="shared" si="78"/>
        <v>-3338.3957002715033</v>
      </c>
      <c r="EC30" s="3">
        <f t="shared" si="90"/>
        <v>0.50933457416504857</v>
      </c>
      <c r="ED30" s="3">
        <f t="shared" si="90"/>
        <v>0.49066542583495149</v>
      </c>
      <c r="EG30" s="14">
        <f t="shared" si="47"/>
        <v>4094.0720000000001</v>
      </c>
      <c r="EI30" s="89">
        <f t="shared" si="81"/>
        <v>2.0294575669761201</v>
      </c>
      <c r="EJ30" s="89">
        <f t="shared" si="48"/>
        <v>0.13333887830385172</v>
      </c>
      <c r="EL30" s="67"/>
      <c r="EM30" s="67">
        <f t="shared" si="49"/>
        <v>30.577580252055029</v>
      </c>
      <c r="EN30" s="67">
        <f t="shared" si="22"/>
        <v>5.5183999999999997</v>
      </c>
      <c r="EO30" s="67">
        <f t="shared" si="23"/>
        <v>4.0940719999999997</v>
      </c>
      <c r="EP30" s="67">
        <f t="shared" si="24"/>
        <v>1.1519999999999999</v>
      </c>
      <c r="ET30" s="66">
        <f t="shared" si="25"/>
        <v>0.13178914261376667</v>
      </c>
      <c r="EW30" s="14">
        <f t="shared" si="27"/>
        <v>4094.0720000000001</v>
      </c>
      <c r="EY30" s="14">
        <f t="shared" si="50"/>
        <v>1219</v>
      </c>
      <c r="EZ30" s="14">
        <f t="shared" si="51"/>
        <v>1412</v>
      </c>
      <c r="FB30" s="14">
        <f t="shared" si="52"/>
        <v>36300.172795050043</v>
      </c>
      <c r="FC30" s="66">
        <f t="shared" si="53"/>
        <v>0.88216303434393617</v>
      </c>
      <c r="FE30" s="14">
        <f t="shared" si="26"/>
        <v>31000</v>
      </c>
    </row>
    <row r="31" spans="2:161" x14ac:dyDescent="0.2">
      <c r="B31" s="4">
        <v>2010</v>
      </c>
      <c r="C31" s="71">
        <f t="shared" si="54"/>
        <v>17801.2</v>
      </c>
      <c r="D31" s="71">
        <f t="shared" si="82"/>
        <v>15566.2</v>
      </c>
      <c r="E31" s="71">
        <f>'Bayesian Sum (10Feb26)'!H26</f>
        <v>2235</v>
      </c>
      <c r="G31" s="14">
        <f>'[1]Data-Nisgaa &amp; Other FN Catch'!BI23</f>
        <v>88</v>
      </c>
      <c r="H31" s="14">
        <f>'[1]Data-SF-FW'!U14</f>
        <v>534</v>
      </c>
      <c r="I31" s="14">
        <f>'Data-Chin-Nisga''a'!N25</f>
        <v>1719.8</v>
      </c>
      <c r="J31" s="14">
        <f t="shared" si="55"/>
        <v>2341.8000000000002</v>
      </c>
      <c r="L31" s="72">
        <f>'Bayesian Sum (10Feb26)'!K26</f>
        <v>20143</v>
      </c>
      <c r="M31" s="73">
        <f t="shared" si="28"/>
        <v>2.6510450280494466E-2</v>
      </c>
      <c r="N31" s="56">
        <f>'Data-Coastal-Chin-Esc (new)'!J38</f>
        <v>586.51750323218971</v>
      </c>
      <c r="O31" s="74">
        <f t="shared" si="56"/>
        <v>4.003295946371872</v>
      </c>
      <c r="P31" s="14">
        <f>'Data-Coastal-Chin-Esc (new)'!AL38</f>
        <v>2348.0031431655766</v>
      </c>
      <c r="R31" s="5">
        <f>SUM('[1]Data-SF-FW'!C14:H14)</f>
        <v>13</v>
      </c>
      <c r="S31" s="14">
        <f>'Data-Chin-Nisga''a'!P25+'Data-Chin-Nisga''a'!Q25+'Data-Chin-Nisga''a'!O25</f>
        <v>2923</v>
      </c>
      <c r="T31" s="14">
        <f t="shared" si="57"/>
        <v>2936</v>
      </c>
      <c r="U31" s="73">
        <f t="shared" si="83"/>
        <v>2.4602559172990706E-3</v>
      </c>
      <c r="V31" s="14">
        <f t="shared" si="3"/>
        <v>20149.203143165578</v>
      </c>
      <c r="X31" s="14">
        <f t="shared" si="29"/>
        <v>88</v>
      </c>
      <c r="Y31" s="14">
        <f t="shared" si="30"/>
        <v>547</v>
      </c>
      <c r="Z31" s="14">
        <f t="shared" si="30"/>
        <v>4642.8</v>
      </c>
      <c r="AA31" s="14">
        <f t="shared" si="4"/>
        <v>5277.8</v>
      </c>
      <c r="AC31" s="14">
        <f>'A3.1b CF-tidal-Harvests (Chin)'!G25</f>
        <v>973.32</v>
      </c>
      <c r="AD31" s="14">
        <f>'A3.1b CF-tidal-Harvests (Chin)'!L25</f>
        <v>399</v>
      </c>
      <c r="AE31" s="14">
        <f t="shared" si="58"/>
        <v>1372.3200000000002</v>
      </c>
      <c r="AJ31" s="14">
        <f t="shared" si="31"/>
        <v>26799.323143165577</v>
      </c>
      <c r="AK31" s="3">
        <v>805</v>
      </c>
      <c r="AL31" s="14">
        <f t="shared" si="59"/>
        <v>27604.323143165577</v>
      </c>
      <c r="AM31" s="109">
        <v>783</v>
      </c>
      <c r="AN31" s="14">
        <f>'[1]Data-FW Catch Rates - new'!CE25</f>
        <v>18773</v>
      </c>
      <c r="AO31" s="76">
        <f t="shared" si="32"/>
        <v>4.6875832312363499E-3</v>
      </c>
      <c r="AP31" s="60">
        <f t="shared" si="33"/>
        <v>21</v>
      </c>
      <c r="AQ31" s="59"/>
      <c r="AR31" s="77">
        <f t="shared" si="34"/>
        <v>0.27007074077981075</v>
      </c>
      <c r="AS31" s="61">
        <f t="shared" si="60"/>
        <v>8.5379536315345284E-2</v>
      </c>
      <c r="AT31" s="61">
        <f t="shared" si="35"/>
        <v>2.6510450280494466E-2</v>
      </c>
      <c r="AU31" s="61">
        <f t="shared" si="36"/>
        <v>0.11625874993794372</v>
      </c>
      <c r="AV31" s="61"/>
      <c r="AW31" s="33"/>
      <c r="AX31" s="61">
        <f t="shared" si="37"/>
        <v>0.16819104659515946</v>
      </c>
      <c r="AY31" s="61">
        <f t="shared" si="38"/>
        <v>3.5259694467132036E-2</v>
      </c>
      <c r="AZ31" s="61">
        <f t="shared" si="39"/>
        <v>3.4269994416951159E-2</v>
      </c>
      <c r="BA31" s="61">
        <f t="shared" si="40"/>
        <v>3.1879064573908057E-3</v>
      </c>
      <c r="BB31" s="61">
        <f t="shared" si="61"/>
        <v>0.24090864193663347</v>
      </c>
      <c r="BC31" s="61">
        <f t="shared" si="62"/>
        <v>2.9162098843177255E-2</v>
      </c>
      <c r="BD31" s="78">
        <f t="shared" si="41"/>
        <v>0.27007074077981075</v>
      </c>
      <c r="BE31" s="17"/>
      <c r="BF31" s="17"/>
      <c r="BG31" s="22">
        <f>'[1]Data-PSC CH Tables'!C25</f>
        <v>18381</v>
      </c>
      <c r="BH31" s="22">
        <f>'[1]Data-PSC CH Tables'!AG25</f>
        <v>27379.258099143466</v>
      </c>
      <c r="BI31" s="22">
        <f>'[1]Data-PSC CH Tables'!AI25</f>
        <v>28184.258099143466</v>
      </c>
      <c r="BJ31" s="17"/>
      <c r="BK31" s="22">
        <f t="shared" si="63"/>
        <v>579.79999999999927</v>
      </c>
      <c r="BL31" s="22">
        <f t="shared" si="64"/>
        <v>579.93495597788933</v>
      </c>
      <c r="BM31" s="22">
        <f t="shared" si="65"/>
        <v>579.93495597788933</v>
      </c>
      <c r="BO31" s="33"/>
      <c r="BP31" s="33"/>
      <c r="BQ31" s="33"/>
      <c r="BS31" s="62">
        <f t="shared" si="66"/>
        <v>973.32</v>
      </c>
      <c r="BT31" s="62">
        <f t="shared" si="10"/>
        <v>4642.8</v>
      </c>
      <c r="BU31" s="62">
        <f t="shared" si="11"/>
        <v>88</v>
      </c>
      <c r="BV31" s="62">
        <f t="shared" si="12"/>
        <v>399</v>
      </c>
      <c r="BW31" s="62">
        <f t="shared" si="13"/>
        <v>547</v>
      </c>
      <c r="BX31" s="62">
        <f t="shared" si="67"/>
        <v>6650.12</v>
      </c>
      <c r="BY31" s="62">
        <f t="shared" si="15"/>
        <v>26799.323143165577</v>
      </c>
      <c r="BZ31" s="79">
        <f t="shared" si="68"/>
        <v>0.24814507308539724</v>
      </c>
      <c r="CA31" s="79">
        <f t="shared" si="69"/>
        <v>0.20636018598160638</v>
      </c>
      <c r="CB31" s="79">
        <f t="shared" si="70"/>
        <v>0.79363981401839367</v>
      </c>
      <c r="CC31" s="79">
        <f t="shared" si="19"/>
        <v>0.10797948255695415</v>
      </c>
      <c r="CD31" s="33"/>
      <c r="CF31" s="36">
        <v>27401.8964397975</v>
      </c>
      <c r="CG31" s="36">
        <v>28206.8964397975</v>
      </c>
      <c r="CH31" s="81">
        <f t="shared" si="100"/>
        <v>-602.57329663192286</v>
      </c>
      <c r="CI31" s="36">
        <f t="shared" si="101"/>
        <v>-602.57329663192286</v>
      </c>
      <c r="CJ31" s="36">
        <v>20751.776439797501</v>
      </c>
      <c r="CK31" s="81">
        <f t="shared" si="73"/>
        <v>-602.57329663192286</v>
      </c>
      <c r="CM31" s="33">
        <f t="shared" si="84"/>
        <v>2010</v>
      </c>
      <c r="CN31" s="96">
        <f t="shared" si="91"/>
        <v>26799.323143165577</v>
      </c>
      <c r="CO31" s="97">
        <f t="shared" si="92"/>
        <v>6171.4652831008061</v>
      </c>
      <c r="CP31" s="97">
        <f t="shared" si="93"/>
        <v>11799.323143165577</v>
      </c>
      <c r="CQ31" s="62">
        <f t="shared" si="94"/>
        <v>20149.203143165578</v>
      </c>
      <c r="CR31" s="98" t="str">
        <f t="shared" si="85"/>
        <v>Y</v>
      </c>
      <c r="CS31" s="98" t="str">
        <f t="shared" si="95"/>
        <v>Y</v>
      </c>
      <c r="CT31" s="99">
        <f t="shared" si="102"/>
        <v>5627.8578600647706</v>
      </c>
      <c r="CU31" s="100">
        <f t="shared" si="103"/>
        <v>5627.8578600647706</v>
      </c>
      <c r="CV31" s="100"/>
      <c r="CW31" s="100"/>
      <c r="CX31" s="101">
        <f t="shared" si="96"/>
        <v>4642.8</v>
      </c>
      <c r="CY31" s="102">
        <f t="shared" si="86"/>
        <v>-985.05786006477047</v>
      </c>
      <c r="CZ31" s="79">
        <v>0.1</v>
      </c>
      <c r="DA31" s="103">
        <f t="shared" si="97"/>
        <v>-562.78578600647711</v>
      </c>
      <c r="DB31" s="107">
        <f t="shared" si="87"/>
        <v>-562.78578600647711</v>
      </c>
      <c r="DC31" s="33"/>
      <c r="DD31" s="107">
        <f t="shared" si="104"/>
        <v>-2007.0457103119272</v>
      </c>
      <c r="DE31" s="105">
        <f t="shared" si="98"/>
        <v>-562.78578600647711</v>
      </c>
      <c r="DF31" s="105">
        <f t="shared" si="99"/>
        <v>562.78578600647711</v>
      </c>
      <c r="DH31" s="66">
        <f t="shared" si="20"/>
        <v>0.11653081893523901</v>
      </c>
      <c r="DK31" s="106">
        <f t="shared" si="88"/>
        <v>3.6318827710699789E-2</v>
      </c>
      <c r="DL31" s="106">
        <f t="shared" si="89"/>
        <v>1.4888435721622092E-2</v>
      </c>
      <c r="DS31" s="14">
        <f t="shared" si="44"/>
        <v>20149.203143165578</v>
      </c>
      <c r="DT31" s="14">
        <v>19861.298355492483</v>
      </c>
      <c r="DU31" s="14">
        <f t="shared" si="77"/>
        <v>-287.90478767309469</v>
      </c>
      <c r="DW31" s="14">
        <f t="shared" si="45"/>
        <v>26799.323143165577</v>
      </c>
      <c r="DX31" s="14">
        <v>26393.298355492483</v>
      </c>
      <c r="DY31" s="14">
        <f t="shared" si="78"/>
        <v>-406.02478767309367</v>
      </c>
      <c r="EC31" s="3">
        <f t="shared" si="90"/>
        <v>0.70925148653375303</v>
      </c>
      <c r="ED31" s="3">
        <f t="shared" si="90"/>
        <v>0.29074851346624692</v>
      </c>
      <c r="EG31" s="14">
        <f t="shared" si="47"/>
        <v>2007.3200000000002</v>
      </c>
      <c r="EI31" s="89">
        <f t="shared" si="81"/>
        <v>1.168160767744068</v>
      </c>
      <c r="EJ31" s="89">
        <f t="shared" si="48"/>
        <v>0.11653081893523901</v>
      </c>
      <c r="EL31" s="67"/>
      <c r="EM31" s="67">
        <f t="shared" si="49"/>
        <v>20.149203143165579</v>
      </c>
      <c r="EN31" s="67">
        <f t="shared" si="22"/>
        <v>4.6428000000000003</v>
      </c>
      <c r="EO31" s="67">
        <f t="shared" si="23"/>
        <v>2.00732</v>
      </c>
      <c r="EP31" s="67">
        <f t="shared" si="24"/>
        <v>0.80500000000000005</v>
      </c>
      <c r="ET31" s="66">
        <f t="shared" si="25"/>
        <v>0.11625874993794372</v>
      </c>
      <c r="EW31" s="14">
        <f t="shared" si="27"/>
        <v>2007.3199999999997</v>
      </c>
      <c r="EY31" s="14">
        <f t="shared" si="50"/>
        <v>622</v>
      </c>
      <c r="EZ31" s="14">
        <f t="shared" si="51"/>
        <v>635</v>
      </c>
      <c r="FB31" s="14">
        <f t="shared" si="52"/>
        <v>24710.859650636288</v>
      </c>
      <c r="FC31" s="66">
        <f t="shared" si="53"/>
        <v>0.89560256035626973</v>
      </c>
      <c r="FE31" s="14">
        <f t="shared" si="26"/>
        <v>20000</v>
      </c>
    </row>
    <row r="32" spans="2:161" x14ac:dyDescent="0.2">
      <c r="B32" s="4">
        <v>2011</v>
      </c>
      <c r="C32" s="71">
        <f t="shared" si="54"/>
        <v>10555.2</v>
      </c>
      <c r="D32" s="71">
        <f t="shared" si="82"/>
        <v>9282.2000000000007</v>
      </c>
      <c r="E32" s="71">
        <f>'Bayesian Sum (10Feb26)'!H27</f>
        <v>1273</v>
      </c>
      <c r="F32" s="110"/>
      <c r="G32" s="14">
        <f>'[1]Data-Nisgaa &amp; Other FN Catch'!BI24</f>
        <v>103</v>
      </c>
      <c r="H32" s="14">
        <f>'[1]Data-SF-FW'!U15</f>
        <v>542</v>
      </c>
      <c r="I32" s="14">
        <f>'Data-Chin-Nisga''a'!N26</f>
        <v>1236.8</v>
      </c>
      <c r="J32" s="14">
        <f t="shared" si="55"/>
        <v>1881.8</v>
      </c>
      <c r="L32" s="72">
        <f>'Bayesian Sum (10Feb26)'!K27</f>
        <v>12437</v>
      </c>
      <c r="M32" s="73">
        <f t="shared" si="28"/>
        <v>4.3579641392618801E-2</v>
      </c>
      <c r="N32" s="56">
        <f>'Data-Coastal-Chin-Esc (new)'!J39</f>
        <v>0</v>
      </c>
      <c r="O32" s="74" t="s">
        <v>107</v>
      </c>
      <c r="P32" s="14">
        <f>'Data-Coastal-Chin-Esc (new)'!AL39</f>
        <v>1623.9548458321838</v>
      </c>
      <c r="Q32" s="110"/>
      <c r="R32" s="5">
        <f>SUM('[1]Data-SF-FW'!C15:H15)</f>
        <v>27</v>
      </c>
      <c r="S32" s="14">
        <f>'Data-Chin-Nisga''a'!P26+'Data-Chin-Nisga''a'!Q26+'Data-Chin-Nisga''a'!O26</f>
        <v>3368.2</v>
      </c>
      <c r="T32" s="14">
        <f t="shared" si="57"/>
        <v>3395.2</v>
      </c>
      <c r="U32" s="73">
        <f t="shared" si="83"/>
        <v>5.3793917162010488E-3</v>
      </c>
      <c r="V32" s="14">
        <f t="shared" si="3"/>
        <v>12179.154845832185</v>
      </c>
      <c r="W32" s="110"/>
      <c r="X32" s="111">
        <f t="shared" si="29"/>
        <v>103</v>
      </c>
      <c r="Y32" s="111">
        <f t="shared" si="30"/>
        <v>569</v>
      </c>
      <c r="Z32" s="111">
        <f t="shared" si="30"/>
        <v>4605</v>
      </c>
      <c r="AA32" s="111">
        <f t="shared" si="4"/>
        <v>5277</v>
      </c>
      <c r="AB32" s="110"/>
      <c r="AC32" s="14">
        <f>'A3.1b CF-tidal-Harvests (Chin)'!G26</f>
        <v>1371.232</v>
      </c>
      <c r="AD32" s="14">
        <f>'A3.1b CF-tidal-Harvests (Chin)'!L26</f>
        <v>898</v>
      </c>
      <c r="AE32" s="14">
        <f t="shared" si="58"/>
        <v>2269.232</v>
      </c>
      <c r="AF32" s="110"/>
      <c r="AJ32" s="14">
        <f t="shared" si="31"/>
        <v>19725.386845832185</v>
      </c>
      <c r="AK32" s="112">
        <v>1532</v>
      </c>
      <c r="AL32" s="111">
        <f t="shared" si="59"/>
        <v>21257.386845832185</v>
      </c>
      <c r="AM32" s="113">
        <v>1510</v>
      </c>
      <c r="AN32" s="14">
        <f>'[1]Data-FW Catch Rates - new'!CE26</f>
        <v>10204.537598204266</v>
      </c>
      <c r="AO32" s="76">
        <f t="shared" si="32"/>
        <v>1.0093548973559109E-2</v>
      </c>
      <c r="AP32" s="60">
        <f t="shared" si="33"/>
        <v>7</v>
      </c>
      <c r="AQ32" s="59"/>
      <c r="AR32" s="77">
        <f>SUM(AE32,AA32,AK32)/AL32</f>
        <v>0.42706246378443818</v>
      </c>
      <c r="AS32" s="61">
        <f t="shared" si="60"/>
        <v>9.9445203827289538E-2</v>
      </c>
      <c r="AT32" s="61">
        <f t="shared" si="35"/>
        <v>4.3579641392618801E-2</v>
      </c>
      <c r="AU32" s="61">
        <f t="shared" si="36"/>
        <v>0.15130658518935433</v>
      </c>
      <c r="AV32" s="61"/>
      <c r="AW32" s="33"/>
      <c r="AX32" s="61">
        <f t="shared" si="37"/>
        <v>0.21663057803847025</v>
      </c>
      <c r="AY32" s="61">
        <f>AC32/$AL32</f>
        <v>6.4506141321356708E-2</v>
      </c>
      <c r="AZ32" s="61">
        <f t="shared" si="39"/>
        <v>6.9011304665024073E-2</v>
      </c>
      <c r="BA32" s="61">
        <f t="shared" si="40"/>
        <v>4.8453744924999856E-3</v>
      </c>
      <c r="BB32" s="61">
        <f>SUM(AA32,AE32)/AL32</f>
        <v>0.35499339851735101</v>
      </c>
      <c r="BC32" s="61">
        <f>AK32/AL32</f>
        <v>7.2069065267087173E-2</v>
      </c>
      <c r="BD32" s="78">
        <f t="shared" si="41"/>
        <v>0.42706246378443818</v>
      </c>
      <c r="BE32" s="17"/>
      <c r="BF32" s="17"/>
      <c r="BG32" s="22">
        <f>'[1]Data-PSC CH Tables'!C26</f>
        <v>9599.5723199092463</v>
      </c>
      <c r="BH32" s="22">
        <f>'[1]Data-PSC CH Tables'!AG26</f>
        <v>18372.131587188611</v>
      </c>
      <c r="BI32" s="22">
        <f>'[1]Data-PSC CH Tables'!AI26</f>
        <v>19904.131587188611</v>
      </c>
      <c r="BJ32" s="17"/>
      <c r="BK32" s="22">
        <f t="shared" si="63"/>
        <v>-955.62768009075444</v>
      </c>
      <c r="BL32" s="22">
        <f t="shared" si="64"/>
        <v>-1353.2552586435741</v>
      </c>
      <c r="BM32" s="22">
        <f t="shared" si="65"/>
        <v>-1353.2552586435741</v>
      </c>
      <c r="BO32" s="33"/>
      <c r="BP32" s="33"/>
      <c r="BQ32" s="33"/>
      <c r="BS32" s="62">
        <f>AC32</f>
        <v>1371.232</v>
      </c>
      <c r="BT32" s="62">
        <f t="shared" si="10"/>
        <v>4605</v>
      </c>
      <c r="BU32" s="62">
        <f t="shared" si="11"/>
        <v>103</v>
      </c>
      <c r="BV32" s="62">
        <f>AD32</f>
        <v>898</v>
      </c>
      <c r="BW32" s="62">
        <f t="shared" si="13"/>
        <v>569</v>
      </c>
      <c r="BX32" s="62">
        <f>SUM(BS32:BW32)</f>
        <v>7546.232</v>
      </c>
      <c r="BY32" s="62">
        <f>AJ32</f>
        <v>19725.386845832185</v>
      </c>
      <c r="BZ32" s="79">
        <f>BX32/BY32</f>
        <v>0.38256446167464936</v>
      </c>
      <c r="CA32" s="79">
        <f>SUM(BV32,BS32)/BX32</f>
        <v>0.30071060629993884</v>
      </c>
      <c r="CB32" s="79">
        <f>SUM(BT32:BU32,BW32)/BX32</f>
        <v>0.69928939370006116</v>
      </c>
      <c r="CC32" s="79">
        <f>AK32/(BX32+AK32)</f>
        <v>0.16875532592689854</v>
      </c>
      <c r="CD32" s="33"/>
      <c r="CF32" s="36">
        <v>18383.954577684832</v>
      </c>
      <c r="CG32" s="36">
        <v>19915.954577684832</v>
      </c>
      <c r="CH32" s="81">
        <f t="shared" si="100"/>
        <v>1341.4322681473532</v>
      </c>
      <c r="CI32" s="36">
        <f t="shared" si="101"/>
        <v>1341.4322681473532</v>
      </c>
      <c r="CJ32" s="36">
        <v>10837.72257768483</v>
      </c>
      <c r="CK32" s="81">
        <f t="shared" si="73"/>
        <v>1341.432268147355</v>
      </c>
      <c r="CM32" s="33">
        <f t="shared" si="84"/>
        <v>2011</v>
      </c>
      <c r="CN32" s="96">
        <f t="shared" si="91"/>
        <v>19725.386845832185</v>
      </c>
      <c r="CO32" s="97">
        <f t="shared" si="92"/>
        <v>583.0556082074263</v>
      </c>
      <c r="CP32" s="97">
        <f t="shared" si="93"/>
        <v>4725.3868458321849</v>
      </c>
      <c r="CQ32" s="62">
        <f t="shared" si="94"/>
        <v>12179.154845832185</v>
      </c>
      <c r="CR32" s="98" t="str">
        <f t="shared" si="85"/>
        <v>Y</v>
      </c>
      <c r="CS32" s="114" t="str">
        <f t="shared" si="95"/>
        <v>N</v>
      </c>
      <c r="CT32" s="99">
        <f t="shared" si="102"/>
        <v>4142.3312376247586</v>
      </c>
      <c r="CU32" s="100">
        <f t="shared" si="103"/>
        <v>7083.5632376247586</v>
      </c>
      <c r="CV32" s="100">
        <f t="shared" ref="CV32:CV44" si="105">CX32-CT32-(BX32-CX32)</f>
        <v>-2478.5632376247586</v>
      </c>
      <c r="CW32" s="100"/>
      <c r="CX32" s="101">
        <f t="shared" si="96"/>
        <v>4605</v>
      </c>
      <c r="CY32" s="102">
        <f t="shared" si="86"/>
        <v>-2478.5632376247586</v>
      </c>
      <c r="CZ32" s="79">
        <v>0.1</v>
      </c>
      <c r="DA32" s="103">
        <f t="shared" si="97"/>
        <v>-414.23312376247588</v>
      </c>
      <c r="DB32" s="107">
        <f>IF(CX32&gt;CT32,CY32,(IF(CY32*-1&gt;(CT32*CZ32),CT32*CZ32*-1,CY32)))</f>
        <v>-2478.5632376247586</v>
      </c>
      <c r="DC32" s="33"/>
      <c r="DD32" s="107">
        <f t="shared" si="104"/>
        <v>-4485.6089479366856</v>
      </c>
      <c r="DE32" s="105">
        <f t="shared" si="98"/>
        <v>-2478.5632376247586</v>
      </c>
      <c r="DF32" s="105">
        <f t="shared" si="99"/>
        <v>2478.5632376247586</v>
      </c>
      <c r="DH32" s="66">
        <f t="shared" si="20"/>
        <v>0.13333887830385172</v>
      </c>
      <c r="DK32" s="106">
        <f>AC32/AJ32</f>
        <v>6.9516101799024038E-2</v>
      </c>
      <c r="DL32" s="106">
        <f>AD32/AJ32</f>
        <v>4.5525089419969481E-2</v>
      </c>
      <c r="DS32" s="14">
        <f t="shared" si="44"/>
        <v>12179.154845832185</v>
      </c>
      <c r="DT32" s="14">
        <v>19861.298355492483</v>
      </c>
      <c r="DU32" s="14">
        <f t="shared" si="77"/>
        <v>7682.1435096602982</v>
      </c>
      <c r="DW32" s="14">
        <f>AJ32</f>
        <v>19725.386845832185</v>
      </c>
      <c r="DX32" s="14">
        <v>26393.298355492483</v>
      </c>
      <c r="DY32" s="14">
        <f t="shared" si="78"/>
        <v>6667.9115096602982</v>
      </c>
      <c r="EC32" s="3">
        <f>AC32/$AE32</f>
        <v>0.60427140107313837</v>
      </c>
      <c r="ED32" s="3">
        <f>AD32/$AE32</f>
        <v>0.39572859892686163</v>
      </c>
      <c r="EG32" s="14">
        <f t="shared" si="47"/>
        <v>2941.232</v>
      </c>
      <c r="EI32" s="89">
        <f t="shared" si="81"/>
        <v>0.80753597505329877</v>
      </c>
      <c r="EJ32" s="89">
        <f t="shared" si="48"/>
        <v>0.13333887830385172</v>
      </c>
      <c r="EL32" s="67"/>
      <c r="EM32" s="67">
        <f t="shared" si="49"/>
        <v>12.179154845832185</v>
      </c>
      <c r="EN32" s="67">
        <f t="shared" si="22"/>
        <v>4.6050000000000004</v>
      </c>
      <c r="EO32" s="67">
        <f t="shared" si="23"/>
        <v>2.9412319999999998</v>
      </c>
      <c r="EP32" s="67">
        <f>AK32/1000</f>
        <v>1.532</v>
      </c>
      <c r="ET32" s="66">
        <f t="shared" si="25"/>
        <v>0.15130658518935433</v>
      </c>
      <c r="EW32" s="14">
        <f t="shared" si="27"/>
        <v>2941.232</v>
      </c>
      <c r="EY32" s="14">
        <f t="shared" si="50"/>
        <v>645</v>
      </c>
      <c r="EZ32" s="14">
        <f t="shared" si="51"/>
        <v>672</v>
      </c>
      <c r="FB32" s="14">
        <f t="shared" si="52"/>
        <v>18778.406167763194</v>
      </c>
      <c r="FC32" s="66">
        <f t="shared" si="53"/>
        <v>0.88450607632002021</v>
      </c>
      <c r="FE32" s="14">
        <f t="shared" si="26"/>
        <v>12000</v>
      </c>
    </row>
    <row r="33" spans="2:161" ht="13.5" thickBot="1" x14ac:dyDescent="0.25">
      <c r="B33" s="4">
        <v>2012</v>
      </c>
      <c r="C33" s="71">
        <f t="shared" si="54"/>
        <v>9380.7999999999993</v>
      </c>
      <c r="D33" s="71">
        <f t="shared" si="82"/>
        <v>8178.7999999999993</v>
      </c>
      <c r="E33" s="71">
        <f>'Bayesian Sum (10Feb26)'!H28</f>
        <v>1202</v>
      </c>
      <c r="F33" s="110"/>
      <c r="G33" s="14">
        <f>'[1]Data-Nisgaa &amp; Other FN Catch'!BI25</f>
        <v>105</v>
      </c>
      <c r="H33" s="14">
        <f>'[1]Data-SF-FW'!U16</f>
        <v>532</v>
      </c>
      <c r="I33" s="14">
        <f>'Data-Chin-Nisga''a'!N27</f>
        <v>1467.2</v>
      </c>
      <c r="J33" s="14">
        <f t="shared" si="55"/>
        <v>2104.1999999999998</v>
      </c>
      <c r="L33" s="72">
        <f>'Bayesian Sum (10Feb26)'!K28</f>
        <v>11485</v>
      </c>
      <c r="M33" s="73">
        <f t="shared" si="28"/>
        <v>4.6321288637353068E-2</v>
      </c>
      <c r="N33" s="56">
        <f>'Data-Coastal-Chin-Esc (new)'!J40</f>
        <v>865.11331726747983</v>
      </c>
      <c r="O33" s="74">
        <f t="shared" si="56"/>
        <v>2.1330626898444702</v>
      </c>
      <c r="P33" s="14">
        <f>'Data-Coastal-Chin-Esc (new)'!AL40</f>
        <v>1845.3409395508429</v>
      </c>
      <c r="Q33" s="110"/>
      <c r="R33" s="5">
        <f>SUM('[1]Data-SF-FW'!C16:H16)</f>
        <v>18</v>
      </c>
      <c r="S33" s="14">
        <f>'Data-Chin-Nisga''a'!P27+'Data-Chin-Nisga''a'!Q27+'Data-Chin-Nisga''a'!O27</f>
        <v>2146.4</v>
      </c>
      <c r="T33" s="14">
        <f t="shared" si="57"/>
        <v>2164.4</v>
      </c>
      <c r="U33" s="73">
        <f t="shared" si="83"/>
        <v>4.4890680648352055E-3</v>
      </c>
      <c r="V33" s="14">
        <f t="shared" si="3"/>
        <v>11226.140939550842</v>
      </c>
      <c r="W33" s="110"/>
      <c r="X33" s="111">
        <f t="shared" si="29"/>
        <v>105</v>
      </c>
      <c r="Y33" s="111">
        <f t="shared" si="30"/>
        <v>550</v>
      </c>
      <c r="Z33" s="111">
        <f t="shared" si="30"/>
        <v>3613.6000000000004</v>
      </c>
      <c r="AA33" s="111">
        <f t="shared" si="4"/>
        <v>4268.6000000000004</v>
      </c>
      <c r="AB33" s="110"/>
      <c r="AC33" s="14">
        <f>'A3.1b CF-tidal-Harvests (Chin)'!G27</f>
        <v>1247.576</v>
      </c>
      <c r="AD33" s="14">
        <f>'A3.1b CF-tidal-Harvests (Chin)'!L27</f>
        <v>494</v>
      </c>
      <c r="AE33" s="14">
        <f t="shared" si="58"/>
        <v>1741.576</v>
      </c>
      <c r="AF33" s="110"/>
      <c r="AJ33" s="14">
        <f t="shared" si="31"/>
        <v>17236.316939550841</v>
      </c>
      <c r="AK33" s="111">
        <v>1185</v>
      </c>
      <c r="AL33" s="111">
        <f t="shared" si="59"/>
        <v>18421.316939550841</v>
      </c>
      <c r="AM33" s="113">
        <v>1172</v>
      </c>
      <c r="AN33" s="14">
        <f>'[1]Data-FW Catch Rates - new'!CE27</f>
        <v>8995.6589262187081</v>
      </c>
      <c r="AO33" s="76">
        <f t="shared" si="32"/>
        <v>1.1672296700130267E-2</v>
      </c>
      <c r="AP33" s="60">
        <f t="shared" si="33"/>
        <v>2</v>
      </c>
      <c r="AQ33" s="59"/>
      <c r="AR33" s="77">
        <f t="shared" si="34"/>
        <v>0.39058966433349024</v>
      </c>
      <c r="AS33" s="61">
        <f t="shared" si="60"/>
        <v>0.12774923813670006</v>
      </c>
      <c r="AT33" s="61">
        <f t="shared" si="35"/>
        <v>4.6321288637353068E-2</v>
      </c>
      <c r="AU33" s="61">
        <f t="shared" si="36"/>
        <v>0.18321288637353067</v>
      </c>
      <c r="AV33" s="61"/>
      <c r="AW33" s="33"/>
      <c r="AX33" s="61">
        <f t="shared" si="37"/>
        <v>0.19616404255232955</v>
      </c>
      <c r="AY33" s="61">
        <f t="shared" si="38"/>
        <v>6.772458256344506E-2</v>
      </c>
      <c r="AZ33" s="61">
        <f t="shared" si="39"/>
        <v>5.6673472554967907E-2</v>
      </c>
      <c r="BA33" s="61">
        <f t="shared" si="40"/>
        <v>5.6999182167352782E-3</v>
      </c>
      <c r="BB33" s="61">
        <f t="shared" si="61"/>
        <v>0.32626201588747777</v>
      </c>
      <c r="BC33" s="61">
        <f t="shared" si="62"/>
        <v>6.4327648446012423E-2</v>
      </c>
      <c r="BD33" s="78">
        <f t="shared" si="41"/>
        <v>0.39058966433349024</v>
      </c>
      <c r="BE33" s="17"/>
      <c r="BF33" s="17"/>
      <c r="BG33" s="22">
        <f>'[1]Data-PSC CH Tables'!C27</f>
        <v>8687.6589262187081</v>
      </c>
      <c r="BH33" s="22">
        <f>'[1]Data-PSC CH Tables'!AG27</f>
        <v>15807.666976543394</v>
      </c>
      <c r="BI33" s="22">
        <f>'[1]Data-PSC CH Tables'!AI27</f>
        <v>16992.666976543394</v>
      </c>
      <c r="BJ33" s="17"/>
      <c r="BK33" s="22">
        <f t="shared" si="63"/>
        <v>-693.1410737812912</v>
      </c>
      <c r="BL33" s="22">
        <f t="shared" si="64"/>
        <v>-1428.6499630074468</v>
      </c>
      <c r="BM33" s="22">
        <f t="shared" si="65"/>
        <v>-1428.6499630074468</v>
      </c>
      <c r="BO33" s="33"/>
      <c r="BP33" s="33"/>
      <c r="BQ33" s="33"/>
      <c r="BS33" s="62">
        <f t="shared" si="66"/>
        <v>1247.576</v>
      </c>
      <c r="BT33" s="62">
        <f t="shared" si="10"/>
        <v>3613.6000000000004</v>
      </c>
      <c r="BU33" s="62">
        <f t="shared" si="11"/>
        <v>105</v>
      </c>
      <c r="BV33" s="62">
        <f t="shared" si="12"/>
        <v>494</v>
      </c>
      <c r="BW33" s="62">
        <f t="shared" si="13"/>
        <v>550</v>
      </c>
      <c r="BX33" s="62">
        <f t="shared" si="67"/>
        <v>6010.1760000000004</v>
      </c>
      <c r="BY33" s="62">
        <f t="shared" si="15"/>
        <v>17236.316939550841</v>
      </c>
      <c r="BZ33" s="79">
        <f t="shared" si="68"/>
        <v>0.3486925902487274</v>
      </c>
      <c r="CA33" s="79">
        <f t="shared" si="69"/>
        <v>0.28977121468655825</v>
      </c>
      <c r="CB33" s="79">
        <f t="shared" si="70"/>
        <v>0.7102287853134418</v>
      </c>
      <c r="CC33" s="79">
        <f t="shared" si="19"/>
        <v>0.16469367809765875</v>
      </c>
      <c r="CD33" s="33"/>
      <c r="CF33" s="36">
        <v>15818.366839568131</v>
      </c>
      <c r="CG33" s="36">
        <v>17003.366839568131</v>
      </c>
      <c r="CH33" s="81">
        <f t="shared" si="100"/>
        <v>1417.9500999827105</v>
      </c>
      <c r="CI33" s="36">
        <f t="shared" si="101"/>
        <v>1417.9500999827105</v>
      </c>
      <c r="CJ33" s="36">
        <v>9808.1908395681312</v>
      </c>
      <c r="CK33" s="81">
        <f t="shared" si="73"/>
        <v>1417.9500999827105</v>
      </c>
      <c r="CM33" s="33">
        <f t="shared" si="84"/>
        <v>2012</v>
      </c>
      <c r="CN33" s="96">
        <f t="shared" si="91"/>
        <v>17236.316939550841</v>
      </c>
      <c r="CO33" s="97">
        <f t="shared" si="92"/>
        <v>0</v>
      </c>
      <c r="CP33" s="97">
        <f t="shared" si="93"/>
        <v>3619.6265573056767</v>
      </c>
      <c r="CQ33" s="62">
        <f t="shared" si="94"/>
        <v>11226.140939550842</v>
      </c>
      <c r="CR33" s="98" t="str">
        <f t="shared" si="85"/>
        <v>Y</v>
      </c>
      <c r="CS33" s="114" t="str">
        <f t="shared" si="95"/>
        <v>N</v>
      </c>
      <c r="CT33" s="99">
        <f t="shared" si="102"/>
        <v>3619.6265573056767</v>
      </c>
      <c r="CU33" s="100">
        <f t="shared" si="103"/>
        <v>6016.2025573056762</v>
      </c>
      <c r="CV33" s="100">
        <f t="shared" si="105"/>
        <v>-2402.6025573056763</v>
      </c>
      <c r="CW33" s="100"/>
      <c r="CX33" s="101">
        <f t="shared" si="96"/>
        <v>3613.6000000000004</v>
      </c>
      <c r="CY33" s="102">
        <f t="shared" si="86"/>
        <v>-2402.6025573056759</v>
      </c>
      <c r="CZ33" s="79">
        <v>0.1</v>
      </c>
      <c r="DA33" s="103">
        <f t="shared" si="97"/>
        <v>-361.96265573056769</v>
      </c>
      <c r="DB33" s="107">
        <f t="shared" si="87"/>
        <v>-361.96265573056769</v>
      </c>
      <c r="DC33" s="33"/>
      <c r="DD33" s="107">
        <f t="shared" si="104"/>
        <v>-4847.5716036672529</v>
      </c>
      <c r="DE33" s="105">
        <f t="shared" si="98"/>
        <v>-361.96265573056769</v>
      </c>
      <c r="DF33" s="105">
        <f t="shared" si="99"/>
        <v>361.96265573056769</v>
      </c>
      <c r="DH33" s="66">
        <f t="shared" si="20"/>
        <v>0.1643789214376882</v>
      </c>
      <c r="DK33" s="106"/>
      <c r="DL33" s="106"/>
      <c r="DS33" s="14">
        <f t="shared" si="44"/>
        <v>11226.140939550842</v>
      </c>
      <c r="DT33" s="14">
        <v>19861.298355492483</v>
      </c>
      <c r="DU33" s="14">
        <f t="shared" si="77"/>
        <v>8635.1574159416414</v>
      </c>
      <c r="DW33" s="14">
        <f t="shared" si="45"/>
        <v>17236.316939550841</v>
      </c>
      <c r="DX33" s="14">
        <v>26393.298355492483</v>
      </c>
      <c r="DY33" s="14">
        <f t="shared" si="78"/>
        <v>9156.9814159416419</v>
      </c>
      <c r="EG33" s="14">
        <f t="shared" si="47"/>
        <v>2396.576</v>
      </c>
      <c r="EJ33" s="89">
        <f t="shared" si="48"/>
        <v>0.1643789214376882</v>
      </c>
      <c r="EL33" s="67"/>
      <c r="EM33" s="67">
        <f t="shared" si="49"/>
        <v>11.226140939550842</v>
      </c>
      <c r="EN33" s="67">
        <f t="shared" si="22"/>
        <v>3.6136000000000004</v>
      </c>
      <c r="EO33" s="67">
        <f t="shared" si="23"/>
        <v>2.396576</v>
      </c>
      <c r="EP33" s="67">
        <f t="shared" si="24"/>
        <v>1.1850000000000001</v>
      </c>
      <c r="ET33" s="66">
        <f t="shared" si="25"/>
        <v>0.18321288637353067</v>
      </c>
      <c r="EW33" s="14">
        <f t="shared" si="27"/>
        <v>2396.576</v>
      </c>
      <c r="EY33" s="14">
        <f t="shared" si="50"/>
        <v>637</v>
      </c>
      <c r="EZ33" s="14">
        <f t="shared" si="51"/>
        <v>655</v>
      </c>
      <c r="FB33" s="14">
        <f t="shared" si="52"/>
        <v>15855.715619668401</v>
      </c>
      <c r="FC33" s="66">
        <f t="shared" si="53"/>
        <v>0.86156836138558512</v>
      </c>
      <c r="FE33" s="14">
        <f t="shared" si="26"/>
        <v>11000</v>
      </c>
    </row>
    <row r="34" spans="2:161" x14ac:dyDescent="0.2">
      <c r="B34" s="4">
        <v>2013</v>
      </c>
      <c r="C34" s="71">
        <f t="shared" si="54"/>
        <v>9342.4</v>
      </c>
      <c r="D34" s="71">
        <f t="shared" si="82"/>
        <v>7746.4</v>
      </c>
      <c r="E34" s="71">
        <f>'Bayesian Sum (10Feb26)'!H29</f>
        <v>1596</v>
      </c>
      <c r="F34" s="110"/>
      <c r="G34" s="14">
        <f>'[1]Data-Nisgaa &amp; Other FN Catch'!BI26</f>
        <v>52</v>
      </c>
      <c r="H34" s="14">
        <f>'[1]Data-SF-FW'!U17</f>
        <v>466</v>
      </c>
      <c r="I34" s="14">
        <f>'Data-Chin-Nisga''a'!N28</f>
        <v>1735.6</v>
      </c>
      <c r="J34" s="14">
        <f t="shared" si="55"/>
        <v>2253.6</v>
      </c>
      <c r="L34" s="72">
        <f>'Bayesian Sum (10Feb26)'!K29</f>
        <v>11596</v>
      </c>
      <c r="M34" s="73">
        <f t="shared" si="28"/>
        <v>4.0186271127975161E-2</v>
      </c>
      <c r="N34" s="56">
        <f>'Data-Coastal-Chin-Esc (new)'!J41</f>
        <v>527.86575290897076</v>
      </c>
      <c r="O34" s="74">
        <f t="shared" si="56"/>
        <v>3.6285654183789675</v>
      </c>
      <c r="P34" s="14">
        <f>'Data-Coastal-Chin-Esc (new)'!AL41</f>
        <v>1915.3954165520681</v>
      </c>
      <c r="Q34" s="110"/>
      <c r="R34" s="5">
        <f>SUM('[1]Data-SF-FW'!C17:H17)</f>
        <v>6</v>
      </c>
      <c r="S34" s="14">
        <f>'Data-Chin-Nisga''a'!P28+'Data-Chin-Nisga''a'!Q28+'Data-Chin-Nisga''a'!O28</f>
        <v>2723.2</v>
      </c>
      <c r="T34" s="14">
        <f t="shared" si="57"/>
        <v>2729.2</v>
      </c>
      <c r="U34" s="115">
        <f>R34/SUM(T34,P34)</f>
        <v>1.2918240367325948E-3</v>
      </c>
      <c r="V34" s="14">
        <f t="shared" si="3"/>
        <v>11257.795416552068</v>
      </c>
      <c r="W34" s="110"/>
      <c r="X34" s="111">
        <f t="shared" si="29"/>
        <v>52</v>
      </c>
      <c r="Y34" s="111">
        <f t="shared" si="30"/>
        <v>472</v>
      </c>
      <c r="Z34" s="111">
        <f t="shared" si="30"/>
        <v>4458.7999999999993</v>
      </c>
      <c r="AA34" s="111">
        <f t="shared" si="4"/>
        <v>4982.7999999999993</v>
      </c>
      <c r="AB34" s="110"/>
      <c r="AC34" s="14">
        <f>'A3.1b CF-tidal-Harvests (Chin)'!G28</f>
        <v>1876.0720000000001</v>
      </c>
      <c r="AD34" s="14">
        <f>'A3.1b CF-tidal-Harvests (Chin)'!L28</f>
        <v>518</v>
      </c>
      <c r="AE34" s="14">
        <f t="shared" si="58"/>
        <v>2394.0720000000001</v>
      </c>
      <c r="AF34" s="110"/>
      <c r="AJ34" s="14">
        <f t="shared" si="31"/>
        <v>18634.667416552067</v>
      </c>
      <c r="AK34" s="111">
        <v>186</v>
      </c>
      <c r="AL34" s="111">
        <f t="shared" si="59"/>
        <v>18820.667416552067</v>
      </c>
      <c r="AM34" s="113">
        <v>178</v>
      </c>
      <c r="AN34" s="14">
        <f>'[1]Data-FW Catch Rates - new'!CE28</f>
        <v>8297.8356309650062</v>
      </c>
      <c r="AO34" s="76">
        <f t="shared" si="32"/>
        <v>6.2666943902759138E-3</v>
      </c>
      <c r="AP34" s="60">
        <f t="shared" si="33"/>
        <v>3</v>
      </c>
      <c r="AQ34" s="59"/>
      <c r="AR34" s="77">
        <f t="shared" si="34"/>
        <v>0.40183867195638018</v>
      </c>
      <c r="AS34" s="61">
        <f t="shared" si="60"/>
        <v>0.14967230079337701</v>
      </c>
      <c r="AT34" s="61">
        <f t="shared" si="35"/>
        <v>4.0186271127975161E-2</v>
      </c>
      <c r="AU34" s="61">
        <f t="shared" si="36"/>
        <v>0.1943428768540876</v>
      </c>
      <c r="AV34" s="61"/>
      <c r="AW34" s="33"/>
      <c r="AX34" s="61">
        <f t="shared" si="37"/>
        <v>0.23690977058967913</v>
      </c>
      <c r="AY34" s="61">
        <f t="shared" si="38"/>
        <v>9.9681480920812915E-2</v>
      </c>
      <c r="AZ34" s="61">
        <f t="shared" si="39"/>
        <v>5.2601747753606883E-2</v>
      </c>
      <c r="BA34" s="61">
        <f t="shared" si="40"/>
        <v>2.7629200840278362E-3</v>
      </c>
      <c r="BB34" s="61">
        <f t="shared" si="61"/>
        <v>0.39195591934812679</v>
      </c>
      <c r="BC34" s="61">
        <f>AK34/AL34</f>
        <v>9.8827526082534145E-3</v>
      </c>
      <c r="BD34" s="78">
        <f t="shared" si="41"/>
        <v>0.40183867195638018</v>
      </c>
      <c r="BE34" s="17"/>
      <c r="BF34" s="17"/>
      <c r="BG34" s="22">
        <f>'[1]Data-PSC CH Tables'!C28</f>
        <v>8010.8356309650062</v>
      </c>
      <c r="BH34" s="22">
        <f>'[1]Data-PSC CH Tables'!AG28</f>
        <v>16411.076781231313</v>
      </c>
      <c r="BI34" s="22">
        <f>'[1]Data-PSC CH Tables'!AI28</f>
        <v>16597.076781231313</v>
      </c>
      <c r="BJ34" s="17"/>
      <c r="BK34" s="22">
        <f t="shared" si="63"/>
        <v>-1331.5643690349934</v>
      </c>
      <c r="BL34" s="22">
        <f t="shared" si="64"/>
        <v>-2223.5906353207538</v>
      </c>
      <c r="BM34" s="22">
        <f t="shared" si="65"/>
        <v>-2223.5906353207538</v>
      </c>
      <c r="BO34" s="33"/>
      <c r="BP34" s="33"/>
      <c r="BQ34" s="33"/>
      <c r="BS34" s="62">
        <f t="shared" si="66"/>
        <v>1876.0720000000001</v>
      </c>
      <c r="BT34" s="62">
        <f t="shared" si="10"/>
        <v>4458.7999999999993</v>
      </c>
      <c r="BU34" s="62">
        <f t="shared" si="11"/>
        <v>52</v>
      </c>
      <c r="BV34" s="62">
        <f t="shared" si="12"/>
        <v>518</v>
      </c>
      <c r="BW34" s="62">
        <f t="shared" si="13"/>
        <v>472</v>
      </c>
      <c r="BX34" s="62">
        <f t="shared" si="67"/>
        <v>7376.8719999999994</v>
      </c>
      <c r="BY34" s="62">
        <f t="shared" si="15"/>
        <v>18634.667416552067</v>
      </c>
      <c r="BZ34" s="79">
        <f t="shared" si="68"/>
        <v>0.39586818670278828</v>
      </c>
      <c r="CA34" s="79">
        <f t="shared" si="69"/>
        <v>0.32453755467086864</v>
      </c>
      <c r="CB34" s="79">
        <f t="shared" si="70"/>
        <v>0.67546244532913136</v>
      </c>
      <c r="CC34" s="79">
        <f t="shared" si="19"/>
        <v>2.4593831549707575E-2</v>
      </c>
      <c r="CD34" s="33"/>
      <c r="CF34" s="36">
        <v>16420.943057600234</v>
      </c>
      <c r="CG34" s="36">
        <v>16606.943057600234</v>
      </c>
      <c r="CH34" s="81">
        <f t="shared" si="100"/>
        <v>2213.724358951833</v>
      </c>
      <c r="CI34" s="36">
        <f t="shared" si="101"/>
        <v>2213.724358951833</v>
      </c>
      <c r="CJ34" s="36">
        <v>9044.0710576002366</v>
      </c>
      <c r="CK34" s="81">
        <f t="shared" si="73"/>
        <v>2213.7243589518312</v>
      </c>
      <c r="CM34" s="33">
        <f t="shared" si="84"/>
        <v>2013</v>
      </c>
      <c r="CN34" s="96">
        <f t="shared" si="91"/>
        <v>18634.667416552067</v>
      </c>
      <c r="CO34" s="97">
        <f t="shared" si="92"/>
        <v>0</v>
      </c>
      <c r="CP34" s="97">
        <f t="shared" si="93"/>
        <v>3913.2801574759342</v>
      </c>
      <c r="CQ34" s="62">
        <f t="shared" si="94"/>
        <v>11257.795416552068</v>
      </c>
      <c r="CR34" s="98" t="str">
        <f t="shared" si="85"/>
        <v>Y</v>
      </c>
      <c r="CS34" s="114" t="str">
        <f t="shared" si="95"/>
        <v>N</v>
      </c>
      <c r="CT34" s="99">
        <f t="shared" si="102"/>
        <v>3913.2801574759342</v>
      </c>
      <c r="CU34" s="100">
        <f t="shared" si="103"/>
        <v>6831.3521574759343</v>
      </c>
      <c r="CV34" s="100">
        <f t="shared" si="105"/>
        <v>-2372.552157475935</v>
      </c>
      <c r="CW34" s="100"/>
      <c r="CX34" s="101">
        <f t="shared" si="96"/>
        <v>4458.7999999999993</v>
      </c>
      <c r="CY34" s="102">
        <f t="shared" si="86"/>
        <v>-2372.552157475935</v>
      </c>
      <c r="CZ34" s="79">
        <v>0.1</v>
      </c>
      <c r="DA34" s="103">
        <f t="shared" si="97"/>
        <v>-391.32801574759344</v>
      </c>
      <c r="DB34" s="107">
        <f t="shared" si="87"/>
        <v>-2372.552157475935</v>
      </c>
      <c r="DC34" s="33"/>
      <c r="DD34" s="107">
        <f t="shared" si="104"/>
        <v>-7220.1237611431879</v>
      </c>
      <c r="DE34" s="105">
        <f t="shared" si="98"/>
        <v>-2372.552157475935</v>
      </c>
      <c r="DF34" s="105">
        <f t="shared" si="99"/>
        <v>2372.552157475935</v>
      </c>
      <c r="DH34" s="66">
        <f t="shared" si="20"/>
        <v>0.17013947630775986</v>
      </c>
      <c r="DK34" s="106"/>
      <c r="DL34" s="106"/>
      <c r="DS34" s="14">
        <f t="shared" si="44"/>
        <v>11257.795416552068</v>
      </c>
      <c r="DT34" s="14">
        <v>19861.298355492483</v>
      </c>
      <c r="DU34" s="14">
        <f t="shared" si="77"/>
        <v>8603.5029389404153</v>
      </c>
      <c r="DW34" s="14">
        <f t="shared" si="45"/>
        <v>18634.667416552067</v>
      </c>
      <c r="DX34" s="14">
        <v>26393.298355492483</v>
      </c>
      <c r="DY34" s="14">
        <f t="shared" si="78"/>
        <v>7758.6309389404159</v>
      </c>
      <c r="EG34" s="14">
        <f t="shared" si="47"/>
        <v>2918.0720000000001</v>
      </c>
      <c r="EJ34" s="89">
        <f t="shared" si="48"/>
        <v>0.17013947630775986</v>
      </c>
      <c r="EL34" s="67"/>
      <c r="EM34" s="67">
        <f t="shared" si="49"/>
        <v>11.257795416552067</v>
      </c>
      <c r="EN34" s="67">
        <f t="shared" si="22"/>
        <v>4.4587999999999992</v>
      </c>
      <c r="EO34" s="67">
        <f t="shared" si="23"/>
        <v>2.918072</v>
      </c>
      <c r="EP34" s="67">
        <f t="shared" si="24"/>
        <v>0.186</v>
      </c>
      <c r="ET34" s="66">
        <f t="shared" si="25"/>
        <v>0.1943428768540876</v>
      </c>
      <c r="EW34" s="14">
        <f t="shared" si="27"/>
        <v>2918.0720000000001</v>
      </c>
      <c r="EY34" s="14">
        <f t="shared" si="50"/>
        <v>518</v>
      </c>
      <c r="EZ34" s="14">
        <f t="shared" si="51"/>
        <v>524</v>
      </c>
      <c r="FB34" s="14">
        <f t="shared" si="52"/>
        <v>16147.472310303621</v>
      </c>
      <c r="FC34" s="66">
        <f t="shared" si="53"/>
        <v>0.85823851959764108</v>
      </c>
      <c r="FE34" s="14">
        <f t="shared" si="26"/>
        <v>12000</v>
      </c>
    </row>
    <row r="35" spans="2:161" ht="13.5" thickBot="1" x14ac:dyDescent="0.25">
      <c r="B35" s="4">
        <v>2014</v>
      </c>
      <c r="C35" s="71">
        <f t="shared" si="54"/>
        <v>13909.2</v>
      </c>
      <c r="D35" s="71">
        <f t="shared" si="82"/>
        <v>11354.2</v>
      </c>
      <c r="E35" s="71">
        <f>'Bayesian Sum (10Feb26)'!H30</f>
        <v>2555</v>
      </c>
      <c r="F35" s="110"/>
      <c r="G35" s="14">
        <f>'[1]Data-Nisgaa &amp; Other FN Catch'!BI27</f>
        <v>72</v>
      </c>
      <c r="H35" s="14">
        <f>'[1]Data-SF-FW'!U18</f>
        <v>863</v>
      </c>
      <c r="I35" s="14">
        <f>'Data-Chin-Nisga''a'!N29</f>
        <v>1945.8</v>
      </c>
      <c r="J35" s="14">
        <f t="shared" si="55"/>
        <v>2880.8</v>
      </c>
      <c r="L35" s="72">
        <f>'Bayesian Sum (10Feb26)'!K30</f>
        <v>16790</v>
      </c>
      <c r="M35" s="73">
        <f t="shared" si="28"/>
        <v>5.1399642644431212E-2</v>
      </c>
      <c r="N35" s="56">
        <f>'Data-Coastal-Chin-Esc (new)'!J42</f>
        <v>1490.7319873818155</v>
      </c>
      <c r="O35" s="74">
        <f t="shared" si="56"/>
        <v>1.4884560747774787</v>
      </c>
      <c r="P35" s="14">
        <f>'Data-Coastal-Chin-Esc (new)'!AL42</f>
        <v>2218.8890824835671</v>
      </c>
      <c r="Q35" s="110"/>
      <c r="R35" s="5">
        <f>SUM('[1]Data-SF-FW'!C18:H18)</f>
        <v>1</v>
      </c>
      <c r="S35" s="14">
        <f>'Data-Chin-Nisga''a'!P29+'Data-Chin-Nisga''a'!Q29+'Data-Chin-Nisga''a'!O29</f>
        <v>4083.4000000000005</v>
      </c>
      <c r="T35" s="14">
        <f>SUM(R35:S35)</f>
        <v>4084.4000000000005</v>
      </c>
      <c r="U35" s="116">
        <f t="shared" si="83"/>
        <v>1.5864733267254634E-4</v>
      </c>
      <c r="V35" s="14">
        <f t="shared" si="3"/>
        <v>16128.089082483568</v>
      </c>
      <c r="W35" s="110"/>
      <c r="X35" s="111">
        <f t="shared" si="29"/>
        <v>72</v>
      </c>
      <c r="Y35" s="111">
        <f t="shared" si="30"/>
        <v>864</v>
      </c>
      <c r="Z35" s="111">
        <f t="shared" si="30"/>
        <v>6029.2000000000007</v>
      </c>
      <c r="AA35" s="111">
        <f t="shared" si="4"/>
        <v>6965.2000000000007</v>
      </c>
      <c r="AB35" s="110"/>
      <c r="AC35" s="14">
        <f>'A3.1b CF-tidal-Harvests (Chin)'!G29</f>
        <v>2046.4480000000001</v>
      </c>
      <c r="AD35" s="14">
        <f>'A3.1b CF-tidal-Harvests (Chin)'!L29</f>
        <v>734</v>
      </c>
      <c r="AE35" s="14">
        <f t="shared" si="58"/>
        <v>2780.4480000000003</v>
      </c>
      <c r="AF35" s="110"/>
      <c r="AJ35" s="14">
        <f t="shared" si="31"/>
        <v>25873.737082483571</v>
      </c>
      <c r="AK35" s="111">
        <v>1585</v>
      </c>
      <c r="AL35" s="111">
        <f t="shared" si="59"/>
        <v>27458.737082483571</v>
      </c>
      <c r="AM35" s="113">
        <v>1498</v>
      </c>
      <c r="AN35" s="14">
        <f>'[1]Data-FW Catch Rates - new'!CE29</f>
        <v>11914</v>
      </c>
      <c r="AO35" s="117">
        <f t="shared" si="32"/>
        <v>6.0433103911364779E-3</v>
      </c>
      <c r="AP35" s="60">
        <f t="shared" si="33"/>
        <v>17</v>
      </c>
      <c r="AQ35" s="59"/>
      <c r="AR35" s="77">
        <f t="shared" si="34"/>
        <v>0.41264272154847309</v>
      </c>
      <c r="AS35" s="61">
        <f t="shared" si="60"/>
        <v>0.11589041095890411</v>
      </c>
      <c r="AT35" s="61">
        <f t="shared" si="35"/>
        <v>5.1399642644431212E-2</v>
      </c>
      <c r="AU35" s="61">
        <f t="shared" si="36"/>
        <v>0.1715783204288267</v>
      </c>
      <c r="AV35" s="61"/>
      <c r="AW35" s="33"/>
      <c r="AX35" s="61">
        <f t="shared" si="37"/>
        <v>0.21957309915196854</v>
      </c>
      <c r="AY35" s="61">
        <f t="shared" si="38"/>
        <v>7.4528118094166346E-2</v>
      </c>
      <c r="AZ35" s="61">
        <f t="shared" si="39"/>
        <v>5.8196412864865273E-2</v>
      </c>
      <c r="BA35" s="61">
        <f t="shared" si="40"/>
        <v>2.6221162241991864E-3</v>
      </c>
      <c r="BB35" s="61">
        <f t="shared" si="61"/>
        <v>0.35491974633519935</v>
      </c>
      <c r="BC35" s="61">
        <f>AK35/AL35</f>
        <v>5.7722975213273756E-2</v>
      </c>
      <c r="BD35" s="78">
        <f t="shared" si="41"/>
        <v>0.41264272154847309</v>
      </c>
      <c r="BE35" s="17"/>
      <c r="BF35" s="17"/>
      <c r="BG35" s="22">
        <f>'[1]Data-PSC CH Tables'!C29</f>
        <v>11509</v>
      </c>
      <c r="BH35" s="22">
        <f>'[1]Data-PSC CH Tables'!AG29</f>
        <v>22724.901053862264</v>
      </c>
      <c r="BI35" s="22">
        <f>'[1]Data-PSC CH Tables'!AI29</f>
        <v>24309.901053862264</v>
      </c>
      <c r="BJ35" s="17"/>
      <c r="BK35" s="22">
        <f t="shared" si="63"/>
        <v>-2400.2000000000007</v>
      </c>
      <c r="BL35" s="22">
        <f t="shared" si="64"/>
        <v>-3148.8360286213065</v>
      </c>
      <c r="BM35" s="22">
        <f t="shared" si="65"/>
        <v>-3148.8360286213065</v>
      </c>
      <c r="BO35" s="33"/>
      <c r="BP35" s="33"/>
      <c r="BQ35" s="33"/>
      <c r="BS35" s="62">
        <f t="shared" si="66"/>
        <v>2046.4480000000001</v>
      </c>
      <c r="BT35" s="62">
        <f t="shared" si="10"/>
        <v>6029.2000000000007</v>
      </c>
      <c r="BU35" s="62">
        <f t="shared" si="11"/>
        <v>72</v>
      </c>
      <c r="BV35" s="62">
        <f t="shared" si="12"/>
        <v>734</v>
      </c>
      <c r="BW35" s="62">
        <f t="shared" si="13"/>
        <v>864</v>
      </c>
      <c r="BX35" s="62">
        <f t="shared" si="67"/>
        <v>9745.648000000001</v>
      </c>
      <c r="BY35" s="62">
        <f t="shared" si="15"/>
        <v>25873.737082483571</v>
      </c>
      <c r="BZ35" s="79">
        <f t="shared" si="68"/>
        <v>0.37666178522768445</v>
      </c>
      <c r="CA35" s="79">
        <f t="shared" si="69"/>
        <v>0.28530150073140337</v>
      </c>
      <c r="CB35" s="79">
        <f t="shared" si="70"/>
        <v>0.71469849926859663</v>
      </c>
      <c r="CC35" s="79">
        <f t="shared" si="19"/>
        <v>0.13988608595024749</v>
      </c>
      <c r="CD35" s="33"/>
      <c r="CF35" s="36">
        <v>22739.075726762934</v>
      </c>
      <c r="CG35" s="36">
        <v>24324.075726762934</v>
      </c>
      <c r="CH35" s="81">
        <f t="shared" si="100"/>
        <v>3134.6613557206365</v>
      </c>
      <c r="CI35" s="36">
        <f t="shared" si="101"/>
        <v>3134.6613557206365</v>
      </c>
      <c r="CJ35" s="36">
        <v>12993.427726762931</v>
      </c>
      <c r="CK35" s="81">
        <f t="shared" si="73"/>
        <v>3134.6613557206365</v>
      </c>
      <c r="CM35" s="33">
        <f t="shared" si="84"/>
        <v>2014</v>
      </c>
      <c r="CN35" s="96">
        <f t="shared" si="91"/>
        <v>25873.737082483571</v>
      </c>
      <c r="CO35" s="97">
        <f t="shared" si="92"/>
        <v>5440.2522951620213</v>
      </c>
      <c r="CP35" s="97">
        <f t="shared" si="93"/>
        <v>10873.737082483571</v>
      </c>
      <c r="CQ35" s="62">
        <f t="shared" si="94"/>
        <v>16128.089082483568</v>
      </c>
      <c r="CR35" s="98" t="str">
        <f t="shared" si="85"/>
        <v>Y</v>
      </c>
      <c r="CS35" s="114" t="str">
        <f t="shared" si="95"/>
        <v>Y</v>
      </c>
      <c r="CT35" s="99">
        <f t="shared" si="102"/>
        <v>5433.4847873215494</v>
      </c>
      <c r="CU35" s="100">
        <f t="shared" si="103"/>
        <v>5433.4847873215494</v>
      </c>
      <c r="CV35" s="100">
        <f t="shared" si="105"/>
        <v>-3120.732787321549</v>
      </c>
      <c r="CW35" s="100"/>
      <c r="CX35" s="101">
        <f t="shared" si="96"/>
        <v>6029.2000000000007</v>
      </c>
      <c r="CY35" s="102">
        <f t="shared" si="86"/>
        <v>595.71521267845128</v>
      </c>
      <c r="CZ35" s="79">
        <v>0.1</v>
      </c>
      <c r="DA35" s="103">
        <f t="shared" si="97"/>
        <v>-543.34847873215494</v>
      </c>
      <c r="DB35" s="107">
        <f t="shared" si="87"/>
        <v>595.71521267845128</v>
      </c>
      <c r="DC35" s="33"/>
      <c r="DD35" s="107">
        <f t="shared" si="104"/>
        <v>-6624.4085484647367</v>
      </c>
      <c r="DE35" s="105">
        <f t="shared" si="98"/>
        <v>595.71521267845128</v>
      </c>
      <c r="DF35" s="105">
        <f t="shared" si="99"/>
        <v>595.71521267845128</v>
      </c>
      <c r="DH35" s="66">
        <f t="shared" si="20"/>
        <v>0.1375791683153253</v>
      </c>
      <c r="DK35" s="106"/>
      <c r="DL35" s="106"/>
      <c r="DS35" s="14">
        <f t="shared" si="44"/>
        <v>16128.089082483568</v>
      </c>
      <c r="DT35" s="14">
        <v>19861.298355492483</v>
      </c>
      <c r="DU35" s="14">
        <f t="shared" si="77"/>
        <v>3733.2092730089153</v>
      </c>
      <c r="DW35" s="14">
        <f t="shared" si="45"/>
        <v>25873.737082483571</v>
      </c>
      <c r="DX35" s="14">
        <v>26393.298355492483</v>
      </c>
      <c r="DY35" s="14">
        <f t="shared" si="78"/>
        <v>519.56127300891239</v>
      </c>
      <c r="EG35" s="14">
        <f t="shared" si="47"/>
        <v>3716.4480000000003</v>
      </c>
      <c r="EJ35" s="89">
        <f t="shared" si="48"/>
        <v>0.1375791683153253</v>
      </c>
      <c r="EL35" s="67"/>
      <c r="EM35" s="67">
        <f t="shared" si="49"/>
        <v>16.128089082483569</v>
      </c>
      <c r="EN35" s="67">
        <f t="shared" si="22"/>
        <v>6.0292000000000003</v>
      </c>
      <c r="EO35" s="67">
        <f t="shared" si="23"/>
        <v>3.7164480000000002</v>
      </c>
      <c r="EP35" s="67">
        <f t="shared" si="24"/>
        <v>1.585</v>
      </c>
      <c r="ET35" s="66">
        <f t="shared" si="25"/>
        <v>0.1715783204288267</v>
      </c>
      <c r="EW35" s="14">
        <f t="shared" si="27"/>
        <v>3716.4480000000003</v>
      </c>
      <c r="EY35" s="14">
        <f t="shared" si="50"/>
        <v>935</v>
      </c>
      <c r="EZ35" s="14">
        <f t="shared" si="51"/>
        <v>936</v>
      </c>
      <c r="FB35" s="14">
        <f t="shared" si="52"/>
        <v>24252.62221345268</v>
      </c>
      <c r="FC35" s="66">
        <f t="shared" si="53"/>
        <v>0.88327097533920351</v>
      </c>
      <c r="FE35" s="14">
        <f t="shared" si="26"/>
        <v>17000</v>
      </c>
    </row>
    <row r="36" spans="2:161" x14ac:dyDescent="0.2">
      <c r="B36" s="4">
        <v>2015</v>
      </c>
      <c r="C36" s="71">
        <f t="shared" si="54"/>
        <v>19532.2</v>
      </c>
      <c r="D36" s="71">
        <f t="shared" si="82"/>
        <v>16035.2</v>
      </c>
      <c r="E36" s="71">
        <f>'Bayesian Sum (10Feb26)'!H31</f>
        <v>3497</v>
      </c>
      <c r="F36" s="110"/>
      <c r="G36" s="14">
        <f>'[1]Data-Nisgaa &amp; Other FN Catch'!BI28</f>
        <v>252</v>
      </c>
      <c r="H36" s="14">
        <f>'[1]Data-SF-FW'!U19</f>
        <v>573</v>
      </c>
      <c r="I36" s="14">
        <f>'Data-Chin-Nisga''a'!N30</f>
        <v>3197.8</v>
      </c>
      <c r="J36" s="14">
        <f t="shared" si="55"/>
        <v>4022.8</v>
      </c>
      <c r="L36" s="72">
        <f>'Bayesian Sum (10Feb26)'!K31</f>
        <v>23555</v>
      </c>
      <c r="M36" s="115">
        <f>H36/L36</f>
        <v>2.4326045425599661E-2</v>
      </c>
      <c r="N36" s="56">
        <f>'Data-Coastal-Chin-Esc (new)'!J43</f>
        <v>723.37158731970067</v>
      </c>
      <c r="O36" s="74">
        <f t="shared" si="56"/>
        <v>4.0816777273350384</v>
      </c>
      <c r="P36" s="14">
        <f>'Data-Coastal-Chin-Esc (new)'!AL43</f>
        <v>2952.569696549815</v>
      </c>
      <c r="Q36" s="110"/>
      <c r="R36" s="5">
        <f>SUM('[1]Data-SF-FW'!C19:H19)</f>
        <v>16</v>
      </c>
      <c r="S36" s="14">
        <f>'Data-Chin-Nisga''a'!P30+'Data-Chin-Nisga''a'!Q30+'Data-Chin-Nisga''a'!O30</f>
        <v>5136.828148276747</v>
      </c>
      <c r="T36" s="14">
        <f t="shared" si="57"/>
        <v>5152.828148276747</v>
      </c>
      <c r="U36" s="116">
        <f t="shared" si="83"/>
        <v>1.9739931717494079E-3</v>
      </c>
      <c r="V36" s="14">
        <f t="shared" si="3"/>
        <v>22484.769696549814</v>
      </c>
      <c r="W36" s="110"/>
      <c r="X36" s="111">
        <f t="shared" si="29"/>
        <v>252</v>
      </c>
      <c r="Y36" s="111">
        <f t="shared" si="30"/>
        <v>589</v>
      </c>
      <c r="Z36" s="111">
        <f t="shared" si="30"/>
        <v>8334.6281482767481</v>
      </c>
      <c r="AA36" s="111">
        <f t="shared" si="4"/>
        <v>9175.6281482767481</v>
      </c>
      <c r="AB36" s="110"/>
      <c r="AC36" s="14">
        <f>'A3.1b CF-tidal-Harvests (Chin)'!G30</f>
        <v>2500.8719999999998</v>
      </c>
      <c r="AD36" s="14">
        <f>'A3.1b CF-tidal-Harvests (Chin)'!L30</f>
        <v>686</v>
      </c>
      <c r="AE36" s="14">
        <f t="shared" si="58"/>
        <v>3186.8719999999998</v>
      </c>
      <c r="AF36" s="110"/>
      <c r="AJ36" s="14">
        <f t="shared" si="31"/>
        <v>34847.269844826566</v>
      </c>
      <c r="AK36" s="111">
        <v>2176</v>
      </c>
      <c r="AL36" s="111">
        <f t="shared" si="59"/>
        <v>37023.269844826566</v>
      </c>
      <c r="AM36" s="113">
        <v>2013</v>
      </c>
      <c r="AN36" s="14">
        <f>'[1]Data-FW Catch Rates - new'!CE30</f>
        <v>18778</v>
      </c>
      <c r="AO36" s="117">
        <f t="shared" si="32"/>
        <v>1.3419959527106187E-2</v>
      </c>
      <c r="AP36" s="60">
        <f t="shared" si="33"/>
        <v>25</v>
      </c>
      <c r="AQ36" s="59"/>
      <c r="AR36" s="77">
        <f t="shared" si="34"/>
        <v>0.39268547076503779</v>
      </c>
      <c r="AS36" s="61">
        <f t="shared" si="60"/>
        <v>0.13575886223731692</v>
      </c>
      <c r="AT36" s="61">
        <f t="shared" si="35"/>
        <v>2.4326045425599661E-2</v>
      </c>
      <c r="AU36" s="61">
        <f t="shared" si="36"/>
        <v>0.17078327319040545</v>
      </c>
      <c r="AV36" s="61"/>
      <c r="AW36" s="33"/>
      <c r="AX36" s="61">
        <f t="shared" si="37"/>
        <v>0.22511863979624655</v>
      </c>
      <c r="AY36" s="61">
        <f t="shared" si="38"/>
        <v>6.7548652792737002E-2</v>
      </c>
      <c r="AZ36" s="61">
        <f t="shared" si="39"/>
        <v>3.4437801019300343E-2</v>
      </c>
      <c r="BA36" s="61">
        <f t="shared" si="40"/>
        <v>6.8065300838146565E-3</v>
      </c>
      <c r="BB36" s="61">
        <f t="shared" si="61"/>
        <v>0.33391162369209854</v>
      </c>
      <c r="BC36" s="61">
        <f>AK36/AL36</f>
        <v>5.8773847072939256E-2</v>
      </c>
      <c r="BD36" s="78">
        <f t="shared" si="41"/>
        <v>0.39268547076503779</v>
      </c>
      <c r="BE36" s="17"/>
      <c r="BF36" s="17"/>
      <c r="BG36" s="22">
        <f>'[1]Data-PSC CH Tables'!C30</f>
        <v>18262</v>
      </c>
      <c r="BH36" s="22">
        <f>'[1]Data-PSC CH Tables'!AG30</f>
        <v>32957.436221752512</v>
      </c>
      <c r="BI36" s="22">
        <f>'[1]Data-PSC CH Tables'!AI30</f>
        <v>35133.436221752512</v>
      </c>
      <c r="BJ36" s="17"/>
      <c r="BK36" s="22">
        <f t="shared" si="63"/>
        <v>-1270.2000000000007</v>
      </c>
      <c r="BL36" s="22">
        <f t="shared" si="64"/>
        <v>-1889.8336230740533</v>
      </c>
      <c r="BM36" s="22">
        <f t="shared" si="65"/>
        <v>-1889.8336230740533</v>
      </c>
      <c r="BO36" s="33"/>
      <c r="BP36" s="33"/>
      <c r="BQ36" s="33"/>
      <c r="BS36" s="62">
        <f t="shared" si="66"/>
        <v>2500.8719999999998</v>
      </c>
      <c r="BT36" s="62">
        <f t="shared" si="10"/>
        <v>8334.6281482767481</v>
      </c>
      <c r="BU36" s="62">
        <f t="shared" si="11"/>
        <v>252</v>
      </c>
      <c r="BV36" s="62">
        <f t="shared" si="12"/>
        <v>686</v>
      </c>
      <c r="BW36" s="62">
        <f t="shared" si="13"/>
        <v>589</v>
      </c>
      <c r="BX36" s="62">
        <f t="shared" si="67"/>
        <v>12362.500148276747</v>
      </c>
      <c r="BY36" s="62">
        <f t="shared" si="15"/>
        <v>34847.269844826566</v>
      </c>
      <c r="BZ36" s="79">
        <f t="shared" si="68"/>
        <v>0.35476237315940223</v>
      </c>
      <c r="CA36" s="79">
        <f t="shared" si="69"/>
        <v>0.25778539630142933</v>
      </c>
      <c r="CB36" s="79">
        <f t="shared" si="70"/>
        <v>0.74221460369857073</v>
      </c>
      <c r="CC36" s="79">
        <f t="shared" si="19"/>
        <v>0.14967156018895952</v>
      </c>
      <c r="CD36" s="33"/>
      <c r="CF36" s="36">
        <v>32979.928000057495</v>
      </c>
      <c r="CG36" s="36">
        <v>35155.928000057495</v>
      </c>
      <c r="CH36" s="81">
        <f t="shared" si="100"/>
        <v>1867.341844769071</v>
      </c>
      <c r="CI36" s="36">
        <f t="shared" si="101"/>
        <v>1867.341844769071</v>
      </c>
      <c r="CJ36" s="36">
        <v>20617.427851780747</v>
      </c>
      <c r="CK36" s="81">
        <f t="shared" si="73"/>
        <v>1867.3418447690674</v>
      </c>
      <c r="CM36" s="33">
        <f t="shared" si="84"/>
        <v>2015</v>
      </c>
      <c r="CN36" s="96">
        <f t="shared" si="91"/>
        <v>34847.269844826566</v>
      </c>
      <c r="CO36" s="97">
        <f t="shared" si="92"/>
        <v>12529.343177412986</v>
      </c>
      <c r="CP36" s="97">
        <f t="shared" si="93"/>
        <v>19847.269844826566</v>
      </c>
      <c r="CQ36" s="62">
        <f t="shared" si="94"/>
        <v>22484.769696549814</v>
      </c>
      <c r="CR36" s="98" t="str">
        <f t="shared" si="85"/>
        <v>Y</v>
      </c>
      <c r="CS36" s="114" t="str">
        <f t="shared" si="95"/>
        <v>Y</v>
      </c>
      <c r="CT36" s="99">
        <f t="shared" si="102"/>
        <v>7317.9266674135788</v>
      </c>
      <c r="CU36" s="100">
        <f t="shared" si="103"/>
        <v>7317.9266674135788</v>
      </c>
      <c r="CV36" s="100">
        <f t="shared" si="105"/>
        <v>-3011.1705191368301</v>
      </c>
      <c r="CW36" s="100"/>
      <c r="CX36" s="101">
        <f t="shared" si="96"/>
        <v>8334.6281482767481</v>
      </c>
      <c r="CY36" s="102">
        <f t="shared" si="86"/>
        <v>1016.7014808631693</v>
      </c>
      <c r="CZ36" s="79">
        <v>0.1</v>
      </c>
      <c r="DA36" s="103">
        <f t="shared" si="97"/>
        <v>-731.79266674135795</v>
      </c>
      <c r="DB36" s="107">
        <f t="shared" si="87"/>
        <v>1016.7014808631693</v>
      </c>
      <c r="DC36" s="33"/>
      <c r="DD36" s="107">
        <f t="shared" si="104"/>
        <v>-5607.7070676015674</v>
      </c>
      <c r="DE36" s="105">
        <f t="shared" si="98"/>
        <v>1016.7014808631693</v>
      </c>
      <c r="DF36" s="105">
        <f t="shared" si="99"/>
        <v>1016.7014808631693</v>
      </c>
      <c r="DH36" s="66">
        <f t="shared" si="20"/>
        <v>0.13131420674514951</v>
      </c>
      <c r="DK36" s="106"/>
      <c r="DL36" s="106"/>
      <c r="DS36" s="14">
        <f t="shared" si="44"/>
        <v>22484.769696549814</v>
      </c>
      <c r="DT36" s="14">
        <v>19861.298355492483</v>
      </c>
      <c r="DU36" s="14">
        <f t="shared" si="77"/>
        <v>-2623.4713410573313</v>
      </c>
      <c r="DW36" s="14">
        <f t="shared" si="45"/>
        <v>34847.269844826566</v>
      </c>
      <c r="DX36" s="14">
        <v>26393.298355492483</v>
      </c>
      <c r="DY36" s="14">
        <f t="shared" si="78"/>
        <v>-8453.9714893340824</v>
      </c>
      <c r="EG36" s="14">
        <f t="shared" si="47"/>
        <v>4027.8719999999998</v>
      </c>
      <c r="EJ36" s="89">
        <f t="shared" si="48"/>
        <v>0.13131420674514951</v>
      </c>
      <c r="EL36" s="67"/>
      <c r="EM36" s="67">
        <f t="shared" si="49"/>
        <v>22.484769696549815</v>
      </c>
      <c r="EN36" s="67">
        <f t="shared" si="22"/>
        <v>8.3346281482767477</v>
      </c>
      <c r="EO36" s="67">
        <f t="shared" si="23"/>
        <v>4.0278719999999995</v>
      </c>
      <c r="EP36" s="67">
        <f t="shared" si="24"/>
        <v>2.1760000000000002</v>
      </c>
      <c r="ET36" s="66">
        <f t="shared" si="25"/>
        <v>0.17078327319040545</v>
      </c>
      <c r="EW36" s="14">
        <f t="shared" si="27"/>
        <v>4027.8719999999994</v>
      </c>
      <c r="EY36" s="14">
        <f t="shared" si="50"/>
        <v>825</v>
      </c>
      <c r="EZ36" s="14">
        <f t="shared" si="51"/>
        <v>841</v>
      </c>
      <c r="FB36" s="14">
        <f t="shared" si="52"/>
        <v>32885.181522633124</v>
      </c>
      <c r="FC36" s="66">
        <f t="shared" si="53"/>
        <v>0.88861409286668347</v>
      </c>
      <c r="FE36" s="14">
        <f t="shared" si="26"/>
        <v>24000</v>
      </c>
    </row>
    <row r="37" spans="2:161" x14ac:dyDescent="0.2">
      <c r="B37" s="4">
        <v>2016</v>
      </c>
      <c r="C37" s="71">
        <f t="shared" si="54"/>
        <v>11020.6</v>
      </c>
      <c r="D37" s="71">
        <f t="shared" si="82"/>
        <v>9067.6</v>
      </c>
      <c r="E37" s="71">
        <f>'Bayesian Sum (10Feb26)'!H32</f>
        <v>1953</v>
      </c>
      <c r="F37" s="110"/>
      <c r="G37" s="14">
        <f>'[1]Data-Nisgaa &amp; Other FN Catch'!BI29</f>
        <v>114</v>
      </c>
      <c r="H37" s="14">
        <f>'[1]Data-SF-FW'!U20</f>
        <v>339</v>
      </c>
      <c r="I37" s="14">
        <f>'Data-Chin-Nisga''a'!N31</f>
        <v>1524.4</v>
      </c>
      <c r="J37" s="14">
        <f t="shared" ref="J37:J46" si="106">SUM(G37:I37)</f>
        <v>1977.4</v>
      </c>
      <c r="L37" s="72">
        <f>'Bayesian Sum (10Feb26)'!K32</f>
        <v>12998</v>
      </c>
      <c r="M37" s="116">
        <f t="shared" si="28"/>
        <v>2.6080935528542851E-2</v>
      </c>
      <c r="N37" s="56">
        <f>'Data-Coastal-Chin-Esc (new)'!J44</f>
        <v>0</v>
      </c>
      <c r="O37" s="74" t="s">
        <v>107</v>
      </c>
      <c r="P37" s="14">
        <f>'Data-Coastal-Chin-Esc (new)'!AL44</f>
        <v>1695.5582816032083</v>
      </c>
      <c r="Q37" s="110"/>
      <c r="R37" s="5">
        <f>SUM('[1]Data-SF-FW'!C20:H20)</f>
        <v>2</v>
      </c>
      <c r="S37" s="14">
        <f>'Data-Chin-Nisga''a'!P31+'Data-Chin-Nisga''a'!Q31+'Data-Chin-Nisga''a'!O31</f>
        <v>3893.2</v>
      </c>
      <c r="T37" s="14">
        <f t="shared" si="57"/>
        <v>3895.2</v>
      </c>
      <c r="U37" s="116">
        <f t="shared" si="83"/>
        <v>3.5773322673976867E-4</v>
      </c>
      <c r="V37" s="14">
        <f t="shared" si="3"/>
        <v>12716.15828160321</v>
      </c>
      <c r="W37" s="110"/>
      <c r="X37" s="111">
        <f t="shared" si="29"/>
        <v>114</v>
      </c>
      <c r="Y37" s="111">
        <f t="shared" si="30"/>
        <v>341</v>
      </c>
      <c r="Z37" s="111">
        <f t="shared" si="30"/>
        <v>5417.6</v>
      </c>
      <c r="AA37" s="111">
        <f t="shared" si="4"/>
        <v>5872.6</v>
      </c>
      <c r="AB37" s="110"/>
      <c r="AC37" s="14">
        <f>'A3.1b CF-tidal-Harvests (Chin)'!G31</f>
        <v>856.38400000000001</v>
      </c>
      <c r="AD37" s="14">
        <f>'A3.1b CF-tidal-Harvests (Chin)'!L31</f>
        <v>764</v>
      </c>
      <c r="AE37" s="14">
        <f t="shared" si="58"/>
        <v>1620.384</v>
      </c>
      <c r="AF37" s="110"/>
      <c r="AJ37" s="14">
        <f t="shared" si="31"/>
        <v>20209.142281603206</v>
      </c>
      <c r="AK37" s="111">
        <v>1684</v>
      </c>
      <c r="AL37" s="111">
        <f t="shared" si="59"/>
        <v>21893.142281603206</v>
      </c>
      <c r="AM37" s="113">
        <v>1240</v>
      </c>
      <c r="AN37" s="14">
        <f>'[1]Data-FW Catch Rates - new'!CE31</f>
        <v>9379.17808219178</v>
      </c>
      <c r="AO37" s="117">
        <f t="shared" si="32"/>
        <v>1.2154583162937431E-2</v>
      </c>
      <c r="AP37" s="60">
        <f t="shared" si="33"/>
        <v>8</v>
      </c>
      <c r="AQ37" s="59"/>
      <c r="AR37" s="77">
        <f t="shared" si="34"/>
        <v>0.41917162378793904</v>
      </c>
      <c r="AS37" s="61">
        <f t="shared" si="60"/>
        <v>0.11727958147407294</v>
      </c>
      <c r="AT37" s="61">
        <f t="shared" si="35"/>
        <v>2.6080935528542851E-2</v>
      </c>
      <c r="AU37" s="61">
        <f t="shared" si="36"/>
        <v>0.15213109709186029</v>
      </c>
      <c r="AV37" s="61"/>
      <c r="AW37" s="33"/>
      <c r="AX37" s="61">
        <f t="shared" si="37"/>
        <v>0.24745648341912099</v>
      </c>
      <c r="AY37" s="61">
        <f t="shared" si="38"/>
        <v>3.9116541106098732E-2</v>
      </c>
      <c r="AZ37" s="61">
        <f t="shared" si="39"/>
        <v>5.0472425830280693E-2</v>
      </c>
      <c r="BA37" s="61">
        <f t="shared" si="40"/>
        <v>5.2071099951601797E-3</v>
      </c>
      <c r="BB37" s="61">
        <f t="shared" si="61"/>
        <v>0.3422525603506606</v>
      </c>
      <c r="BC37" s="61">
        <f>AK37/AL37</f>
        <v>7.6919063437278445E-2</v>
      </c>
      <c r="BD37" s="78">
        <f t="shared" si="41"/>
        <v>0.41917162378793904</v>
      </c>
      <c r="BE37" s="17"/>
      <c r="BF37" s="17"/>
      <c r="BG37" s="22">
        <f>'[1]Data-PSC CH Tables'!C31</f>
        <v>9037.17808219178</v>
      </c>
      <c r="BH37" s="22">
        <f>'[1]Data-PSC CH Tables'!AG31</f>
        <v>17684.644545797615</v>
      </c>
      <c r="BI37" s="22">
        <f>'[1]Data-PSC CH Tables'!AI31</f>
        <v>19368.644545797615</v>
      </c>
      <c r="BJ37" s="17"/>
      <c r="BK37" s="22">
        <f t="shared" si="63"/>
        <v>-1983.4219178082203</v>
      </c>
      <c r="BL37" s="22">
        <f t="shared" si="64"/>
        <v>-2524.4977358055912</v>
      </c>
      <c r="BM37" s="22">
        <f t="shared" si="65"/>
        <v>-2524.4977358055912</v>
      </c>
      <c r="BO37" s="33"/>
      <c r="BP37" s="33"/>
      <c r="BQ37" s="33"/>
      <c r="BS37" s="62">
        <f t="shared" si="66"/>
        <v>856.38400000000001</v>
      </c>
      <c r="BT37" s="62">
        <f t="shared" si="10"/>
        <v>5417.6</v>
      </c>
      <c r="BU37" s="62">
        <f t="shared" si="11"/>
        <v>114</v>
      </c>
      <c r="BV37" s="62">
        <f t="shared" si="12"/>
        <v>764</v>
      </c>
      <c r="BW37" s="62">
        <f t="shared" si="13"/>
        <v>341</v>
      </c>
      <c r="BX37" s="62">
        <f t="shared" si="67"/>
        <v>7492.9840000000004</v>
      </c>
      <c r="BY37" s="62">
        <f t="shared" si="15"/>
        <v>20209.142281603206</v>
      </c>
      <c r="BZ37" s="79">
        <f t="shared" si="68"/>
        <v>0.37077199495106805</v>
      </c>
      <c r="CA37" s="79">
        <f t="shared" si="69"/>
        <v>0.21625349793887189</v>
      </c>
      <c r="CB37" s="79">
        <f t="shared" si="70"/>
        <v>0.78374650206112817</v>
      </c>
      <c r="CC37" s="79">
        <f t="shared" si="19"/>
        <v>0.1835025537801962</v>
      </c>
      <c r="CD37" s="33"/>
      <c r="CF37" s="36">
        <v>17695.774882339465</v>
      </c>
      <c r="CG37" s="36">
        <v>19379.774882339465</v>
      </c>
      <c r="CH37" s="81">
        <f t="shared" si="100"/>
        <v>2513.3673992637414</v>
      </c>
      <c r="CI37" s="36">
        <f t="shared" si="101"/>
        <v>2513.3673992637414</v>
      </c>
      <c r="CJ37" s="36">
        <v>10202.790882339465</v>
      </c>
      <c r="CK37" s="81">
        <f t="shared" si="73"/>
        <v>2513.367399263745</v>
      </c>
      <c r="CM37" s="33">
        <f t="shared" si="84"/>
        <v>2016</v>
      </c>
      <c r="CN37" s="96">
        <f t="shared" si="91"/>
        <v>20209.142281603206</v>
      </c>
      <c r="CO37" s="97">
        <f t="shared" si="92"/>
        <v>965.22240246653291</v>
      </c>
      <c r="CP37" s="97">
        <f t="shared" si="93"/>
        <v>5209.1422816032064</v>
      </c>
      <c r="CQ37" s="62">
        <f t="shared" si="94"/>
        <v>12716.15828160321</v>
      </c>
      <c r="CR37" s="98" t="str">
        <f t="shared" si="85"/>
        <v>Y</v>
      </c>
      <c r="CS37" s="114" t="str">
        <f t="shared" si="95"/>
        <v>N</v>
      </c>
      <c r="CT37" s="99">
        <f t="shared" si="102"/>
        <v>4243.9198791366734</v>
      </c>
      <c r="CU37" s="100">
        <f t="shared" si="103"/>
        <v>6319.3038791366735</v>
      </c>
      <c r="CV37" s="100">
        <f t="shared" si="105"/>
        <v>-901.70387913667309</v>
      </c>
      <c r="CW37" s="100"/>
      <c r="CX37" s="101">
        <f t="shared" si="96"/>
        <v>5417.6</v>
      </c>
      <c r="CY37" s="102">
        <f t="shared" si="86"/>
        <v>-901.70387913667309</v>
      </c>
      <c r="CZ37" s="79">
        <v>0.1</v>
      </c>
      <c r="DA37" s="103">
        <f t="shared" si="97"/>
        <v>-424.39198791366738</v>
      </c>
      <c r="DB37" s="107">
        <f t="shared" si="87"/>
        <v>-901.70387913667309</v>
      </c>
      <c r="DC37" s="33"/>
      <c r="DD37" s="107">
        <f t="shared" si="104"/>
        <v>-6509.4109467382405</v>
      </c>
      <c r="DE37" s="105">
        <f t="shared" si="98"/>
        <v>-901.70387913667309</v>
      </c>
      <c r="DF37" s="105">
        <f t="shared" si="99"/>
        <v>901.70387913667309</v>
      </c>
      <c r="DH37" s="66">
        <f t="shared" si="20"/>
        <v>0.13333887830385185</v>
      </c>
      <c r="DK37" s="106"/>
      <c r="DL37" s="106"/>
      <c r="DS37" s="14">
        <f t="shared" si="44"/>
        <v>12716.15828160321</v>
      </c>
      <c r="DT37" s="14">
        <v>19861.298355492483</v>
      </c>
      <c r="DU37" s="14">
        <f t="shared" si="77"/>
        <v>7145.1400738892735</v>
      </c>
      <c r="DW37" s="14">
        <f t="shared" si="45"/>
        <v>20209.142281603206</v>
      </c>
      <c r="DX37" s="14">
        <v>26393.298355492483</v>
      </c>
      <c r="DY37" s="14">
        <f t="shared" si="78"/>
        <v>6184.1560738892767</v>
      </c>
      <c r="EG37" s="14">
        <f t="shared" si="47"/>
        <v>2075.384</v>
      </c>
      <c r="EJ37" s="89">
        <f t="shared" si="48"/>
        <v>0.13333887830385185</v>
      </c>
      <c r="EL37" s="67"/>
      <c r="EM37" s="67">
        <f t="shared" si="49"/>
        <v>12.71615828160321</v>
      </c>
      <c r="EN37" s="67">
        <f t="shared" si="22"/>
        <v>5.4176000000000002</v>
      </c>
      <c r="EO37" s="67">
        <f t="shared" si="23"/>
        <v>2.0753840000000001</v>
      </c>
      <c r="EP37" s="67">
        <f t="shared" si="24"/>
        <v>1.6839999999999999</v>
      </c>
      <c r="ET37" s="66">
        <f t="shared" si="25"/>
        <v>0.15213109709186029</v>
      </c>
      <c r="EW37" s="14">
        <f t="shared" si="27"/>
        <v>2075.384</v>
      </c>
      <c r="EY37" s="14">
        <f t="shared" si="50"/>
        <v>453</v>
      </c>
      <c r="EZ37" s="14">
        <f t="shared" si="51"/>
        <v>455</v>
      </c>
      <c r="FB37" s="14">
        <f t="shared" si="52"/>
        <v>19365.021182958302</v>
      </c>
      <c r="FC37" s="66">
        <f t="shared" si="53"/>
        <v>0.88460533186667933</v>
      </c>
      <c r="FE37" s="14">
        <f t="shared" si="26"/>
        <v>13000</v>
      </c>
    </row>
    <row r="38" spans="2:161" ht="13.5" thickBot="1" x14ac:dyDescent="0.25">
      <c r="B38" s="4">
        <v>2017</v>
      </c>
      <c r="C38" s="71">
        <f t="shared" si="54"/>
        <v>5793.8</v>
      </c>
      <c r="D38" s="71">
        <f t="shared" si="82"/>
        <v>4591.8</v>
      </c>
      <c r="E38" s="71">
        <f>'Bayesian Sum (10Feb26)'!H33</f>
        <v>1202</v>
      </c>
      <c r="F38" s="110"/>
      <c r="G38" s="14">
        <f>'[1]Data-Nisgaa &amp; Other FN Catch'!BI30</f>
        <v>76</v>
      </c>
      <c r="H38" s="14">
        <f>'[1]Data-SF-FW'!U21</f>
        <v>146</v>
      </c>
      <c r="I38" s="14">
        <f>'Data-Chin-Nisga''a'!N32</f>
        <v>1054.2</v>
      </c>
      <c r="J38" s="14">
        <f t="shared" si="106"/>
        <v>1276.2</v>
      </c>
      <c r="L38" s="72">
        <f>'Bayesian Sum (10Feb26)'!K33</f>
        <v>7070</v>
      </c>
      <c r="M38" s="118">
        <f t="shared" si="28"/>
        <v>2.065063649222065E-2</v>
      </c>
      <c r="N38" s="56">
        <f>'Data-Coastal-Chin-Esc (new)'!J45</f>
        <v>0</v>
      </c>
      <c r="O38" s="74" t="s">
        <v>107</v>
      </c>
      <c r="P38" s="14">
        <f>'Data-Coastal-Chin-Esc (new)'!AL45</f>
        <v>891.39661832864556</v>
      </c>
      <c r="Q38" s="110"/>
      <c r="R38" s="5">
        <f>SUM('[1]Data-SF-FW'!C21:H21)</f>
        <v>53</v>
      </c>
      <c r="S38" s="14">
        <f>'Data-Chin-Nisga''a'!P32+'Data-Chin-Nisga''a'!Q32+'Data-Chin-Nisga''a'!O32</f>
        <v>2633.8</v>
      </c>
      <c r="T38" s="14">
        <f>SUM(R38:S38)</f>
        <v>2686.8</v>
      </c>
      <c r="U38" s="118">
        <f t="shared" si="83"/>
        <v>1.4811930604516636E-2</v>
      </c>
      <c r="V38" s="14">
        <f t="shared" si="3"/>
        <v>6685.1966183286459</v>
      </c>
      <c r="W38" s="110"/>
      <c r="X38" s="14">
        <f t="shared" si="29"/>
        <v>76</v>
      </c>
      <c r="Y38" s="14">
        <f t="shared" si="30"/>
        <v>199</v>
      </c>
      <c r="Z38" s="111">
        <f t="shared" si="30"/>
        <v>3688</v>
      </c>
      <c r="AA38" s="111">
        <f t="shared" si="4"/>
        <v>3963</v>
      </c>
      <c r="AB38" s="110"/>
      <c r="AC38" s="14">
        <f>'A3.1b CF-tidal-Harvests (Chin)'!G32</f>
        <v>1355.16</v>
      </c>
      <c r="AD38" s="14">
        <f>'A3.1b CF-tidal-Harvests (Chin)'!L32</f>
        <v>776</v>
      </c>
      <c r="AE38" s="14">
        <f t="shared" si="58"/>
        <v>2131.16</v>
      </c>
      <c r="AF38" s="110"/>
      <c r="AJ38" s="14">
        <f t="shared" si="31"/>
        <v>12779.356618328646</v>
      </c>
      <c r="AK38" s="111">
        <v>682</v>
      </c>
      <c r="AL38" s="111">
        <f t="shared" si="59"/>
        <v>13461.356618328646</v>
      </c>
      <c r="AM38" s="113">
        <v>325</v>
      </c>
      <c r="AN38" s="14">
        <f>'[1]Data-FW Catch Rates - new'!CE32</f>
        <v>4567.583333333333</v>
      </c>
      <c r="AO38" s="117">
        <f t="shared" si="32"/>
        <v>1.6638995822006532E-2</v>
      </c>
      <c r="AP38" s="60">
        <f t="shared" si="33"/>
        <v>1</v>
      </c>
      <c r="AQ38" s="59"/>
      <c r="AR38" s="77">
        <f t="shared" si="34"/>
        <v>0.50337868553112619</v>
      </c>
      <c r="AS38" s="61">
        <f t="shared" si="60"/>
        <v>0.1491089108910891</v>
      </c>
      <c r="AT38" s="61">
        <f>H38/$L38</f>
        <v>2.065063649222065E-2</v>
      </c>
      <c r="AU38" s="61">
        <f t="shared" si="36"/>
        <v>0.18050919377652053</v>
      </c>
      <c r="AV38" s="61"/>
      <c r="AW38" s="33"/>
      <c r="AX38" s="61">
        <f t="shared" si="37"/>
        <v>0.27396941516121132</v>
      </c>
      <c r="AY38" s="61">
        <f t="shared" si="38"/>
        <v>0.10067038846254531</v>
      </c>
      <c r="AZ38" s="61">
        <f t="shared" si="39"/>
        <v>7.2429549832478582E-2</v>
      </c>
      <c r="BA38" s="61">
        <f t="shared" si="40"/>
        <v>5.6457905510444847E-3</v>
      </c>
      <c r="BB38" s="61">
        <f t="shared" si="61"/>
        <v>0.45271514400727964</v>
      </c>
      <c r="BC38" s="61">
        <f>AK38/AL38</f>
        <v>5.0663541523846556E-2</v>
      </c>
      <c r="BD38" s="78">
        <f t="shared" si="41"/>
        <v>0.50337868553112619</v>
      </c>
      <c r="BE38" s="17"/>
      <c r="BF38" s="17"/>
      <c r="BG38" s="22">
        <f>'[1]Data-PSC CH Tables'!C32</f>
        <v>4419.2475499677621</v>
      </c>
      <c r="BH38" s="22">
        <f>'[1]Data-PSC CH Tables'!AG32</f>
        <v>11077.95809355221</v>
      </c>
      <c r="BI38" s="22">
        <f>'[1]Data-PSC CH Tables'!AI32</f>
        <v>11759.95809355221</v>
      </c>
      <c r="BJ38" s="17"/>
      <c r="BK38" s="22">
        <f t="shared" si="63"/>
        <v>-1374.5524500322381</v>
      </c>
      <c r="BL38" s="22">
        <f t="shared" si="64"/>
        <v>-1701.3985247764358</v>
      </c>
      <c r="BM38" s="22">
        <f t="shared" si="65"/>
        <v>-1701.3985247764358</v>
      </c>
      <c r="BO38" s="33"/>
      <c r="BP38" s="33"/>
      <c r="BQ38" s="33"/>
      <c r="BS38" s="62">
        <f t="shared" si="66"/>
        <v>1355.16</v>
      </c>
      <c r="BT38" s="62">
        <f t="shared" si="10"/>
        <v>3688</v>
      </c>
      <c r="BU38" s="62">
        <f t="shared" si="11"/>
        <v>76</v>
      </c>
      <c r="BV38" s="62">
        <f t="shared" si="12"/>
        <v>776</v>
      </c>
      <c r="BW38" s="62">
        <f t="shared" si="13"/>
        <v>199</v>
      </c>
      <c r="BX38" s="62">
        <f t="shared" si="67"/>
        <v>6094.16</v>
      </c>
      <c r="BY38" s="62">
        <f t="shared" si="15"/>
        <v>12779.356618328646</v>
      </c>
      <c r="BZ38" s="79">
        <f t="shared" si="68"/>
        <v>0.47687533746883004</v>
      </c>
      <c r="CA38" s="79">
        <f t="shared" si="69"/>
        <v>0.34970529162345587</v>
      </c>
      <c r="CB38" s="79">
        <f t="shared" si="70"/>
        <v>0.65029470837654413</v>
      </c>
      <c r="CC38" s="79">
        <f t="shared" si="19"/>
        <v>0.10064697409742392</v>
      </c>
      <c r="CD38" s="33"/>
      <c r="CF38" s="36">
        <v>11083.400911215593</v>
      </c>
      <c r="CG38" s="36">
        <v>11765.400911215593</v>
      </c>
      <c r="CH38" s="81">
        <f t="shared" si="100"/>
        <v>1695.955707113053</v>
      </c>
      <c r="CI38" s="36">
        <f t="shared" si="101"/>
        <v>1695.955707113053</v>
      </c>
      <c r="CJ38" s="36">
        <v>4989.2409112155929</v>
      </c>
      <c r="CK38" s="81">
        <f t="shared" si="73"/>
        <v>1695.955707113053</v>
      </c>
      <c r="CM38" s="33">
        <f t="shared" si="84"/>
        <v>2017</v>
      </c>
      <c r="CN38" s="96">
        <f t="shared" si="91"/>
        <v>12779.356618328646</v>
      </c>
      <c r="CO38" s="97">
        <f t="shared" si="92"/>
        <v>0</v>
      </c>
      <c r="CP38" s="97">
        <f t="shared" si="93"/>
        <v>2683.6648898490157</v>
      </c>
      <c r="CQ38" s="62">
        <f t="shared" si="94"/>
        <v>6685.1966183286459</v>
      </c>
      <c r="CR38" s="98" t="str">
        <f t="shared" si="85"/>
        <v>N</v>
      </c>
      <c r="CS38" s="114" t="str">
        <f t="shared" si="95"/>
        <v>N</v>
      </c>
      <c r="CT38" s="99">
        <f t="shared" si="102"/>
        <v>2683.6648898490157</v>
      </c>
      <c r="CU38" s="100">
        <f t="shared" si="103"/>
        <v>0</v>
      </c>
      <c r="CV38" s="100">
        <f t="shared" si="105"/>
        <v>-1401.8248898490156</v>
      </c>
      <c r="CW38" s="100"/>
      <c r="CX38" s="101">
        <f t="shared" si="96"/>
        <v>3688</v>
      </c>
      <c r="CY38" s="102">
        <f t="shared" si="86"/>
        <v>3688</v>
      </c>
      <c r="CZ38" s="79">
        <v>0.1</v>
      </c>
      <c r="DA38" s="103">
        <f t="shared" si="97"/>
        <v>-268.36648898490159</v>
      </c>
      <c r="DB38" s="107">
        <f t="shared" si="87"/>
        <v>3688</v>
      </c>
      <c r="DC38" s="33"/>
      <c r="DD38" s="107">
        <f t="shared" si="104"/>
        <v>-2821.4109467382405</v>
      </c>
      <c r="DE38" s="105">
        <f t="shared" si="98"/>
        <v>3688</v>
      </c>
      <c r="DF38" s="105">
        <f t="shared" si="99"/>
        <v>3688</v>
      </c>
      <c r="DH38" s="66">
        <f t="shared" si="20"/>
        <v>0.13333887830385191</v>
      </c>
      <c r="DK38" s="106"/>
      <c r="DL38" s="106"/>
      <c r="DS38" s="14">
        <f t="shared" si="44"/>
        <v>6685.1966183286459</v>
      </c>
      <c r="DT38" s="14">
        <v>19861.298355492483</v>
      </c>
      <c r="DU38" s="14">
        <f>DT38-DS38</f>
        <v>13176.101737163837</v>
      </c>
      <c r="DW38" s="14">
        <f t="shared" si="45"/>
        <v>12779.356618328646</v>
      </c>
      <c r="DX38" s="14">
        <v>26393.298355492483</v>
      </c>
      <c r="DY38" s="14">
        <f>DX38-DW38</f>
        <v>13613.941737163837</v>
      </c>
      <c r="EG38" s="14">
        <f t="shared" si="47"/>
        <v>2406.16</v>
      </c>
      <c r="EJ38" s="89">
        <f t="shared" si="48"/>
        <v>0.13333887830385191</v>
      </c>
      <c r="EL38" s="67"/>
      <c r="EM38" s="67">
        <f t="shared" si="49"/>
        <v>6.6851966183286455</v>
      </c>
      <c r="EN38" s="67">
        <f t="shared" si="22"/>
        <v>3.6880000000000002</v>
      </c>
      <c r="EO38" s="67">
        <f t="shared" si="23"/>
        <v>2.4061599999999999</v>
      </c>
      <c r="EP38" s="67">
        <f t="shared" si="24"/>
        <v>0.68200000000000005</v>
      </c>
      <c r="ET38" s="66">
        <f t="shared" si="25"/>
        <v>0.18050919377652053</v>
      </c>
      <c r="EW38" s="14">
        <f t="shared" si="27"/>
        <v>2406.16</v>
      </c>
      <c r="EY38" s="14">
        <f t="shared" si="50"/>
        <v>222</v>
      </c>
      <c r="EZ38" s="14">
        <f t="shared" si="51"/>
        <v>275</v>
      </c>
      <c r="FB38" s="14">
        <f t="shared" si="52"/>
        <v>11907.091913162905</v>
      </c>
      <c r="FC38" s="66">
        <f t="shared" si="53"/>
        <v>0.8880351449547832</v>
      </c>
      <c r="FE38" s="14">
        <f t="shared" si="26"/>
        <v>7000</v>
      </c>
    </row>
    <row r="39" spans="2:161" x14ac:dyDescent="0.2">
      <c r="B39" s="4">
        <v>2018</v>
      </c>
      <c r="C39" s="71">
        <f t="shared" si="54"/>
        <v>17886.500664740754</v>
      </c>
      <c r="D39" s="71">
        <f t="shared" si="82"/>
        <v>14639.500664740754</v>
      </c>
      <c r="E39" s="71">
        <f>'Bayesian Sum (10Feb26)'!H34</f>
        <v>3247</v>
      </c>
      <c r="F39" s="110"/>
      <c r="G39" s="14">
        <f>'[1]Data-Nisgaa &amp; Other FN Catch'!BI31</f>
        <v>40</v>
      </c>
      <c r="H39" s="119">
        <f>'Data-Sport-Inriver (CH - new)'!C31</f>
        <v>339.09933525924703</v>
      </c>
      <c r="I39" s="14">
        <f>'Data-Chin-Nisga''a'!N33</f>
        <v>1817.4</v>
      </c>
      <c r="J39" s="14">
        <f t="shared" si="106"/>
        <v>2196.4993352592473</v>
      </c>
      <c r="L39" s="72">
        <f>'Bayesian Sum (10Feb26)'!K34</f>
        <v>20083</v>
      </c>
      <c r="M39" s="120">
        <f>H39/L39</f>
        <v>1.6884894450990739E-2</v>
      </c>
      <c r="N39" s="56">
        <f>'Data-Coastal-Chin-Esc (new)'!J46</f>
        <v>542.5286904897755</v>
      </c>
      <c r="O39" s="74">
        <f t="shared" si="56"/>
        <v>5.0723610136350548</v>
      </c>
      <c r="P39" s="14">
        <f>'Data-Coastal-Chin-Esc (new)'!AL46</f>
        <v>2751.9013784188164</v>
      </c>
      <c r="Q39" s="110"/>
      <c r="R39" s="121">
        <f t="shared" ref="R39:R44" si="107">(SUM(P39,S39)/(1-AVERAGE(U$34:U$38))-SUM(P39,S39))</f>
        <v>24.031446752735064</v>
      </c>
      <c r="S39" s="14">
        <f>'Data-Chin-Nisga''a'!P33+'Data-Chin-Nisga''a'!Q33+'Data-Chin-Nisga''a'!O33</f>
        <v>3686.1734568285642</v>
      </c>
      <c r="T39" s="14">
        <f t="shared" si="57"/>
        <v>3710.2049035812993</v>
      </c>
      <c r="U39" s="120">
        <f>R39/SUM(T39,P39)</f>
        <v>3.7188256744822503E-3</v>
      </c>
      <c r="V39" s="14">
        <f t="shared" si="3"/>
        <v>20638.402043159571</v>
      </c>
      <c r="W39" s="110"/>
      <c r="X39" s="14">
        <f t="shared" si="29"/>
        <v>40</v>
      </c>
      <c r="Y39" s="14">
        <f t="shared" ref="Y39:Z46" si="108">SUM(H39,R39)</f>
        <v>363.13078201198209</v>
      </c>
      <c r="Z39" s="111">
        <f t="shared" si="108"/>
        <v>5503.5734568285643</v>
      </c>
      <c r="AA39" s="111">
        <f t="shared" si="4"/>
        <v>5906.7042388405462</v>
      </c>
      <c r="AB39" s="110"/>
      <c r="AC39" s="14">
        <f>'A3.1b CF-tidal-Harvests (Chin)'!G33</f>
        <v>353.64</v>
      </c>
      <c r="AD39" s="14">
        <f>'A3.1b CF-tidal-Harvests (Chin)'!L33</f>
        <v>237</v>
      </c>
      <c r="AE39" s="14">
        <f t="shared" si="58"/>
        <v>590.64</v>
      </c>
      <c r="AF39" s="110"/>
      <c r="AJ39" s="14">
        <f t="shared" si="31"/>
        <v>27135.746282000116</v>
      </c>
      <c r="AK39" s="122">
        <f>HLOOKUP($B39,AZ$57:BF$64,7,FALSE)</f>
        <v>1269.029046710828</v>
      </c>
      <c r="AL39" s="111">
        <f t="shared" ref="AL39:AL46" si="109">SUM(AJ39:AK39)</f>
        <v>28404.775328710944</v>
      </c>
      <c r="AM39" s="113">
        <v>697</v>
      </c>
      <c r="AN39" s="14">
        <f>'[1]Data-FW Catch Rates - new'!CE33</f>
        <v>14639.500664740754</v>
      </c>
      <c r="AO39" s="117">
        <f>X39/AN39</f>
        <v>2.7323336305001182E-3</v>
      </c>
      <c r="AP39" s="60">
        <f t="shared" si="33"/>
        <v>20</v>
      </c>
      <c r="AQ39" s="59"/>
      <c r="AR39" s="77">
        <f t="shared" si="34"/>
        <v>0.27341787413123064</v>
      </c>
      <c r="AS39" s="61">
        <f t="shared" si="60"/>
        <v>9.0494448040631378E-2</v>
      </c>
      <c r="AT39" s="61">
        <f t="shared" si="35"/>
        <v>1.6884894450990739E-2</v>
      </c>
      <c r="AU39" s="61">
        <f t="shared" si="36"/>
        <v>0.10937107679426616</v>
      </c>
      <c r="AV39" s="61"/>
      <c r="AW39" s="33"/>
      <c r="AX39" s="61">
        <f t="shared" si="37"/>
        <v>0.19375521873132609</v>
      </c>
      <c r="AY39" s="61">
        <f>AC39/$AL39</f>
        <v>1.2450019262871908E-2</v>
      </c>
      <c r="AZ39" s="61">
        <f t="shared" si="39"/>
        <v>2.1127813019713719E-2</v>
      </c>
      <c r="BA39" s="61">
        <f t="shared" si="40"/>
        <v>1.4082139195647448E-3</v>
      </c>
      <c r="BB39" s="61">
        <f t="shared" si="61"/>
        <v>0.22874126493347646</v>
      </c>
      <c r="BC39" s="61">
        <f>BC$53</f>
        <v>4.4676609197754125E-2</v>
      </c>
      <c r="BD39" s="78">
        <f t="shared" si="41"/>
        <v>0.27341787413123064</v>
      </c>
      <c r="BE39" s="17"/>
      <c r="BF39" s="17"/>
      <c r="BG39" s="22">
        <f>'[1]Data-PSC CH Tables'!C33</f>
        <v>14470</v>
      </c>
      <c r="BH39" s="22">
        <f>'[1]Data-PSC CH Tables'!AG33</f>
        <v>22814.743227555235</v>
      </c>
      <c r="BI39" s="22">
        <f>'[1]Data-PSC CH Tables'!AI33</f>
        <v>23972.759764732047</v>
      </c>
      <c r="BJ39" s="17"/>
      <c r="BK39" s="22">
        <f t="shared" si="63"/>
        <v>-3416.5006647407536</v>
      </c>
      <c r="BL39" s="22">
        <f t="shared" si="64"/>
        <v>-4321.0030544448819</v>
      </c>
      <c r="BM39" s="22">
        <f t="shared" si="65"/>
        <v>-4432.0155639788973</v>
      </c>
      <c r="BO39" s="33"/>
      <c r="BP39" s="33"/>
      <c r="BQ39" s="33"/>
      <c r="BS39" s="62">
        <f t="shared" si="66"/>
        <v>353.64</v>
      </c>
      <c r="BT39" s="62">
        <f t="shared" si="10"/>
        <v>5503.5734568285643</v>
      </c>
      <c r="BU39" s="62">
        <f t="shared" si="11"/>
        <v>40</v>
      </c>
      <c r="BV39" s="62">
        <f t="shared" si="12"/>
        <v>237</v>
      </c>
      <c r="BW39" s="62">
        <f t="shared" si="13"/>
        <v>363.13078201198209</v>
      </c>
      <c r="BX39" s="62">
        <f t="shared" si="67"/>
        <v>6497.3442388405465</v>
      </c>
      <c r="BY39" s="62">
        <f t="shared" si="15"/>
        <v>27135.746282000116</v>
      </c>
      <c r="BZ39" s="79">
        <f t="shared" si="68"/>
        <v>0.23943856827517632</v>
      </c>
      <c r="CA39" s="79">
        <f t="shared" si="69"/>
        <v>9.0904834081162969E-2</v>
      </c>
      <c r="CB39" s="79">
        <f t="shared" si="70"/>
        <v>0.90909516591883699</v>
      </c>
      <c r="CC39" s="79">
        <f t="shared" si="19"/>
        <v>0.16340047021326418</v>
      </c>
      <c r="CD39" s="33"/>
      <c r="CF39" s="36">
        <v>22832.598312709997</v>
      </c>
      <c r="CG39" s="36">
        <v>23990.769389826299</v>
      </c>
      <c r="CH39" s="81">
        <f t="shared" si="100"/>
        <v>4303.1479692901194</v>
      </c>
      <c r="CI39" s="36">
        <f t="shared" si="101"/>
        <v>4414.0059388846457</v>
      </c>
      <c r="CJ39" s="36">
        <v>16336.336710944441</v>
      </c>
      <c r="CK39" s="81">
        <f t="shared" si="73"/>
        <v>4302.0653322151302</v>
      </c>
      <c r="CM39" s="33">
        <f t="shared" si="84"/>
        <v>2018</v>
      </c>
      <c r="CN39" s="96">
        <f t="shared" si="91"/>
        <v>27135.746282000116</v>
      </c>
      <c r="CO39" s="97">
        <f t="shared" si="92"/>
        <v>6437.2395627800925</v>
      </c>
      <c r="CP39" s="97">
        <f t="shared" si="93"/>
        <v>12135.746282000116</v>
      </c>
      <c r="CQ39" s="62">
        <f t="shared" si="94"/>
        <v>20638.402043159571</v>
      </c>
      <c r="CR39" s="98" t="str">
        <f t="shared" si="85"/>
        <v>Y</v>
      </c>
      <c r="CS39" s="114" t="str">
        <f t="shared" si="95"/>
        <v>Y</v>
      </c>
      <c r="CT39" s="99">
        <f t="shared" si="102"/>
        <v>5698.506719220024</v>
      </c>
      <c r="CU39" s="100">
        <f t="shared" si="103"/>
        <v>5698.506719220024</v>
      </c>
      <c r="CV39" s="100">
        <f t="shared" si="105"/>
        <v>-1188.7040444034419</v>
      </c>
      <c r="CW39" s="100"/>
      <c r="CX39" s="101">
        <f t="shared" si="96"/>
        <v>5503.5734568285643</v>
      </c>
      <c r="CY39" s="102">
        <f t="shared" si="86"/>
        <v>-194.93326239145972</v>
      </c>
      <c r="CZ39" s="79">
        <v>0.1</v>
      </c>
      <c r="DA39" s="103">
        <f t="shared" si="97"/>
        <v>-569.85067192200245</v>
      </c>
      <c r="DB39" s="107">
        <f t="shared" si="87"/>
        <v>-194.93326239145972</v>
      </c>
      <c r="DC39" s="33"/>
      <c r="DD39" s="107">
        <f t="shared" si="104"/>
        <v>-3016.3442091297002</v>
      </c>
      <c r="DE39" s="105">
        <f t="shared" si="98"/>
        <v>-194.93326239145972</v>
      </c>
      <c r="DF39" s="105">
        <f t="shared" si="99"/>
        <v>194.93326239145972</v>
      </c>
      <c r="DH39" s="66">
        <f t="shared" si="20"/>
        <v>0.1333388783038516</v>
      </c>
      <c r="DK39" s="106"/>
      <c r="DL39" s="106"/>
      <c r="DS39" s="14">
        <f t="shared" si="44"/>
        <v>20638.402043159571</v>
      </c>
      <c r="DT39" s="14">
        <v>19861.298355492483</v>
      </c>
      <c r="DU39" s="14">
        <f>DT39-DS39</f>
        <v>-777.1036876670878</v>
      </c>
      <c r="DW39" s="14">
        <f t="shared" si="45"/>
        <v>27135.746282000116</v>
      </c>
      <c r="DX39" s="14">
        <v>26393.298355492483</v>
      </c>
      <c r="DY39" s="14">
        <f>DX39-DW39</f>
        <v>-742.44792650763338</v>
      </c>
      <c r="EG39" s="14">
        <f t="shared" si="47"/>
        <v>993.77078201198208</v>
      </c>
      <c r="EJ39" s="89">
        <f t="shared" si="48"/>
        <v>0.1333388783038516</v>
      </c>
      <c r="EL39" s="67"/>
      <c r="EM39" s="67">
        <f t="shared" si="49"/>
        <v>20.638402043159569</v>
      </c>
      <c r="EN39" s="67">
        <f t="shared" si="22"/>
        <v>5.5035734568285646</v>
      </c>
      <c r="EO39" s="67">
        <f t="shared" si="23"/>
        <v>0.9937707820119821</v>
      </c>
      <c r="EP39" s="67">
        <f t="shared" si="24"/>
        <v>1.2690290467108281</v>
      </c>
      <c r="ET39" s="66">
        <f t="shared" si="25"/>
        <v>0.10937107679426616</v>
      </c>
      <c r="EW39" s="14">
        <f t="shared" si="27"/>
        <v>993.77078201198219</v>
      </c>
      <c r="EY39" s="14">
        <f t="shared" si="50"/>
        <v>379.09933525924703</v>
      </c>
      <c r="EZ39" s="14">
        <f t="shared" si="51"/>
        <v>403.13078201198209</v>
      </c>
      <c r="FB39" s="14">
        <f t="shared" si="52"/>
        <v>24960.496650974976</v>
      </c>
      <c r="FC39" s="66">
        <f t="shared" si="53"/>
        <v>0.87948704779519526</v>
      </c>
      <c r="FE39" s="14">
        <f t="shared" si="26"/>
        <v>20000</v>
      </c>
    </row>
    <row r="40" spans="2:161" x14ac:dyDescent="0.2">
      <c r="B40" s="4">
        <v>2019</v>
      </c>
      <c r="C40" s="71">
        <f t="shared" si="54"/>
        <v>11713.507023075654</v>
      </c>
      <c r="D40" s="71">
        <f t="shared" si="82"/>
        <v>9264.5070230756537</v>
      </c>
      <c r="E40" s="71">
        <f>'Bayesian Sum (10Feb26)'!H35</f>
        <v>2449</v>
      </c>
      <c r="F40" s="110"/>
      <c r="G40" s="14">
        <f>'[1]Data-Nisgaa &amp; Other FN Catch'!BI32</f>
        <v>110</v>
      </c>
      <c r="H40" s="119">
        <f>'Data-Sport-Inriver (CH - new)'!C32</f>
        <v>252.29297692434648</v>
      </c>
      <c r="I40" s="14">
        <f>'Data-Chin-Nisga''a'!N34</f>
        <v>2242.1999999999998</v>
      </c>
      <c r="J40" s="14">
        <f t="shared" si="106"/>
        <v>2604.4929769243463</v>
      </c>
      <c r="L40" s="72">
        <f>'Bayesian Sum (10Feb26)'!K35</f>
        <v>14318</v>
      </c>
      <c r="M40" s="120">
        <f t="shared" si="28"/>
        <v>1.7620685635168772E-2</v>
      </c>
      <c r="N40" s="56">
        <f>'Data-Coastal-Chin-Esc (new)'!J47</f>
        <v>1001.9674013549908</v>
      </c>
      <c r="O40" s="74">
        <f t="shared" si="56"/>
        <v>2.885164704693179</v>
      </c>
      <c r="P40" s="14">
        <f>'Data-Coastal-Chin-Esc (new)'!AL47</f>
        <v>2890.8409816425637</v>
      </c>
      <c r="Q40" s="110"/>
      <c r="R40" s="121">
        <f t="shared" si="107"/>
        <v>27.362329799524559</v>
      </c>
      <c r="S40" s="14">
        <f>'Data-Chin-Nisga''a'!P34+'Data-Chin-Nisga''a'!Q34+'Data-Chin-Nisga''a'!O34</f>
        <v>4439.5843867763651</v>
      </c>
      <c r="T40" s="14">
        <f t="shared" si="57"/>
        <v>4466.9467165758897</v>
      </c>
      <c r="U40" s="120">
        <f t="shared" si="83"/>
        <v>3.7188256744822659E-3</v>
      </c>
      <c r="V40" s="14">
        <f t="shared" si="3"/>
        <v>14604.348004718217</v>
      </c>
      <c r="W40" s="110"/>
      <c r="X40" s="14">
        <f t="shared" si="29"/>
        <v>110</v>
      </c>
      <c r="Y40" s="14">
        <f t="shared" si="108"/>
        <v>279.65530672387104</v>
      </c>
      <c r="Z40" s="111">
        <f t="shared" si="108"/>
        <v>6681.784386776365</v>
      </c>
      <c r="AA40" s="111">
        <f t="shared" si="4"/>
        <v>7071.439693500236</v>
      </c>
      <c r="AB40" s="110"/>
      <c r="AC40" s="14">
        <f>'A3.1b CF-tidal-Harvests (Chin)'!G34</f>
        <v>364.87200000000001</v>
      </c>
      <c r="AD40" s="14">
        <f>'A3.1b CF-tidal-Harvests (Chin)'!L34</f>
        <v>879</v>
      </c>
      <c r="AE40" s="14">
        <f t="shared" si="58"/>
        <v>1243.8720000000001</v>
      </c>
      <c r="AF40" s="110"/>
      <c r="AJ40" s="14">
        <f t="shared" si="31"/>
        <v>22919.659698218453</v>
      </c>
      <c r="AK40" s="122">
        <f>HLOOKUP($B40,AZ$57:BF$64,7,FALSE)</f>
        <v>1071.8597379081511</v>
      </c>
      <c r="AL40" s="111">
        <f t="shared" si="109"/>
        <v>23991.519436126604</v>
      </c>
      <c r="AM40" s="113">
        <v>681</v>
      </c>
      <c r="AN40" s="14">
        <f>'[1]Data-FW Catch Rates - new'!CE34</f>
        <v>9264.5070230756537</v>
      </c>
      <c r="AO40" s="123">
        <f>AVERAGE(AO35:AO39)</f>
        <v>1.019783650673735E-2</v>
      </c>
      <c r="AP40" s="60">
        <f t="shared" si="33"/>
        <v>10</v>
      </c>
      <c r="AQ40" s="59"/>
      <c r="AR40" s="77">
        <f t="shared" si="34"/>
        <v>0.39127040104317512</v>
      </c>
      <c r="AS40" s="61">
        <f>I40/L40</f>
        <v>0.15660008381058807</v>
      </c>
      <c r="AT40" s="61">
        <f>H40/$L40</f>
        <v>1.7620685635168772E-2</v>
      </c>
      <c r="AU40" s="61">
        <f>J40/$L40</f>
        <v>0.18190340668559479</v>
      </c>
      <c r="AV40" s="61"/>
      <c r="AW40" s="33"/>
      <c r="AX40" s="61">
        <f>Z40/$AL40</f>
        <v>0.27850609481260641</v>
      </c>
      <c r="AY40" s="61">
        <f t="shared" si="38"/>
        <v>1.5208373982790482E-2</v>
      </c>
      <c r="AZ40" s="61">
        <f>SUM(Y40,AD40)/$AL40</f>
        <v>4.8294369592080083E-2</v>
      </c>
      <c r="BA40" s="61">
        <f>X40/AL40</f>
        <v>4.5849534579440266E-3</v>
      </c>
      <c r="BB40" s="61">
        <f t="shared" si="61"/>
        <v>0.346593791845421</v>
      </c>
      <c r="BC40" s="61">
        <f>BC$53</f>
        <v>4.4676609197754125E-2</v>
      </c>
      <c r="BD40" s="78">
        <f t="shared" si="41"/>
        <v>0.39127040104317512</v>
      </c>
      <c r="BE40" s="17"/>
      <c r="BF40" s="17"/>
      <c r="BG40" s="22">
        <f>'[1]Data-PSC CH Tables'!C34</f>
        <v>10492.571428571428</v>
      </c>
      <c r="BH40" s="22">
        <f>'[1]Data-PSC CH Tables'!AG34</f>
        <v>20144.856913645377</v>
      </c>
      <c r="BI40" s="22">
        <f>'[1]Data-PSC CH Tables'!AI34</f>
        <v>21167.357022999524</v>
      </c>
      <c r="BJ40" s="17"/>
      <c r="BK40" s="22">
        <f t="shared" si="63"/>
        <v>-1220.9355945042262</v>
      </c>
      <c r="BL40" s="22">
        <f t="shared" si="64"/>
        <v>-2774.8027845730758</v>
      </c>
      <c r="BM40" s="22">
        <f t="shared" si="65"/>
        <v>-2824.1624131270801</v>
      </c>
      <c r="BO40" s="33"/>
      <c r="BP40" s="33"/>
      <c r="BQ40" s="33"/>
      <c r="BS40" s="62">
        <f t="shared" si="66"/>
        <v>364.87200000000001</v>
      </c>
      <c r="BT40" s="62">
        <f t="shared" si="10"/>
        <v>6681.784386776365</v>
      </c>
      <c r="BU40" s="62">
        <f t="shared" si="11"/>
        <v>110</v>
      </c>
      <c r="BV40" s="62">
        <f t="shared" si="12"/>
        <v>879</v>
      </c>
      <c r="BW40" s="62">
        <f t="shared" si="13"/>
        <v>279.65530672387104</v>
      </c>
      <c r="BX40" s="62">
        <f t="shared" si="67"/>
        <v>8315.3116935002363</v>
      </c>
      <c r="BY40" s="62">
        <f t="shared" si="15"/>
        <v>22919.659698218453</v>
      </c>
      <c r="BZ40" s="79">
        <f t="shared" si="68"/>
        <v>0.3628025809714176</v>
      </c>
      <c r="CA40" s="79">
        <f t="shared" si="69"/>
        <v>0.14958813882734998</v>
      </c>
      <c r="CB40" s="79">
        <f t="shared" si="70"/>
        <v>0.85041186117265</v>
      </c>
      <c r="CC40" s="79">
        <f t="shared" si="19"/>
        <v>0.11418346258403599</v>
      </c>
      <c r="CD40" s="33"/>
      <c r="CF40" s="36">
        <v>20157.790213668082</v>
      </c>
      <c r="CG40" s="36">
        <v>21180.283111073128</v>
      </c>
      <c r="CH40" s="81">
        <f t="shared" si="100"/>
        <v>2761.8694845503705</v>
      </c>
      <c r="CI40" s="36">
        <f t="shared" si="101"/>
        <v>2811.2363250534763</v>
      </c>
      <c r="CJ40" s="36">
        <v>11845.900471373752</v>
      </c>
      <c r="CK40" s="81">
        <f t="shared" si="73"/>
        <v>2758.4475333444643</v>
      </c>
      <c r="CM40" s="33">
        <f t="shared" si="84"/>
        <v>2019</v>
      </c>
      <c r="CN40" s="96">
        <f t="shared" si="91"/>
        <v>22919.659698218453</v>
      </c>
      <c r="CO40" s="97">
        <f>IF((CN40-DE$2-CT40)&gt;0, (CN40-DE$2-CT40),0)</f>
        <v>3106.5311615925775</v>
      </c>
      <c r="CP40" s="97">
        <f t="shared" si="93"/>
        <v>7919.6596982184528</v>
      </c>
      <c r="CQ40" s="62">
        <f>V40</f>
        <v>14604.348004718217</v>
      </c>
      <c r="CR40" s="98" t="str">
        <f t="shared" si="85"/>
        <v>Y</v>
      </c>
      <c r="CS40" s="114" t="str">
        <f t="shared" si="95"/>
        <v>N</v>
      </c>
      <c r="CT40" s="99">
        <f t="shared" si="102"/>
        <v>4813.1285366258753</v>
      </c>
      <c r="CU40" s="100">
        <f>IF(CR40="N",0,IF(CS40="N",(BX40-BT40)+CT40,CT40))</f>
        <v>6446.6558433497466</v>
      </c>
      <c r="CV40" s="100">
        <f t="shared" si="105"/>
        <v>235.12854342661831</v>
      </c>
      <c r="CW40" s="100"/>
      <c r="CX40" s="101">
        <f t="shared" si="96"/>
        <v>6681.784386776365</v>
      </c>
      <c r="CY40" s="102">
        <f t="shared" si="86"/>
        <v>235.12854342661831</v>
      </c>
      <c r="CZ40" s="79">
        <v>0.1</v>
      </c>
      <c r="DA40" s="103">
        <f t="shared" si="97"/>
        <v>-481.31285366258754</v>
      </c>
      <c r="DB40" s="107">
        <f>IF(CX40&gt;CT40,CY40,(IF(CY40*-1&gt;(CT40*CZ40),CT40*CZ40*-1,CY40)))</f>
        <v>235.12854342661831</v>
      </c>
      <c r="DC40" s="33"/>
      <c r="DD40" s="107">
        <f t="shared" si="104"/>
        <v>-2781.2156657030819</v>
      </c>
      <c r="DE40" s="105">
        <f t="shared" si="98"/>
        <v>235.12854342661831</v>
      </c>
      <c r="DF40" s="105">
        <f t="shared" si="99"/>
        <v>235.12854342661831</v>
      </c>
      <c r="DH40" s="66">
        <f>P40/V40</f>
        <v>0.19794385759012464</v>
      </c>
      <c r="DK40" s="106"/>
      <c r="DL40" s="106"/>
      <c r="DS40" s="14">
        <f>V40</f>
        <v>14604.348004718217</v>
      </c>
      <c r="DT40" s="14">
        <v>19861.298355492483</v>
      </c>
      <c r="DU40" s="14">
        <f>DT40-DS40</f>
        <v>5256.9503507742666</v>
      </c>
      <c r="DW40" s="14">
        <f>AJ40</f>
        <v>22919.659698218453</v>
      </c>
      <c r="DX40" s="14">
        <v>26393.298355492483</v>
      </c>
      <c r="DY40" s="14">
        <f>DX40-DW40</f>
        <v>3473.6386572740303</v>
      </c>
      <c r="EG40" s="14">
        <f>SUM(X40:Y40,AE40)</f>
        <v>1633.5273067238711</v>
      </c>
      <c r="EJ40" s="89">
        <f>$P40/V40</f>
        <v>0.19794385759012464</v>
      </c>
      <c r="EL40" s="67"/>
      <c r="EM40" s="67">
        <f>V40/1000</f>
        <v>14.604348004718217</v>
      </c>
      <c r="EN40" s="67">
        <f>Z40/1000</f>
        <v>6.6817843867763651</v>
      </c>
      <c r="EO40" s="67">
        <f>SUM(X40:Y40,AE40)/1000</f>
        <v>1.6335273067238711</v>
      </c>
      <c r="EP40" s="67">
        <f>AK40/1000</f>
        <v>1.0718597379081511</v>
      </c>
      <c r="ET40" s="66">
        <f>J40/L40</f>
        <v>0.18190340668559479</v>
      </c>
      <c r="EW40" s="14">
        <f>BX40-BT40</f>
        <v>1633.5273067238713</v>
      </c>
      <c r="EY40" s="14">
        <f>G40+H40</f>
        <v>362.29297692434648</v>
      </c>
      <c r="EZ40" s="14">
        <f>EY40+R40</f>
        <v>389.65530672387104</v>
      </c>
      <c r="FB40" s="14">
        <f>L40+SUM(S40,AE40,AK40)*FC40</f>
        <v>19938.518916783021</v>
      </c>
      <c r="FC40" s="66">
        <f>L40/SUM(L40,P40)</f>
        <v>0.83201419638159524</v>
      </c>
      <c r="FE40" s="14">
        <f>ROUND(L40,-3)</f>
        <v>14000</v>
      </c>
    </row>
    <row r="41" spans="2:161" x14ac:dyDescent="0.2">
      <c r="B41" s="4">
        <v>2020</v>
      </c>
      <c r="C41" s="71">
        <f t="shared" si="54"/>
        <v>12828.597538855378</v>
      </c>
      <c r="D41" s="71">
        <f t="shared" si="82"/>
        <v>10238.597538855378</v>
      </c>
      <c r="E41" s="71">
        <f>'Bayesian Sum (10Feb26)'!H36</f>
        <v>2590</v>
      </c>
      <c r="F41" s="110"/>
      <c r="G41" s="14">
        <f>'[1]Data-Nisgaa &amp; Other FN Catch'!BI33</f>
        <v>266</v>
      </c>
      <c r="H41" s="119">
        <f>'Data-Sport-Inriver (CH - new)'!C33</f>
        <v>229.60246114462157</v>
      </c>
      <c r="I41" s="14">
        <f>'Data-Chin-Nisga''a'!N35</f>
        <v>1984.8</v>
      </c>
      <c r="J41" s="14">
        <f t="shared" si="106"/>
        <v>2480.4024611446216</v>
      </c>
      <c r="L41" s="72">
        <f>'Bayesian Sum (10Feb26)'!K36</f>
        <v>15309</v>
      </c>
      <c r="M41" s="120">
        <f t="shared" si="28"/>
        <v>1.4997874527704068E-2</v>
      </c>
      <c r="N41" s="56">
        <f>'Data-Coastal-Chin-Esc (new)'!J48</f>
        <v>870.64279376325646</v>
      </c>
      <c r="O41" s="74">
        <f t="shared" si="56"/>
        <v>2.2669745969610036</v>
      </c>
      <c r="P41" s="14">
        <f>'Data-Coastal-Chin-Esc (new)'!AL48</f>
        <v>1973.7250964884604</v>
      </c>
      <c r="Q41" s="110"/>
      <c r="R41" s="121">
        <f t="shared" si="107"/>
        <v>20.777460434651402</v>
      </c>
      <c r="S41" s="14">
        <f>'Data-Chin-Nisga''a'!P35+'Data-Chin-Nisga''a'!Q35+'Data-Chin-Nisga''a'!O35</f>
        <v>3592.6</v>
      </c>
      <c r="T41" s="14">
        <f t="shared" si="57"/>
        <v>3613.3774604346513</v>
      </c>
      <c r="U41" s="120">
        <f t="shared" si="83"/>
        <v>3.7188256744823053E-3</v>
      </c>
      <c r="V41" s="14">
        <f t="shared" si="3"/>
        <v>14802.322635343839</v>
      </c>
      <c r="W41" s="110"/>
      <c r="X41" s="14">
        <f t="shared" si="29"/>
        <v>266</v>
      </c>
      <c r="Y41" s="14">
        <f t="shared" si="108"/>
        <v>250.37992157927297</v>
      </c>
      <c r="Z41" s="111">
        <f t="shared" si="108"/>
        <v>5577.4</v>
      </c>
      <c r="AA41" s="111">
        <f t="shared" si="4"/>
        <v>6093.7799215792729</v>
      </c>
      <c r="AB41" s="110"/>
      <c r="AC41" s="14">
        <f>'A3.1b CF-tidal-Harvests (Chin)'!G35</f>
        <v>138.28</v>
      </c>
      <c r="AD41" s="14">
        <f>'A3.1b CF-tidal-Harvests (Chin)'!L35</f>
        <v>330</v>
      </c>
      <c r="AE41" s="14">
        <f t="shared" si="58"/>
        <v>468.28</v>
      </c>
      <c r="AF41" s="110"/>
      <c r="AJ41" s="14">
        <f t="shared" si="31"/>
        <v>21364.382556923112</v>
      </c>
      <c r="AK41" s="122">
        <f>HLOOKUP($B41,AZ$57:BF$64,7,FALSE)</f>
        <v>999.12571955913882</v>
      </c>
      <c r="AL41" s="111">
        <f t="shared" si="109"/>
        <v>22363.508276482251</v>
      </c>
      <c r="AM41" s="113">
        <v>505</v>
      </c>
      <c r="AN41" s="14">
        <f>'[1]Data-FW Catch Rates - new'!CE35</f>
        <v>10238.597538855378</v>
      </c>
      <c r="AO41" s="123">
        <f>AVERAGE(AO36:AO40)</f>
        <v>1.1028741729857523E-2</v>
      </c>
      <c r="AP41" s="60">
        <f t="shared" si="33"/>
        <v>13</v>
      </c>
      <c r="AQ41" s="59"/>
      <c r="AR41" s="77">
        <f>SUM(AE41,AA41,AK41)/AL41</f>
        <v>0.33810373344194167</v>
      </c>
      <c r="AS41" s="61">
        <f>I41/L41</f>
        <v>0.12964922594552225</v>
      </c>
      <c r="AT41" s="61">
        <f>H41/$L41</f>
        <v>1.4997874527704068E-2</v>
      </c>
      <c r="AU41" s="61">
        <f>J41/$L41</f>
        <v>0.16202250056467579</v>
      </c>
      <c r="AV41" s="61"/>
      <c r="AW41" s="33"/>
      <c r="AX41" s="61">
        <f>Z41/$AL41</f>
        <v>0.24939736337635648</v>
      </c>
      <c r="AY41" s="61">
        <f t="shared" si="38"/>
        <v>6.1832874471407064E-3</v>
      </c>
      <c r="AZ41" s="61">
        <f>SUM(Y41,AD41)/$AL41</f>
        <v>2.595209635286105E-2</v>
      </c>
      <c r="BA41" s="61">
        <f>X41/AL41</f>
        <v>1.1894377067829245E-2</v>
      </c>
      <c r="BB41" s="61">
        <f t="shared" si="61"/>
        <v>0.29342712424418749</v>
      </c>
      <c r="BC41" s="61">
        <f>BC$53</f>
        <v>4.4676609197754125E-2</v>
      </c>
      <c r="BD41" s="78">
        <f t="shared" si="41"/>
        <v>0.33810373344194167</v>
      </c>
      <c r="BE41" s="17"/>
      <c r="BF41" s="17"/>
      <c r="BG41" s="22">
        <f>'[1]Data-PSC CH Tables'!C35</f>
        <v>12265.648310387985</v>
      </c>
      <c r="BH41" s="22">
        <f>'[1]Data-PSC CH Tables'!AG35</f>
        <v>20765.726660226421</v>
      </c>
      <c r="BI41" s="22">
        <f>'[1]Data-PSC CH Tables'!AI35</f>
        <v>21819.740489757143</v>
      </c>
      <c r="BJ41" s="17"/>
      <c r="BK41" s="22">
        <f t="shared" si="63"/>
        <v>-562.94922846739246</v>
      </c>
      <c r="BL41" s="22">
        <f t="shared" si="64"/>
        <v>-598.65589669669134</v>
      </c>
      <c r="BM41" s="22">
        <f t="shared" si="65"/>
        <v>-543.76778672510773</v>
      </c>
      <c r="BO41" s="33"/>
      <c r="BP41" s="33"/>
      <c r="BQ41" s="33"/>
      <c r="BS41" s="62">
        <f t="shared" si="66"/>
        <v>138.28</v>
      </c>
      <c r="BT41" s="62">
        <f t="shared" si="10"/>
        <v>5577.4</v>
      </c>
      <c r="BU41" s="62">
        <f t="shared" si="11"/>
        <v>266</v>
      </c>
      <c r="BV41" s="62">
        <f t="shared" si="12"/>
        <v>330</v>
      </c>
      <c r="BW41" s="62">
        <f t="shared" si="13"/>
        <v>250.37992157927297</v>
      </c>
      <c r="BX41" s="62">
        <f t="shared" si="67"/>
        <v>6562.0599215792727</v>
      </c>
      <c r="BY41" s="62">
        <f t="shared" si="15"/>
        <v>21364.382556923112</v>
      </c>
      <c r="BZ41" s="79">
        <f t="shared" si="68"/>
        <v>0.3071495234695113</v>
      </c>
      <c r="CA41" s="79">
        <f t="shared" si="69"/>
        <v>7.1361737868327835E-2</v>
      </c>
      <c r="CB41" s="79">
        <f t="shared" si="70"/>
        <v>0.92863826213167222</v>
      </c>
      <c r="CC41" s="79">
        <f t="shared" si="19"/>
        <v>0.13213876328113941</v>
      </c>
      <c r="CD41" s="33"/>
      <c r="CF41" s="36">
        <v>20410.336035638335</v>
      </c>
      <c r="CG41" s="36">
        <v>21445.639181909788</v>
      </c>
      <c r="CH41" s="81">
        <f t="shared" si="100"/>
        <v>954.04652128477755</v>
      </c>
      <c r="CI41" s="36">
        <f t="shared" si="101"/>
        <v>917.86909457246293</v>
      </c>
      <c r="CJ41" s="36">
        <v>13847.668332862815</v>
      </c>
      <c r="CK41" s="81">
        <f t="shared" si="73"/>
        <v>954.65430248102348</v>
      </c>
      <c r="CM41" s="33">
        <f t="shared" si="84"/>
        <v>2020</v>
      </c>
      <c r="CN41" s="96">
        <f t="shared" si="91"/>
        <v>21364.382556923112</v>
      </c>
      <c r="CO41" s="97">
        <f>IF((CN41-DE$2-CT41)&gt;0, (CN41-DE$2-CT41),0)</f>
        <v>1877.8622199692591</v>
      </c>
      <c r="CP41" s="97">
        <f t="shared" si="93"/>
        <v>6364.3825569231121</v>
      </c>
      <c r="CQ41" s="62">
        <f>V41</f>
        <v>14802.322635343839</v>
      </c>
      <c r="CR41" s="98" t="str">
        <f t="shared" si="85"/>
        <v>Y</v>
      </c>
      <c r="CS41" s="114" t="str">
        <f t="shared" si="95"/>
        <v>N</v>
      </c>
      <c r="CT41" s="99">
        <f t="shared" si="102"/>
        <v>4486.5203369538531</v>
      </c>
      <c r="CU41" s="100">
        <f>IF(CR41="N",0,IF(CS41="N",(BX41-BT41)+CT41,CT41))</f>
        <v>5471.1802585331261</v>
      </c>
      <c r="CV41" s="100">
        <f t="shared" si="105"/>
        <v>106.21974146687353</v>
      </c>
      <c r="CW41" s="100"/>
      <c r="CX41" s="101">
        <f t="shared" si="96"/>
        <v>5577.4</v>
      </c>
      <c r="CY41" s="102">
        <f t="shared" si="86"/>
        <v>106.21974146687353</v>
      </c>
      <c r="CZ41" s="79">
        <v>0.1</v>
      </c>
      <c r="DA41" s="103">
        <f t="shared" si="97"/>
        <v>-448.65203369538534</v>
      </c>
      <c r="DB41" s="107">
        <f>IF(CX41&gt;CT41,CY41,(IF(CY41*-1&gt;(CT41*CZ41),CT41*CZ41*-1,CY41)))</f>
        <v>106.21974146687353</v>
      </c>
      <c r="DC41" s="33"/>
      <c r="DD41" s="107">
        <f t="shared" si="104"/>
        <v>-2674.9959242362083</v>
      </c>
      <c r="DE41" s="105">
        <f t="shared" si="98"/>
        <v>106.21974146687353</v>
      </c>
      <c r="DF41" s="105">
        <f t="shared" si="99"/>
        <v>106.21974146687353</v>
      </c>
      <c r="DH41" s="66">
        <f>P41/V41</f>
        <v>0.13333887830385163</v>
      </c>
      <c r="DK41" s="106"/>
      <c r="DL41" s="106"/>
      <c r="DS41" s="14">
        <f>V41</f>
        <v>14802.322635343839</v>
      </c>
      <c r="DT41" s="14">
        <v>19861.298355492483</v>
      </c>
      <c r="DU41" s="14">
        <f>DT41-DS41</f>
        <v>5058.9757201486445</v>
      </c>
      <c r="DW41" s="14">
        <f>AJ41</f>
        <v>21364.382556923112</v>
      </c>
      <c r="DX41" s="14">
        <v>26393.298355492483</v>
      </c>
      <c r="DY41" s="14">
        <f>DX41-DW41</f>
        <v>5028.915798569371</v>
      </c>
      <c r="EG41" s="14">
        <f>SUM(X41:Y41,AE41)</f>
        <v>984.65992157927292</v>
      </c>
      <c r="EJ41" s="89">
        <f>$P41/V41</f>
        <v>0.13333887830385163</v>
      </c>
      <c r="EL41" s="67"/>
      <c r="EM41" s="67">
        <f>V41/1000</f>
        <v>14.802322635343838</v>
      </c>
      <c r="EN41" s="67">
        <f>Z41/1000</f>
        <v>5.5773999999999999</v>
      </c>
      <c r="EO41" s="67">
        <f>SUM(X41:Y41,AE41)/1000</f>
        <v>0.98465992157927296</v>
      </c>
      <c r="EP41" s="67">
        <f>AK41/1000</f>
        <v>0.99912571955913887</v>
      </c>
      <c r="ET41" s="66">
        <f>J41/L41</f>
        <v>0.16202250056467579</v>
      </c>
      <c r="EW41" s="14">
        <f>BX41-BT41</f>
        <v>984.65992157927303</v>
      </c>
      <c r="EY41" s="14" t="e">
        <f>#REF!+H41</f>
        <v>#REF!</v>
      </c>
      <c r="EZ41" s="14" t="e">
        <f>EY41+R41</f>
        <v>#REF!</v>
      </c>
      <c r="FB41" s="14">
        <f>L41+SUM(S41,AE41,AK41)*FC41</f>
        <v>19791.141972880774</v>
      </c>
      <c r="FC41" s="66">
        <f>L41/SUM(L41,P41)</f>
        <v>0.88579780761024285</v>
      </c>
      <c r="FE41" s="14">
        <f>ROUND(L41,-3)</f>
        <v>15000</v>
      </c>
    </row>
    <row r="42" spans="2:161" ht="14.45" customHeight="1" x14ac:dyDescent="0.2">
      <c r="B42" s="4">
        <v>2021</v>
      </c>
      <c r="C42" s="71">
        <f t="shared" si="54"/>
        <v>11766.207465205587</v>
      </c>
      <c r="D42" s="71">
        <f t="shared" si="82"/>
        <v>10134.207465205587</v>
      </c>
      <c r="E42" s="71">
        <f>'Bayesian Sum (10Feb26)'!H37</f>
        <v>1632</v>
      </c>
      <c r="F42" s="110"/>
      <c r="G42" s="14">
        <f>'[1]Data-Nisgaa &amp; Other FN Catch'!BI34</f>
        <v>299</v>
      </c>
      <c r="H42" s="119">
        <f>'Data-Sport-Inriver (CH - new)'!C34</f>
        <v>250.79253479441255</v>
      </c>
      <c r="I42" s="14">
        <f>'Data-Chin-Nisga''a'!N36</f>
        <v>1064</v>
      </c>
      <c r="J42" s="14">
        <f t="shared" si="106"/>
        <v>1613.7925347944124</v>
      </c>
      <c r="L42" s="72">
        <f>'Bayesian Sum (10Feb26)'!K37</f>
        <v>13380</v>
      </c>
      <c r="M42" s="120">
        <f t="shared" si="28"/>
        <v>1.8743836681196752E-2</v>
      </c>
      <c r="N42" s="56">
        <f>'Data-Coastal-Chin-Esc (new)'!J49</f>
        <v>737.4474409860419</v>
      </c>
      <c r="O42" s="74">
        <f t="shared" si="56"/>
        <v>2.0175547247860131</v>
      </c>
      <c r="P42" s="14">
        <f>'Data-Coastal-Chin-Esc (new)'!AL49</f>
        <v>1487.8405688427433</v>
      </c>
      <c r="Q42" s="110"/>
      <c r="R42" s="121">
        <f t="shared" si="107"/>
        <v>22.396393197385805</v>
      </c>
      <c r="S42" s="14">
        <f>'Data-Chin-Nisga''a'!P36+'Data-Chin-Nisga''a'!Q36+'Data-Chin-Nisga''a'!O36</f>
        <v>4512.2000000000007</v>
      </c>
      <c r="T42" s="14">
        <f t="shared" si="57"/>
        <v>4534.5963931973865</v>
      </c>
      <c r="U42" s="120">
        <f t="shared" si="83"/>
        <v>3.7188256744822641E-3</v>
      </c>
      <c r="V42" s="14">
        <f t="shared" si="3"/>
        <v>13254.04803404833</v>
      </c>
      <c r="W42" s="110"/>
      <c r="X42" s="14">
        <f t="shared" si="29"/>
        <v>299</v>
      </c>
      <c r="Y42" s="14">
        <f t="shared" si="108"/>
        <v>273.18892799179832</v>
      </c>
      <c r="Z42" s="111">
        <f t="shared" si="108"/>
        <v>5576.2000000000007</v>
      </c>
      <c r="AA42" s="111">
        <f t="shared" si="4"/>
        <v>6148.3889279917994</v>
      </c>
      <c r="AB42" s="110"/>
      <c r="AC42" s="14">
        <f>'A3.1b CF-tidal-Harvests (Chin)'!G36</f>
        <v>21.655999999999999</v>
      </c>
      <c r="AD42" s="14">
        <f>'A3.1b CF-tidal-Harvests (Chin)'!L36</f>
        <v>379</v>
      </c>
      <c r="AE42" s="14">
        <f t="shared" si="58"/>
        <v>400.65600000000001</v>
      </c>
      <c r="AF42" s="110"/>
      <c r="AJ42" s="14">
        <f t="shared" si="31"/>
        <v>19803.092962040129</v>
      </c>
      <c r="AK42" s="122">
        <f t="shared" ref="AK42:AK45" si="110">HLOOKUP($B42,AZ$57:BF$64,7,FALSE)</f>
        <v>926.11052308569197</v>
      </c>
      <c r="AL42" s="111">
        <f t="shared" si="109"/>
        <v>20729.203485125821</v>
      </c>
      <c r="AM42" s="113">
        <v>914</v>
      </c>
      <c r="AN42" s="14">
        <f>'[1]Data-FW Catch Rates - new'!CE36</f>
        <v>10134.207465205587</v>
      </c>
      <c r="AO42" s="123">
        <f>AVERAGE(AO37:AO41)</f>
        <v>1.055049817040779E-2</v>
      </c>
      <c r="AP42" s="60">
        <f t="shared" si="33"/>
        <v>9</v>
      </c>
      <c r="AQ42" s="59"/>
      <c r="AR42" s="77">
        <f t="shared" ref="AR42:AR46" si="111">SUM(AE42,AA42,AK42)/AL42</f>
        <v>0.36060987371952169</v>
      </c>
      <c r="AS42" s="61">
        <f t="shared" ref="AS42:AS46" si="112">I42/L42</f>
        <v>7.9521674140508217E-2</v>
      </c>
      <c r="AT42" s="61">
        <f t="shared" ref="AT42:AT46" si="113">H42/$L42</f>
        <v>1.8743836681196752E-2</v>
      </c>
      <c r="AU42" s="61">
        <f t="shared" ref="AU42:AU46" si="114">J42/$L42</f>
        <v>0.1206122970698365</v>
      </c>
      <c r="AV42" s="61"/>
      <c r="AW42" s="33"/>
      <c r="AX42" s="61">
        <f t="shared" ref="AX42:AX46" si="115">Z42/$AL42</f>
        <v>0.26900213527264499</v>
      </c>
      <c r="AY42" s="61">
        <f t="shared" si="38"/>
        <v>1.0447097022101789E-3</v>
      </c>
      <c r="AZ42" s="61">
        <f t="shared" ref="AZ42:AZ46" si="116">SUM(Y42,AD42)/$AL42</f>
        <v>3.1462324563496832E-2</v>
      </c>
      <c r="BA42" s="61">
        <f t="shared" ref="BA42:BA46" si="117">X42/AL42</f>
        <v>1.4424094983415382E-2</v>
      </c>
      <c r="BB42" s="61">
        <f t="shared" si="61"/>
        <v>0.31593326452176745</v>
      </c>
      <c r="BC42" s="61">
        <f t="shared" ref="BC42:BC46" si="118">BC$53</f>
        <v>4.4676609197754125E-2</v>
      </c>
      <c r="BD42" s="78">
        <f t="shared" si="41"/>
        <v>0.36060987371952169</v>
      </c>
      <c r="BE42" s="17"/>
      <c r="BF42" s="17"/>
      <c r="BG42" s="22">
        <f>'[1]Data-PSC CH Tables'!C36</f>
        <v>11249.867777777778</v>
      </c>
      <c r="BH42" s="22">
        <f>'[1]Data-PSC CH Tables'!AG36</f>
        <v>19510.674764809301</v>
      </c>
      <c r="BI42" s="22">
        <f>'[1]Data-PSC CH Tables'!AI36</f>
        <v>20500.985451358658</v>
      </c>
      <c r="BJ42" s="17"/>
      <c r="BK42" s="22">
        <f t="shared" si="63"/>
        <v>-516.33968742780962</v>
      </c>
      <c r="BL42" s="22">
        <f t="shared" si="64"/>
        <v>-292.41819723082881</v>
      </c>
      <c r="BM42" s="22">
        <f t="shared" si="65"/>
        <v>-228.21803376716343</v>
      </c>
      <c r="BO42" s="33"/>
      <c r="BP42" s="33"/>
      <c r="BQ42" s="33"/>
      <c r="BS42" s="62">
        <f t="shared" si="66"/>
        <v>21.655999999999999</v>
      </c>
      <c r="BT42" s="62">
        <f t="shared" si="10"/>
        <v>5576.2000000000007</v>
      </c>
      <c r="BU42" s="62">
        <f t="shared" si="11"/>
        <v>299</v>
      </c>
      <c r="BV42" s="62">
        <f t="shared" si="12"/>
        <v>379</v>
      </c>
      <c r="BW42" s="62">
        <f t="shared" si="13"/>
        <v>273.18892799179832</v>
      </c>
      <c r="BX42" s="62">
        <f t="shared" si="67"/>
        <v>6549.0449279917993</v>
      </c>
      <c r="BY42" s="62">
        <f t="shared" si="15"/>
        <v>19803.092962040129</v>
      </c>
      <c r="BZ42" s="79">
        <f t="shared" si="68"/>
        <v>0.3307081848550345</v>
      </c>
      <c r="CA42" s="79">
        <f t="shared" si="69"/>
        <v>6.1177775447458602E-2</v>
      </c>
      <c r="CB42" s="79">
        <f t="shared" si="70"/>
        <v>0.93882222455254138</v>
      </c>
      <c r="CC42" s="79">
        <f t="shared" si="19"/>
        <v>0.12389180788905194</v>
      </c>
      <c r="CD42" s="33"/>
      <c r="CF42" s="36">
        <v>19252.165198989482</v>
      </c>
      <c r="CG42" s="36">
        <v>20228.720762222187</v>
      </c>
      <c r="CH42" s="81">
        <f t="shared" si="100"/>
        <v>550.92776305064763</v>
      </c>
      <c r="CI42" s="36">
        <f t="shared" si="101"/>
        <v>500.48272290363457</v>
      </c>
      <c r="CJ42" s="36">
        <v>12700.872700164622</v>
      </c>
      <c r="CK42" s="81">
        <f t="shared" si="73"/>
        <v>553.17533388370794</v>
      </c>
      <c r="CM42" s="33">
        <f t="shared" si="84"/>
        <v>2021</v>
      </c>
      <c r="CN42" s="96">
        <f t="shared" si="91"/>
        <v>19803.092962040129</v>
      </c>
      <c r="CO42" s="97">
        <f>IF((CN42-DE$2-CT42)&gt;0, (CN42-DE$2-CT42),0)</f>
        <v>644.44344001170248</v>
      </c>
      <c r="CP42" s="97">
        <f t="shared" si="93"/>
        <v>4803.0929620401294</v>
      </c>
      <c r="CQ42" s="62">
        <f>V42</f>
        <v>13254.04803404833</v>
      </c>
      <c r="CR42" s="98" t="str">
        <f t="shared" si="85"/>
        <v>Y</v>
      </c>
      <c r="CS42" s="114" t="str">
        <f t="shared" si="95"/>
        <v>N</v>
      </c>
      <c r="CT42" s="99">
        <f t="shared" si="102"/>
        <v>4158.6495220284269</v>
      </c>
      <c r="CU42" s="100">
        <f>IF(CR42="N",0,IF(CS42="N",(BX42-BT42)+CT42,CT42))</f>
        <v>5131.4944500202255</v>
      </c>
      <c r="CV42" s="100">
        <f t="shared" si="105"/>
        <v>444.70554997977524</v>
      </c>
      <c r="CW42" s="100"/>
      <c r="CX42" s="101">
        <f t="shared" si="96"/>
        <v>5576.2000000000007</v>
      </c>
      <c r="CY42" s="102">
        <f t="shared" si="86"/>
        <v>444.70554997977524</v>
      </c>
      <c r="CZ42" s="79">
        <v>0.1</v>
      </c>
      <c r="DA42" s="103">
        <f t="shared" si="97"/>
        <v>-415.86495220284269</v>
      </c>
      <c r="DB42" s="107">
        <f>IF(CX42&gt;CT42,CY42,(IF(CY42*-1&gt;(CT42*CZ42),CT42*CZ42*-1,CY42)))</f>
        <v>444.70554997977524</v>
      </c>
      <c r="DC42" s="33"/>
      <c r="DD42" s="107">
        <f t="shared" si="104"/>
        <v>-2230.2903742564331</v>
      </c>
      <c r="DE42" s="105">
        <f t="shared" si="98"/>
        <v>444.70554997977524</v>
      </c>
      <c r="DF42" s="105">
        <f t="shared" si="99"/>
        <v>444.70554997977524</v>
      </c>
      <c r="DH42" s="66">
        <f>P42/V42</f>
        <v>0.11225555883158331</v>
      </c>
      <c r="DK42" s="106"/>
      <c r="DL42" s="106"/>
      <c r="DS42" s="14">
        <f>V42</f>
        <v>13254.04803404833</v>
      </c>
      <c r="DT42" s="14">
        <v>19861.298355492483</v>
      </c>
      <c r="DU42" s="14">
        <f>DT42-DS42</f>
        <v>6607.2503214441531</v>
      </c>
      <c r="DW42" s="14">
        <f>AJ42</f>
        <v>19803.092962040129</v>
      </c>
      <c r="DX42" s="14">
        <v>26393.298355492483</v>
      </c>
      <c r="DY42" s="14">
        <f>DX42-DW42</f>
        <v>6590.2053934523537</v>
      </c>
      <c r="EG42" s="14">
        <f>SUM(X42:Y42,AE42)</f>
        <v>972.84492799179839</v>
      </c>
      <c r="EJ42" s="89">
        <f>$P42/V42</f>
        <v>0.11225555883158331</v>
      </c>
      <c r="EL42" s="67"/>
      <c r="EM42" s="67">
        <f>V42/1000</f>
        <v>13.25404803404833</v>
      </c>
      <c r="EN42" s="67">
        <f>Z42/1000</f>
        <v>5.5762000000000009</v>
      </c>
      <c r="EO42" s="67">
        <f>SUM(X42:Y42,AE42)/1000</f>
        <v>0.97284492799179834</v>
      </c>
      <c r="EP42" s="67">
        <f>AK42/1000</f>
        <v>0.92611052308569197</v>
      </c>
      <c r="ET42" s="66">
        <f>J42/L42</f>
        <v>0.1206122970698365</v>
      </c>
      <c r="EW42" s="14">
        <f>BX42-BT42</f>
        <v>972.84492799179861</v>
      </c>
      <c r="EY42" s="14">
        <f>G41+H42</f>
        <v>516.79253479441252</v>
      </c>
      <c r="EZ42" s="14">
        <f>EY42+R42</f>
        <v>539.18892799179832</v>
      </c>
      <c r="FB42" s="14">
        <f>L42+SUM(S42,AE42,AK42)*FC42</f>
        <v>18634.654952556273</v>
      </c>
      <c r="FC42" s="66">
        <f>L42/SUM(L42,P42)</f>
        <v>0.89992893978425603</v>
      </c>
      <c r="FE42" s="14">
        <f>ROUND(L42,-3)</f>
        <v>13000</v>
      </c>
    </row>
    <row r="43" spans="2:161" ht="14.45" customHeight="1" x14ac:dyDescent="0.2">
      <c r="B43" s="4">
        <v>2022</v>
      </c>
      <c r="C43" s="71">
        <f t="shared" si="54"/>
        <v>14410.16048847821</v>
      </c>
      <c r="D43" s="71">
        <f t="shared" si="82"/>
        <v>12027.16048847821</v>
      </c>
      <c r="E43" s="71">
        <f>'Bayesian Sum (10Feb26)'!H38</f>
        <v>2383</v>
      </c>
      <c r="F43" s="110"/>
      <c r="G43" s="14">
        <f>'[1]Data-Nisgaa &amp; Other FN Catch'!BI35</f>
        <v>38</v>
      </c>
      <c r="H43" s="119">
        <f>'Data-Sport-Inriver (CH - new)'!C35</f>
        <v>265.03951152179019</v>
      </c>
      <c r="I43" s="14">
        <f>'Data-Chin-Nisga''a'!N37</f>
        <v>1347.8</v>
      </c>
      <c r="J43" s="14">
        <f t="shared" si="106"/>
        <v>1650.8395115217902</v>
      </c>
      <c r="L43" s="72">
        <f>'Bayesian Sum (10Feb26)'!K38</f>
        <v>16061</v>
      </c>
      <c r="M43" s="120">
        <f>H43/L43</f>
        <v>1.6502055383960539E-2</v>
      </c>
      <c r="N43" s="56">
        <f>'Data-Coastal-Chin-Esc (new)'!J50</f>
        <v>8762.9333570423751</v>
      </c>
      <c r="O43" s="74">
        <f t="shared" si="56"/>
        <v>0.60011903894115037</v>
      </c>
      <c r="P43" s="14">
        <f>'Data-Coastal-Chin-Esc (new)'!AL50</f>
        <v>5258.8031445336183</v>
      </c>
      <c r="Q43" s="110"/>
      <c r="R43" s="121">
        <f t="shared" si="107"/>
        <v>29.022554900509931</v>
      </c>
      <c r="S43" s="14">
        <f>'Data-Chin-Nisga''a'!P37+'Data-Chin-Nisga''a'!Q37+'Data-Chin-Nisga''a'!O37</f>
        <v>2516.3999999999996</v>
      </c>
      <c r="T43" s="14">
        <f t="shared" si="57"/>
        <v>2545.4225549005096</v>
      </c>
      <c r="U43" s="120">
        <f t="shared" si="83"/>
        <v>3.7188256744822628E-3</v>
      </c>
      <c r="V43" s="14">
        <f t="shared" si="3"/>
        <v>19668.96363301183</v>
      </c>
      <c r="W43" s="110"/>
      <c r="X43" s="14">
        <f>G43</f>
        <v>38</v>
      </c>
      <c r="Y43" s="14">
        <f t="shared" si="108"/>
        <v>294.06206642230012</v>
      </c>
      <c r="Z43" s="111">
        <f t="shared" si="108"/>
        <v>3864.2</v>
      </c>
      <c r="AA43" s="111">
        <f t="shared" si="4"/>
        <v>4196.2620664222995</v>
      </c>
      <c r="AB43" s="110"/>
      <c r="AC43" s="14">
        <f>'A3.1b CF-tidal-Harvests (Chin)'!G37</f>
        <v>72.823999999999998</v>
      </c>
      <c r="AD43" s="14">
        <f>'A3.1b CF-tidal-Harvests (Chin)'!L37</f>
        <v>291</v>
      </c>
      <c r="AE43" s="14">
        <f t="shared" si="58"/>
        <v>363.82400000000001</v>
      </c>
      <c r="AF43" s="110"/>
      <c r="AJ43" s="14">
        <f t="shared" si="31"/>
        <v>24229.04969943413</v>
      </c>
      <c r="AK43" s="122">
        <f t="shared" si="110"/>
        <v>1133.0946097169908</v>
      </c>
      <c r="AL43" s="111">
        <f t="shared" si="109"/>
        <v>25362.144309151121</v>
      </c>
      <c r="AM43" s="111"/>
      <c r="AN43" s="14">
        <f>'[1]Data-FW Catch Rates - new'!CE37</f>
        <v>12027.16048847821</v>
      </c>
      <c r="AO43" s="123">
        <f>AVERAGE(AO38:AO42)</f>
        <v>1.0229681171901862E-2</v>
      </c>
      <c r="AP43" s="60">
        <f t="shared" si="33"/>
        <v>14</v>
      </c>
      <c r="AQ43" s="59"/>
      <c r="AR43" s="77">
        <f t="shared" si="111"/>
        <v>0.22447552567883969</v>
      </c>
      <c r="AS43" s="61">
        <f t="shared" si="112"/>
        <v>8.3917564286159013E-2</v>
      </c>
      <c r="AT43" s="61">
        <f t="shared" si="113"/>
        <v>1.6502055383960539E-2</v>
      </c>
      <c r="AU43" s="61">
        <f t="shared" si="114"/>
        <v>0.10278559937250421</v>
      </c>
      <c r="AV43" s="61"/>
      <c r="AW43" s="33"/>
      <c r="AX43" s="61">
        <f t="shared" si="115"/>
        <v>0.15236093418984792</v>
      </c>
      <c r="AY43" s="61">
        <f t="shared" si="38"/>
        <v>2.8713660450912183E-3</v>
      </c>
      <c r="AZ43" s="61">
        <f t="shared" si="116"/>
        <v>2.3068320221299236E-2</v>
      </c>
      <c r="BA43" s="61">
        <f t="shared" si="117"/>
        <v>1.4982960248471149E-3</v>
      </c>
      <c r="BB43" s="61">
        <f t="shared" si="61"/>
        <v>0.17979891648108545</v>
      </c>
      <c r="BC43" s="61">
        <f t="shared" si="118"/>
        <v>4.4676609197754125E-2</v>
      </c>
      <c r="BD43" s="78">
        <f t="shared" si="41"/>
        <v>0.22447552567883969</v>
      </c>
      <c r="BE43" s="17"/>
      <c r="BF43" s="17"/>
      <c r="BG43" s="22">
        <f>'[1]Data-PSC CH Tables'!C37</f>
        <v>13408.493367742924</v>
      </c>
      <c r="BH43" s="22">
        <f>'[1]Data-PSC CH Tables'!AG37</f>
        <v>22857.040953893968</v>
      </c>
      <c r="BI43" s="22">
        <f>'[1]Data-PSC CH Tables'!AI37</f>
        <v>24017.204412738785</v>
      </c>
      <c r="BJ43" s="17"/>
      <c r="BK43" s="22">
        <f t="shared" si="63"/>
        <v>-1001.6671207352865</v>
      </c>
      <c r="BL43" s="22">
        <f t="shared" si="64"/>
        <v>-1372.0087455401626</v>
      </c>
      <c r="BM43" s="22">
        <f t="shared" si="65"/>
        <v>-1344.9398964123357</v>
      </c>
      <c r="BS43" s="62">
        <f t="shared" si="66"/>
        <v>72.823999999999998</v>
      </c>
      <c r="BT43" s="62">
        <f t="shared" si="10"/>
        <v>3864.2</v>
      </c>
      <c r="BU43" s="62">
        <f t="shared" si="11"/>
        <v>38</v>
      </c>
      <c r="BV43" s="62">
        <f t="shared" si="12"/>
        <v>291</v>
      </c>
      <c r="BW43" s="62">
        <f t="shared" si="13"/>
        <v>294.06206642230012</v>
      </c>
      <c r="BX43" s="62">
        <f t="shared" si="67"/>
        <v>4560.0860664222992</v>
      </c>
      <c r="BY43" s="62">
        <f t="shared" si="15"/>
        <v>24229.04969943413</v>
      </c>
      <c r="BZ43" s="79">
        <f t="shared" si="68"/>
        <v>0.18820738423466934</v>
      </c>
      <c r="CA43" s="79">
        <f t="shared" si="69"/>
        <v>7.9784459043213837E-2</v>
      </c>
      <c r="CB43" s="79">
        <f t="shared" si="70"/>
        <v>0.92021554095678626</v>
      </c>
      <c r="CC43" s="79">
        <f t="shared" si="19"/>
        <v>0.1990266380383654</v>
      </c>
      <c r="CD43" s="33"/>
      <c r="CF43" s="36">
        <v>21690.646120133384</v>
      </c>
      <c r="CG43" s="36">
        <v>22790.892296072077</v>
      </c>
      <c r="CH43" s="81">
        <f t="shared" si="100"/>
        <v>2538.4035793007461</v>
      </c>
      <c r="CI43" s="36">
        <f t="shared" si="101"/>
        <v>2571.2520130790435</v>
      </c>
      <c r="CJ43" s="36">
        <v>17133.787688818757</v>
      </c>
      <c r="CK43" s="81">
        <f t="shared" si="73"/>
        <v>2535.1759441930735</v>
      </c>
      <c r="CM43" s="33">
        <f t="shared" si="84"/>
        <v>2022</v>
      </c>
      <c r="CN43" s="96">
        <f t="shared" si="91"/>
        <v>24229.04969943413</v>
      </c>
      <c r="CO43" s="97">
        <f>IF((CN43-DE$2-CT43)&gt;0, (CN43-DE$2-CT43),0)</f>
        <v>4140.9492625529629</v>
      </c>
      <c r="CP43" s="97">
        <f t="shared" si="93"/>
        <v>9229.0496994341302</v>
      </c>
      <c r="CQ43" s="62">
        <f>V43</f>
        <v>19668.96363301183</v>
      </c>
      <c r="CR43" s="98" t="str">
        <f t="shared" si="85"/>
        <v>Y</v>
      </c>
      <c r="CS43" s="114" t="str">
        <f t="shared" si="95"/>
        <v>Y</v>
      </c>
      <c r="CT43" s="99">
        <f t="shared" si="102"/>
        <v>5088.1004368811673</v>
      </c>
      <c r="CU43" s="100">
        <f>IF(CR43="N",0,IF(CS43="N",(BX43-BT43)+CT43,CT43))</f>
        <v>5088.1004368811673</v>
      </c>
      <c r="CV43" s="100">
        <f t="shared" si="105"/>
        <v>-1919.7865033034668</v>
      </c>
      <c r="CW43" s="100"/>
      <c r="CX43" s="101">
        <f t="shared" si="96"/>
        <v>3864.2</v>
      </c>
      <c r="CY43" s="102">
        <f>CX43-CU43</f>
        <v>-1223.9004368811675</v>
      </c>
      <c r="CZ43" s="79">
        <v>0.1</v>
      </c>
      <c r="DA43" s="103">
        <f t="shared" si="97"/>
        <v>-508.81004368811676</v>
      </c>
      <c r="DB43" s="107">
        <f>IF(CX43&gt;CT43,CY43,(IF(CY43*-1&gt;(CT43*CZ43),CT43*CZ43*-1,CY43)))</f>
        <v>-508.81004368811676</v>
      </c>
      <c r="DC43" s="33"/>
      <c r="DD43" s="107">
        <f t="shared" si="104"/>
        <v>-2739.1004179445499</v>
      </c>
      <c r="DE43" s="105">
        <f t="shared" si="98"/>
        <v>-508.81004368811676</v>
      </c>
      <c r="DF43" s="105">
        <f t="shared" si="99"/>
        <v>508.81004368811676</v>
      </c>
      <c r="DH43" s="66">
        <f>P43/V43</f>
        <v>0.26736554312945054</v>
      </c>
      <c r="DK43" s="106"/>
      <c r="DL43" s="106"/>
      <c r="DS43" s="14"/>
      <c r="DT43" s="14"/>
      <c r="DU43" s="14"/>
      <c r="DW43" s="14"/>
      <c r="DX43" s="14"/>
      <c r="DY43" s="14"/>
      <c r="EG43" s="14"/>
      <c r="EJ43" s="89"/>
      <c r="EL43" s="67"/>
      <c r="EM43" s="67"/>
      <c r="EN43" s="67"/>
      <c r="EO43" s="67"/>
      <c r="EP43" s="67"/>
      <c r="ET43" s="66"/>
      <c r="EW43" s="14"/>
      <c r="EY43" s="14"/>
      <c r="EZ43" s="14"/>
      <c r="FB43" s="14"/>
      <c r="FC43" s="66"/>
      <c r="FE43" s="14"/>
    </row>
    <row r="44" spans="2:161" ht="14.45" customHeight="1" x14ac:dyDescent="0.2">
      <c r="B44" s="4">
        <v>2023</v>
      </c>
      <c r="C44" s="71">
        <f t="shared" si="54"/>
        <v>9758.9535295539172</v>
      </c>
      <c r="D44" s="71">
        <f t="shared" si="82"/>
        <v>7850.9535295539172</v>
      </c>
      <c r="E44" s="71">
        <f>'Bayesian Sum (10Feb26)'!H39</f>
        <v>1908</v>
      </c>
      <c r="F44" s="110"/>
      <c r="G44" s="14">
        <f>'[1]Data-Nisgaa &amp; Other FN Catch'!BI36</f>
        <v>66</v>
      </c>
      <c r="H44" s="119">
        <f>'Data-Sport-Inriver (CH - new)'!C36</f>
        <v>193.24647044608315</v>
      </c>
      <c r="I44" s="14">
        <f>'Data-Chin-Nisga''a'!N38</f>
        <v>1587.8</v>
      </c>
      <c r="J44" s="14">
        <f t="shared" si="106"/>
        <v>1847.046470446083</v>
      </c>
      <c r="L44" s="72">
        <f>'Bayesian Sum (10Feb26)'!K39</f>
        <v>11606</v>
      </c>
      <c r="M44" s="120">
        <v>1.58026191252638E-2</v>
      </c>
      <c r="N44" s="56">
        <f>'Data-Coastal-Chin-Esc (new)'!J51</f>
        <v>946.07674023620609</v>
      </c>
      <c r="O44" s="74">
        <v>3.4938163140037641</v>
      </c>
      <c r="P44" s="14">
        <f>'Data-Coastal-Chin-Esc (new)'!AL51</f>
        <v>2396.5066769396999</v>
      </c>
      <c r="Q44" s="110"/>
      <c r="R44" s="121">
        <f t="shared" si="107"/>
        <v>15.083520481618507</v>
      </c>
      <c r="S44" s="14">
        <v>1644.3999999999999</v>
      </c>
      <c r="T44" s="14">
        <v>1664.1440192695411</v>
      </c>
      <c r="U44" s="120">
        <v>4.1226614171758977E-3</v>
      </c>
      <c r="V44" s="14">
        <f t="shared" si="3"/>
        <v>12155.460206493617</v>
      </c>
      <c r="W44" s="110"/>
      <c r="X44" s="14">
        <f t="shared" ref="X44:X46" si="119">G44</f>
        <v>66</v>
      </c>
      <c r="Y44" s="14">
        <f t="shared" si="108"/>
        <v>208.32999092770166</v>
      </c>
      <c r="Z44" s="111">
        <f t="shared" si="108"/>
        <v>3232.2</v>
      </c>
      <c r="AA44" s="111">
        <f t="shared" si="4"/>
        <v>3506.5299909277014</v>
      </c>
      <c r="AB44" s="110"/>
      <c r="AC44" s="14">
        <f>'A3.1b CF-tidal-Harvests (Chin)'!G38</f>
        <v>69.688000000000002</v>
      </c>
      <c r="AD44" s="14">
        <f>'A3.1b CF-tidal-Harvests (Chin)'!L38</f>
        <v>263</v>
      </c>
      <c r="AE44" s="14">
        <f t="shared" si="58"/>
        <v>332.68799999999999</v>
      </c>
      <c r="AF44" s="110"/>
      <c r="AJ44" s="14">
        <f t="shared" si="31"/>
        <v>15994.678197421319</v>
      </c>
      <c r="AK44" s="122">
        <f t="shared" si="110"/>
        <v>748.00637558968083</v>
      </c>
      <c r="AL44" s="111">
        <f t="shared" si="109"/>
        <v>16742.684573011</v>
      </c>
      <c r="AM44" s="111"/>
      <c r="AN44" s="14">
        <f>'[1]Data-FW Catch Rates - new'!CE38</f>
        <v>7850.9535295539172</v>
      </c>
      <c r="AO44" s="123">
        <f>AVERAGE(AO40:AO43)</f>
        <v>1.0501689394726132E-2</v>
      </c>
      <c r="AP44" s="60">
        <f t="shared" si="33"/>
        <v>4</v>
      </c>
      <c r="AQ44" s="59"/>
      <c r="AR44" s="77">
        <f t="shared" si="111"/>
        <v>0.2739838014933359</v>
      </c>
      <c r="AS44" s="61">
        <f t="shared" si="112"/>
        <v>0.13680854730311906</v>
      </c>
      <c r="AT44" s="61">
        <f t="shared" si="113"/>
        <v>1.6650566124942544E-2</v>
      </c>
      <c r="AU44" s="61">
        <f t="shared" si="114"/>
        <v>0.15914582719680193</v>
      </c>
      <c r="AV44" s="61"/>
      <c r="AW44" s="33"/>
      <c r="AX44" s="61">
        <f t="shared" si="115"/>
        <v>0.19305147785022875</v>
      </c>
      <c r="AY44" s="61">
        <f t="shared" si="38"/>
        <v>4.1622954608089673E-3</v>
      </c>
      <c r="AZ44" s="61">
        <f t="shared" si="116"/>
        <v>2.8151398831671223E-2</v>
      </c>
      <c r="BA44" s="61">
        <f t="shared" si="117"/>
        <v>3.9420201528726868E-3</v>
      </c>
      <c r="BB44" s="61">
        <f t="shared" si="61"/>
        <v>0.22930719229558164</v>
      </c>
      <c r="BC44" s="61">
        <f t="shared" si="118"/>
        <v>4.4676609197754125E-2</v>
      </c>
      <c r="BD44" s="78">
        <f t="shared" si="41"/>
        <v>0.2739838014933359</v>
      </c>
      <c r="BE44" s="17"/>
      <c r="BF44" s="17"/>
      <c r="BG44" s="22">
        <f>'[1]Data-PSC CH Tables'!C38</f>
        <v>10376</v>
      </c>
      <c r="BH44" s="22">
        <f>'[1]Data-PSC CH Tables'!AG38</f>
        <v>17521.200934380602</v>
      </c>
      <c r="BI44" s="22">
        <f>'[1]Data-PSC CH Tables'!AI38</f>
        <v>18410.200934380602</v>
      </c>
      <c r="BJ44" s="17"/>
      <c r="BK44" s="22">
        <v>-32.825950221804305</v>
      </c>
      <c r="BL44" s="22">
        <v>337.86488526275571</v>
      </c>
      <c r="BM44" s="22">
        <v>355.01402082668574</v>
      </c>
      <c r="BS44" s="62">
        <f t="shared" si="66"/>
        <v>69.688000000000002</v>
      </c>
      <c r="BT44" s="62">
        <f t="shared" si="10"/>
        <v>3232.2</v>
      </c>
      <c r="BU44" s="62">
        <f t="shared" si="11"/>
        <v>66</v>
      </c>
      <c r="BV44" s="62">
        <f t="shared" si="12"/>
        <v>263</v>
      </c>
      <c r="BW44" s="62">
        <f t="shared" si="13"/>
        <v>208.32999092770166</v>
      </c>
      <c r="BX44" s="62">
        <f t="shared" si="67"/>
        <v>3839.2179909277015</v>
      </c>
      <c r="BY44" s="62">
        <f t="shared" si="15"/>
        <v>15994.678197421319</v>
      </c>
      <c r="BZ44" s="79">
        <f t="shared" si="68"/>
        <v>0.24003096176993824</v>
      </c>
      <c r="CA44" s="79">
        <f t="shared" si="69"/>
        <v>8.6655147164386437E-2</v>
      </c>
      <c r="CB44" s="79">
        <f t="shared" si="70"/>
        <v>0.91334485283561351</v>
      </c>
      <c r="CC44" s="79">
        <f t="shared" si="19"/>
        <v>0.16306295829989381</v>
      </c>
      <c r="CD44" s="33"/>
      <c r="CF44" s="36">
        <v>16423.386838410668</v>
      </c>
      <c r="CG44" s="36">
        <v>17256.454164521841</v>
      </c>
      <c r="CH44" s="81">
        <f t="shared" si="100"/>
        <v>-428.70864098934908</v>
      </c>
      <c r="CI44" s="36">
        <f t="shared" si="101"/>
        <v>-513.76959151084156</v>
      </c>
      <c r="CJ44" s="36">
        <v>12583.333078026088</v>
      </c>
      <c r="CK44" s="81">
        <f t="shared" si="73"/>
        <v>-427.87287153247053</v>
      </c>
      <c r="CM44" s="33">
        <f t="shared" si="84"/>
        <v>2023</v>
      </c>
      <c r="CN44" s="96">
        <f t="shared" si="91"/>
        <v>15994.678197421319</v>
      </c>
      <c r="CO44" s="97">
        <f>IF((CN44-DE$2-CT44)&gt;0, (CN44-DE$2-CT44),0)</f>
        <v>0</v>
      </c>
      <c r="CP44" s="97">
        <f t="shared" si="93"/>
        <v>3358.882421458477</v>
      </c>
      <c r="CQ44" s="62">
        <f>V44</f>
        <v>12155.460206493617</v>
      </c>
      <c r="CR44" s="98" t="str">
        <f t="shared" si="85"/>
        <v>Y</v>
      </c>
      <c r="CS44" s="114" t="str">
        <f t="shared" si="95"/>
        <v>N</v>
      </c>
      <c r="CT44" s="99">
        <f t="shared" si="102"/>
        <v>3358.882421458477</v>
      </c>
      <c r="CU44" s="100">
        <f>IF(CR44="N",0,IF(CS44="N",(BX44-BT44)+CT44,CT44))</f>
        <v>3965.9004123861787</v>
      </c>
      <c r="CV44" s="100">
        <f t="shared" si="105"/>
        <v>-733.70041238617887</v>
      </c>
      <c r="CW44" s="100"/>
      <c r="CX44" s="101">
        <f t="shared" si="96"/>
        <v>3232.2</v>
      </c>
      <c r="CY44" s="102">
        <f t="shared" ref="CY44" si="120">CX44-CU44</f>
        <v>-733.70041238617887</v>
      </c>
      <c r="CZ44" s="79">
        <v>0.1</v>
      </c>
      <c r="DA44" s="103">
        <f t="shared" si="97"/>
        <v>-335.8882421458477</v>
      </c>
      <c r="DB44" s="107">
        <f>IF(CX44&gt;CT44,CY44,(IF(CY44*-1&gt;(CT44*CZ44),CT44*CZ44*-1,CY44)))</f>
        <v>-335.8882421458477</v>
      </c>
      <c r="DC44" s="33"/>
      <c r="DD44" s="107">
        <f t="shared" si="104"/>
        <v>-3074.9886600903974</v>
      </c>
      <c r="DE44" s="105">
        <f t="shared" si="98"/>
        <v>-335.8882421458477</v>
      </c>
      <c r="DF44" s="105">
        <f t="shared" si="99"/>
        <v>335.8882421458477</v>
      </c>
      <c r="DH44" s="66"/>
      <c r="DK44" s="106"/>
      <c r="DL44" s="106"/>
      <c r="DS44" s="14"/>
      <c r="DT44" s="14"/>
      <c r="DU44" s="14"/>
      <c r="DW44" s="14"/>
      <c r="DX44" s="14"/>
      <c r="DY44" s="14"/>
      <c r="EG44" s="14"/>
      <c r="EJ44" s="89"/>
      <c r="EL44" s="67"/>
      <c r="EM44" s="67"/>
      <c r="EN44" s="67"/>
      <c r="EO44" s="67"/>
      <c r="EP44" s="67"/>
      <c r="ET44" s="66"/>
      <c r="EW44" s="14"/>
      <c r="EY44" s="14"/>
      <c r="EZ44" s="14"/>
      <c r="FB44" s="14"/>
      <c r="FC44" s="66"/>
      <c r="FE44" s="14"/>
    </row>
    <row r="45" spans="2:161" ht="14.45" customHeight="1" x14ac:dyDescent="0.2">
      <c r="B45" s="4">
        <v>2024</v>
      </c>
      <c r="C45" s="71">
        <f t="shared" si="54"/>
        <v>12477.710267528219</v>
      </c>
      <c r="D45" s="71">
        <f t="shared" si="82"/>
        <v>10196.710267528219</v>
      </c>
      <c r="E45" s="71">
        <f>'Bayesian Sum (10Feb26)'!H40</f>
        <v>2281</v>
      </c>
      <c r="F45" s="110"/>
      <c r="G45" s="14">
        <f>'[1]Data-Nisgaa &amp; Other FN Catch'!BI37</f>
        <v>99</v>
      </c>
      <c r="H45" s="119">
        <f>'Data-Sport-Inriver (CH - new)'!C37</f>
        <v>240.33973247178227</v>
      </c>
      <c r="I45" s="14">
        <f>'Data-Chin-Nisga''a'!N39</f>
        <v>2381.9500000000003</v>
      </c>
      <c r="J45" s="14">
        <f t="shared" si="106"/>
        <v>2721.2897324717824</v>
      </c>
      <c r="L45" s="72">
        <f>'Bayesian Sum (10Feb26)'!K40</f>
        <v>15199</v>
      </c>
      <c r="M45" s="120">
        <v>1.578818744720448E-2</v>
      </c>
      <c r="N45" s="56">
        <f>'Data-Coastal-Chin-Esc (new)'!J52</f>
        <v>1842.5724046542823</v>
      </c>
      <c r="O45" s="74">
        <v>2.7085729349364494</v>
      </c>
      <c r="P45" s="14">
        <f>'Data-Coastal-Chin-Esc (new)'!AL52</f>
        <v>5507.4255264926142</v>
      </c>
      <c r="Q45" s="110"/>
      <c r="R45" s="121">
        <v>33.990527557923997</v>
      </c>
      <c r="S45" s="14">
        <v>3492.4775314261187</v>
      </c>
      <c r="T45" s="14">
        <v>3526.4680589840427</v>
      </c>
      <c r="U45" s="120">
        <v>4.1226614171760972E-3</v>
      </c>
      <c r="V45" s="14">
        <f t="shared" si="3"/>
        <v>17985.135794020833</v>
      </c>
      <c r="W45" s="110"/>
      <c r="X45" s="14">
        <f t="shared" si="119"/>
        <v>99</v>
      </c>
      <c r="Y45" s="14">
        <f t="shared" si="108"/>
        <v>274.33026002970627</v>
      </c>
      <c r="Z45" s="111">
        <f t="shared" si="108"/>
        <v>5874.4275314261195</v>
      </c>
      <c r="AA45" s="111">
        <f t="shared" si="4"/>
        <v>6247.757791455826</v>
      </c>
      <c r="AB45" s="110"/>
      <c r="AC45" s="14">
        <f>'A3.1b CF-tidal-Harvests (Chin)'!G39</f>
        <v>135.87200000000001</v>
      </c>
      <c r="AD45" s="14">
        <f>'A3.1b CF-tidal-Harvests (Chin)'!L39</f>
        <v>345</v>
      </c>
      <c r="AE45" s="14">
        <f t="shared" si="58"/>
        <v>480.87200000000001</v>
      </c>
      <c r="AF45" s="110"/>
      <c r="AJ45" s="14">
        <f t="shared" si="31"/>
        <v>24713.76558547666</v>
      </c>
      <c r="AK45" s="122">
        <f t="shared" si="110"/>
        <v>1155.7628102668386</v>
      </c>
      <c r="AL45" s="111">
        <f t="shared" si="109"/>
        <v>25869.528395743499</v>
      </c>
      <c r="AM45" s="111"/>
      <c r="AN45" s="14">
        <f>'[1]Data-FW Catch Rates - new'!CE39</f>
        <v>10196.710267528219</v>
      </c>
      <c r="AO45" s="123">
        <v>8.957931551251911E-3</v>
      </c>
      <c r="AP45" s="60">
        <v>15</v>
      </c>
      <c r="AQ45" s="59"/>
      <c r="AR45" s="77">
        <f t="shared" si="111"/>
        <v>0.30477527387085807</v>
      </c>
      <c r="AS45" s="61">
        <f t="shared" si="112"/>
        <v>0.15671754720705311</v>
      </c>
      <c r="AT45" s="61">
        <f t="shared" si="113"/>
        <v>1.5812864824776781E-2</v>
      </c>
      <c r="AU45" s="61">
        <f t="shared" si="114"/>
        <v>0.17904399845198909</v>
      </c>
      <c r="AV45" s="61"/>
      <c r="AW45" s="33"/>
      <c r="AX45" s="61">
        <f t="shared" si="115"/>
        <v>0.22707903451354303</v>
      </c>
      <c r="AY45" s="61">
        <f t="shared" si="38"/>
        <v>5.25220243374657E-3</v>
      </c>
      <c r="AZ45" s="61">
        <f t="shared" si="116"/>
        <v>2.3940531522469086E-2</v>
      </c>
      <c r="BA45" s="61">
        <f t="shared" si="117"/>
        <v>3.8268962033451365E-3</v>
      </c>
      <c r="BB45" s="61">
        <f t="shared" si="61"/>
        <v>0.26009866467310383</v>
      </c>
      <c r="BC45" s="61">
        <f t="shared" si="118"/>
        <v>4.4676609197754125E-2</v>
      </c>
      <c r="BD45" s="78">
        <f t="shared" si="41"/>
        <v>0.30477527387085807</v>
      </c>
      <c r="BE45" s="17"/>
      <c r="BF45" s="17"/>
      <c r="BG45" s="22"/>
      <c r="BH45" s="22"/>
      <c r="BI45" s="22"/>
      <c r="BJ45" s="17"/>
      <c r="BK45" s="22">
        <v>-12544.066728678405</v>
      </c>
      <c r="BL45" s="22">
        <v>-23961.587890781317</v>
      </c>
      <c r="BM45" s="22">
        <v>-25177.815255594567</v>
      </c>
      <c r="BS45" s="62">
        <v>138.36080344994667</v>
      </c>
      <c r="BT45" s="62">
        <v>5831.8275314261191</v>
      </c>
      <c r="BU45" s="62">
        <v>99</v>
      </c>
      <c r="BV45" s="62">
        <v>355.66851453784363</v>
      </c>
      <c r="BW45" s="62">
        <v>274.33026002970627</v>
      </c>
      <c r="BX45" s="62">
        <v>6699.1871094436156</v>
      </c>
      <c r="BY45" s="62">
        <v>23961.587890781317</v>
      </c>
      <c r="BZ45" s="79">
        <v>0.27958026571440109</v>
      </c>
      <c r="CA45" s="79">
        <v>7.3744666318003568E-2</v>
      </c>
      <c r="CB45" s="79">
        <v>0.92625533368199653</v>
      </c>
      <c r="CC45" s="79">
        <v>0.15365302332161643</v>
      </c>
      <c r="CD45" s="33"/>
      <c r="CF45" s="36">
        <v>23456.256403506191</v>
      </c>
      <c r="CG45" s="36">
        <v>24646.062196605195</v>
      </c>
      <c r="CH45" s="81">
        <f t="shared" si="100"/>
        <v>1257.5091819704685</v>
      </c>
      <c r="CI45" s="36">
        <f t="shared" si="101"/>
        <v>1223.4661991383036</v>
      </c>
      <c r="CJ45" s="36">
        <v>16727.626612050368</v>
      </c>
      <c r="CK45" s="81">
        <f t="shared" si="73"/>
        <v>1257.5091819704649</v>
      </c>
      <c r="CM45" s="33">
        <f t="shared" si="84"/>
        <v>2024</v>
      </c>
      <c r="CN45" s="96">
        <f t="shared" si="91"/>
        <v>24713.76558547666</v>
      </c>
      <c r="CO45" s="97">
        <v>3929.65443371724</v>
      </c>
      <c r="CP45" s="97">
        <v>8961.5878907813167</v>
      </c>
      <c r="CQ45" s="62">
        <v>17262.400781337699</v>
      </c>
      <c r="CR45" s="98" t="s">
        <v>108</v>
      </c>
      <c r="CS45" s="114" t="s">
        <v>108</v>
      </c>
      <c r="CT45" s="99">
        <v>5031.9334570640767</v>
      </c>
      <c r="CU45" s="100">
        <v>5031.9334570640767</v>
      </c>
      <c r="CV45" s="100">
        <v>-67.465503655454086</v>
      </c>
      <c r="CW45" s="100"/>
      <c r="CX45" s="101">
        <v>5831.8275314261191</v>
      </c>
      <c r="CY45" s="102">
        <v>799.89407436204237</v>
      </c>
      <c r="CZ45" s="79">
        <v>0.1</v>
      </c>
      <c r="DA45" s="103">
        <f t="shared" si="97"/>
        <v>-503.19334570640768</v>
      </c>
      <c r="DB45" s="107">
        <v>799.89407436204237</v>
      </c>
      <c r="DC45" s="33"/>
      <c r="DD45" s="107">
        <f t="shared" si="104"/>
        <v>-2275.094585728355</v>
      </c>
      <c r="DE45" s="105">
        <f t="shared" si="98"/>
        <v>799.89407436204237</v>
      </c>
      <c r="DF45" s="105">
        <f t="shared" si="99"/>
        <v>799.89407436204237</v>
      </c>
      <c r="DH45" s="66">
        <v>0.27333011858699652</v>
      </c>
      <c r="DK45" s="106"/>
      <c r="DL45" s="106"/>
      <c r="DS45" s="14"/>
      <c r="DT45" s="14"/>
      <c r="DU45" s="14"/>
      <c r="DW45" s="14"/>
      <c r="DX45" s="14"/>
      <c r="DY45" s="14"/>
      <c r="EG45" s="14"/>
      <c r="EJ45" s="89"/>
      <c r="EL45" s="67"/>
      <c r="EM45" s="67"/>
      <c r="EN45" s="67"/>
      <c r="EO45" s="67"/>
      <c r="EP45" s="67"/>
      <c r="ET45" s="66"/>
      <c r="EW45" s="14"/>
      <c r="EY45" s="14"/>
      <c r="EZ45" s="14"/>
      <c r="FB45" s="14"/>
      <c r="FC45" s="66"/>
      <c r="FE45" s="14"/>
    </row>
    <row r="46" spans="2:161" ht="14.45" customHeight="1" x14ac:dyDescent="0.2">
      <c r="B46" s="4">
        <v>2025</v>
      </c>
      <c r="C46" s="71">
        <f t="shared" si="54"/>
        <v>10359.972690145158</v>
      </c>
      <c r="D46" s="71">
        <f t="shared" si="82"/>
        <v>8529.9726901451577</v>
      </c>
      <c r="E46" s="71">
        <f>'Bayesian Sum (10Feb26)'!H41</f>
        <v>1830</v>
      </c>
      <c r="F46" s="110"/>
      <c r="G46" s="14">
        <f>'[1]Data-Nisgaa &amp; Other FN Catch'!BI38</f>
        <v>55</v>
      </c>
      <c r="H46" s="119">
        <f>'Data-Sport-Inriver (CH - new)'!C38</f>
        <v>198.77730985484322</v>
      </c>
      <c r="I46" s="14">
        <f>'Data-Chin-Nisga''a'!N40</f>
        <v>1712.25</v>
      </c>
      <c r="J46" s="14">
        <f t="shared" si="106"/>
        <v>1966.0273098548432</v>
      </c>
      <c r="L46" s="72">
        <f>'Bayesian Sum (10Feb26)'!K41</f>
        <v>12326</v>
      </c>
      <c r="M46" s="120">
        <f>H46/L46</f>
        <v>1.6126668007045531E-2</v>
      </c>
      <c r="N46" s="56">
        <f>'Data-Coastal-Chin-Esc (new)'!J53</f>
        <v>6441.1506860547242</v>
      </c>
      <c r="O46" s="74">
        <f t="shared" si="56"/>
        <v>2.3333277671039006</v>
      </c>
      <c r="P46" s="925">
        <f>'Data-Coastal-Chin-Esc (new)'!AA53</f>
        <v>15029.315747871828</v>
      </c>
      <c r="Q46" s="110"/>
      <c r="R46" s="121">
        <f>(SUM(P46,S46)/(1-AVERAGE(U$34:U$38))-SUM(P46,S46))</f>
        <v>68.272168776889885</v>
      </c>
      <c r="S46" s="14">
        <f>'Data-Chin-Nisga''a'!P40+'Data-Chin-Nisga''a'!Q40+'Data-Chin-Nisga''a'!O40</f>
        <v>3260.941025796807</v>
      </c>
      <c r="T46" s="14">
        <f>SUM(R46:S46)</f>
        <v>3329.2131945736969</v>
      </c>
      <c r="U46" s="120">
        <f>R46/SUM(T46,P46)</f>
        <v>3.7188256744821405E-3</v>
      </c>
      <c r="V46" s="14">
        <f>SUM(P46,C46)</f>
        <v>25389.288438016985</v>
      </c>
      <c r="W46" s="110"/>
      <c r="X46" s="14">
        <f t="shared" si="119"/>
        <v>55</v>
      </c>
      <c r="Y46" s="14">
        <f t="shared" si="108"/>
        <v>267.04947863173311</v>
      </c>
      <c r="Z46" s="111">
        <f t="shared" si="108"/>
        <v>4973.1910257968066</v>
      </c>
      <c r="AA46" s="111">
        <f t="shared" si="4"/>
        <v>5295.2405044285397</v>
      </c>
      <c r="AB46" s="110"/>
      <c r="AC46" s="14">
        <f>'A3.1b CF-tidal-Harvests (Chin)'!G40</f>
        <v>132.29599999999999</v>
      </c>
      <c r="AD46" s="14">
        <f>'A3.1b CF-tidal-Harvests (Chin)'!L40</f>
        <v>599.10310366934414</v>
      </c>
      <c r="AE46" s="14">
        <f t="shared" si="58"/>
        <v>731.39910366934419</v>
      </c>
      <c r="AF46" s="110"/>
      <c r="AJ46" s="14">
        <f t="shared" si="31"/>
        <v>31415.92804611487</v>
      </c>
      <c r="AK46" s="122">
        <f>HLOOKUP($B46,AZ$57:BL$64,7,FALSE)</f>
        <v>1469.1958277315753</v>
      </c>
      <c r="AL46" s="111">
        <f t="shared" si="109"/>
        <v>32885.123873846445</v>
      </c>
      <c r="AM46" s="111"/>
      <c r="AN46" s="14">
        <f>'[1]Data-FW Catch Rates - new'!CE40</f>
        <v>8529.9726901451577</v>
      </c>
      <c r="AO46" s="123">
        <f>AVERAGE(AO41:AO45)</f>
        <v>1.0253708403629044E-2</v>
      </c>
      <c r="AP46" s="60">
        <f>RANK(L46,L$13:L$46,1)</f>
        <v>6</v>
      </c>
      <c r="AQ46" s="59"/>
      <c r="AR46" s="77">
        <f t="shared" si="111"/>
        <v>0.22794000912342316</v>
      </c>
      <c r="AS46" s="61">
        <f t="shared" si="112"/>
        <v>0.13891367840337498</v>
      </c>
      <c r="AT46" s="61">
        <f t="shared" si="113"/>
        <v>1.6126668007045531E-2</v>
      </c>
      <c r="AU46" s="61">
        <f t="shared" si="114"/>
        <v>0.15950245901791685</v>
      </c>
      <c r="AV46" s="61"/>
      <c r="AW46" s="33"/>
      <c r="AX46" s="61">
        <f t="shared" si="115"/>
        <v>0.15122920153425323</v>
      </c>
      <c r="AY46" s="61">
        <f t="shared" si="38"/>
        <v>4.0229740507444177E-3</v>
      </c>
      <c r="AZ46" s="61">
        <f t="shared" si="116"/>
        <v>2.6338735582198271E-2</v>
      </c>
      <c r="BA46" s="61">
        <f t="shared" si="117"/>
        <v>1.6724887584729923E-3</v>
      </c>
      <c r="BB46" s="61">
        <f t="shared" si="61"/>
        <v>0.18326339992566892</v>
      </c>
      <c r="BC46" s="61">
        <f t="shared" si="118"/>
        <v>4.4676609197754125E-2</v>
      </c>
      <c r="BD46" s="78">
        <f t="shared" si="41"/>
        <v>0.22794000912342316</v>
      </c>
      <c r="BE46" s="17"/>
      <c r="BF46" s="17"/>
      <c r="BG46" s="22"/>
      <c r="BH46" s="22"/>
      <c r="BI46" s="22"/>
      <c r="BJ46" s="17"/>
      <c r="BK46" s="22">
        <f t="shared" si="63"/>
        <v>-10359.972690145158</v>
      </c>
      <c r="BL46" s="22">
        <f t="shared" si="64"/>
        <v>-31415.92804611487</v>
      </c>
      <c r="BM46" s="22">
        <f t="shared" si="65"/>
        <v>-32885.123873846445</v>
      </c>
      <c r="BS46" s="62">
        <f t="shared" si="66"/>
        <v>132.29599999999999</v>
      </c>
      <c r="BT46" s="62">
        <f t="shared" si="10"/>
        <v>4973.1910257968066</v>
      </c>
      <c r="BU46" s="62">
        <f t="shared" si="11"/>
        <v>55</v>
      </c>
      <c r="BV46" s="62">
        <f t="shared" si="12"/>
        <v>599.10310366934414</v>
      </c>
      <c r="BW46" s="62">
        <f t="shared" si="13"/>
        <v>267.04947863173311</v>
      </c>
      <c r="BX46" s="62">
        <f t="shared" si="67"/>
        <v>6026.6396080978839</v>
      </c>
      <c r="BY46" s="62">
        <f t="shared" si="15"/>
        <v>31415.92804611487</v>
      </c>
      <c r="BZ46" s="79">
        <f t="shared" si="68"/>
        <v>0.19183388755065547</v>
      </c>
      <c r="CA46" s="79">
        <f t="shared" si="69"/>
        <v>0.12136101562910395</v>
      </c>
      <c r="CB46" s="79">
        <f t="shared" si="70"/>
        <v>0.87863898437089605</v>
      </c>
      <c r="CC46" s="79">
        <f t="shared" si="19"/>
        <v>0.19600161186956475</v>
      </c>
      <c r="CD46" s="33"/>
      <c r="CF46" s="36">
        <v>28915.348636395611</v>
      </c>
      <c r="CG46" s="36">
        <v>30382.063900981411</v>
      </c>
      <c r="CH46" s="81">
        <f t="shared" si="100"/>
        <v>2500.5794097192593</v>
      </c>
      <c r="CI46" s="36">
        <f t="shared" si="101"/>
        <v>2503.0599728650341</v>
      </c>
      <c r="CJ46" s="36">
        <v>22891.063396597052</v>
      </c>
      <c r="CK46" s="81">
        <f t="shared" si="73"/>
        <v>2498.2250414199334</v>
      </c>
      <c r="CM46" s="33">
        <f t="shared" si="84"/>
        <v>2025</v>
      </c>
      <c r="CN46" s="96">
        <f t="shared" si="91"/>
        <v>31415.92804611487</v>
      </c>
      <c r="CO46" s="97">
        <f>IF((CN46-DE$2-CT46)&gt;0, (CN46-DE$2-CT46),0)</f>
        <v>9818.5831564307482</v>
      </c>
      <c r="CP46" s="97">
        <f t="shared" si="93"/>
        <v>16415.92804611487</v>
      </c>
      <c r="CQ46" s="62">
        <f>V46</f>
        <v>25389.288438016985</v>
      </c>
      <c r="CR46" s="98" t="str">
        <f>IF(ROUND(CQ46,-3)&gt;=DE$3,"Y","N")</f>
        <v>Y</v>
      </c>
      <c r="CS46" s="114" t="str">
        <f>IF(CQ46&gt;DE$2,"Y","N")</f>
        <v>Y</v>
      </c>
      <c r="CT46" s="99">
        <f t="shared" si="102"/>
        <v>6597.3448896841228</v>
      </c>
      <c r="CU46" s="100">
        <f>IF(CR46="N",0,IF(CS46="N",(BX46-BT46)+CT46,CT46))</f>
        <v>6597.3448896841228</v>
      </c>
      <c r="CV46" s="100">
        <f>CX46-CT46-(BX46-CX46)</f>
        <v>-2677.6024461883935</v>
      </c>
      <c r="CW46" s="100"/>
      <c r="CX46" s="101">
        <f>BT46</f>
        <v>4973.1910257968066</v>
      </c>
      <c r="CY46" s="102">
        <f>CX46-CU46</f>
        <v>-1624.1538638873162</v>
      </c>
      <c r="CZ46" s="79">
        <v>0.1</v>
      </c>
      <c r="DA46" s="103">
        <f t="shared" si="97"/>
        <v>-659.73448896841228</v>
      </c>
      <c r="DB46" s="107">
        <f>IF(CX46&gt;CT46,CY46,(IF(CY46*-1&gt;(CT46*CZ46),CT46*CZ46*-1,CY46)))</f>
        <v>-659.73448896841228</v>
      </c>
      <c r="DC46" s="33"/>
      <c r="DD46" s="107">
        <f t="shared" si="104"/>
        <v>-2934.8290746967673</v>
      </c>
      <c r="DE46" s="105">
        <f t="shared" si="98"/>
        <v>-659.73448896841228</v>
      </c>
      <c r="DF46" s="105">
        <f t="shared" si="99"/>
        <v>659.73448896841228</v>
      </c>
      <c r="DH46" s="66">
        <f>P46/V46</f>
        <v>0.59195498072200736</v>
      </c>
      <c r="DK46" s="106"/>
      <c r="DL46" s="106"/>
      <c r="DS46" s="14"/>
      <c r="DT46" s="14"/>
      <c r="DU46" s="14"/>
      <c r="DW46" s="14"/>
      <c r="DX46" s="14"/>
      <c r="DY46" s="14"/>
      <c r="EG46" s="14"/>
      <c r="EJ46" s="89"/>
      <c r="EL46" s="67"/>
      <c r="EM46" s="67"/>
      <c r="EN46" s="67"/>
      <c r="EO46" s="67"/>
      <c r="EP46" s="67"/>
      <c r="ET46" s="66"/>
      <c r="EW46" s="14"/>
      <c r="EY46" s="14"/>
      <c r="EZ46" s="14"/>
      <c r="FB46" s="14"/>
      <c r="FC46" s="66"/>
      <c r="FE46" s="14"/>
    </row>
    <row r="47" spans="2:161" ht="4.5" customHeight="1" x14ac:dyDescent="0.2">
      <c r="B47" s="4"/>
      <c r="C47" s="4"/>
      <c r="D47" s="4"/>
      <c r="E47" s="4"/>
      <c r="AQ47" s="59"/>
      <c r="EG47" s="14"/>
      <c r="EW47" s="14">
        <f t="shared" si="27"/>
        <v>0</v>
      </c>
    </row>
    <row r="48" spans="2:161" x14ac:dyDescent="0.2">
      <c r="B48" s="4" t="s">
        <v>109</v>
      </c>
      <c r="C48" s="4"/>
      <c r="D48" s="4"/>
      <c r="E48" s="4"/>
      <c r="DE48" s="124">
        <f>SUM(DE21:DE47)</f>
        <v>-3182.010029224763</v>
      </c>
      <c r="DF48" s="124">
        <f>SUM(DF21:DF47)</f>
        <v>25200.643081202663</v>
      </c>
      <c r="EC48" s="3">
        <f>AVERAGE(EC21:EC47)</f>
        <v>0.64630494604890709</v>
      </c>
      <c r="EG48" s="14"/>
    </row>
    <row r="49" spans="1:150" x14ac:dyDescent="0.2">
      <c r="B49" s="4" t="s">
        <v>110</v>
      </c>
      <c r="C49" s="71">
        <f>ROUND(AVERAGE(C13:C20),-2)</f>
        <v>19400</v>
      </c>
      <c r="D49" s="71">
        <f t="shared" ref="D49:E49" si="121">ROUND(AVERAGE(D13:D20),-2)</f>
        <v>15800</v>
      </c>
      <c r="E49" s="71">
        <f t="shared" si="121"/>
        <v>3200</v>
      </c>
      <c r="G49" s="14">
        <f t="shared" ref="G49:L49" si="122">ROUND(AVERAGE(G13:G20),-2)</f>
        <v>300</v>
      </c>
      <c r="H49" s="14">
        <f t="shared" si="122"/>
        <v>600</v>
      </c>
      <c r="I49" s="14">
        <f t="shared" si="122"/>
        <v>1700</v>
      </c>
      <c r="J49" s="14">
        <f t="shared" si="122"/>
        <v>2600</v>
      </c>
      <c r="K49" s="3" t="e">
        <f t="shared" si="122"/>
        <v>#DIV/0!</v>
      </c>
      <c r="L49" s="14">
        <f t="shared" si="122"/>
        <v>22000</v>
      </c>
      <c r="P49" s="14">
        <f>ROUND(AVERAGE(P13:P20),-2)</f>
        <v>2700</v>
      </c>
      <c r="R49" s="125" t="s">
        <v>106</v>
      </c>
      <c r="S49" s="14">
        <f>ROUND(AVERAGE(S13:S20),-2)</f>
        <v>5500</v>
      </c>
      <c r="T49" s="14">
        <f>ROUND(AVERAGE(T13:T20),-2)</f>
        <v>5500</v>
      </c>
      <c r="V49" s="14">
        <f>ROUND(AVERAGE(V13:V20),-2)</f>
        <v>22200</v>
      </c>
      <c r="W49" s="14"/>
      <c r="X49" s="14">
        <f>ROUND(AVERAGE(X13:X20),-2)</f>
        <v>300</v>
      </c>
      <c r="Y49" s="14">
        <f>ROUND(AVERAGE(Y13:Y20),-2)</f>
        <v>600</v>
      </c>
      <c r="Z49" s="14">
        <f>ROUND(AVERAGE(Z13:Z20),-2)</f>
        <v>7200</v>
      </c>
      <c r="AA49" s="14">
        <f>ROUND(AVERAGE(AA13:AA20),-2)</f>
        <v>8100</v>
      </c>
      <c r="AC49" s="14">
        <f>ROUND(AVERAGE(AC13:AC20),-2)</f>
        <v>5900</v>
      </c>
      <c r="AD49" s="14">
        <f>ROUND(AVERAGE(AD13:AD20),-2)</f>
        <v>3500</v>
      </c>
      <c r="AE49" s="14">
        <f>ROUND(AVERAGE(AE13:AE20),-2)</f>
        <v>9400</v>
      </c>
      <c r="AG49" s="14"/>
      <c r="AH49" s="14"/>
      <c r="AI49" s="14"/>
      <c r="AJ49" s="14">
        <f>ROUND(AVERAGE(AJ13:AJ20),-2)</f>
        <v>39700</v>
      </c>
      <c r="AK49" s="14">
        <f>ROUND(AVERAGE(AK13:AK20),-2)</f>
        <v>1900</v>
      </c>
      <c r="AL49" s="14">
        <f>ROUND(AVERAGE(AL13:AL20),-2)</f>
        <v>41500</v>
      </c>
      <c r="AR49" s="77">
        <f>AVERAGE(AR13:AR30)</f>
        <v>0.42525232133863555</v>
      </c>
      <c r="AS49" s="61">
        <f>AVERAGE(AS13:AS30)</f>
        <v>0.10068705109613391</v>
      </c>
      <c r="AT49" s="61">
        <f>AVERAGE(AT13:AT30)</f>
        <v>3.2930714398283767E-2</v>
      </c>
      <c r="AU49" s="61">
        <f>AVERAGE(AU13:AU30)</f>
        <v>0.14298442301899852</v>
      </c>
      <c r="AV49" s="61"/>
      <c r="AW49" s="33"/>
      <c r="AX49" s="61">
        <f>AVERAGE(AX13:AX47)</f>
        <v>0.19977569987034449</v>
      </c>
      <c r="AY49" s="61">
        <f>AVERAGE(AY13:AY47)</f>
        <v>8.0131718666751436E-2</v>
      </c>
      <c r="AZ49" s="61">
        <f>AVERAGE(AZ13:AZ47)</f>
        <v>6.2449932829210353E-2</v>
      </c>
      <c r="BA49" s="61"/>
      <c r="BB49" s="61">
        <f>AVERAGE(BB13:BB47)</f>
        <v>0.34749673117421809</v>
      </c>
      <c r="BC49" s="61">
        <f>AVERAGE(BC13:BC47)</f>
        <v>4.2696160563560251E-2</v>
      </c>
      <c r="DE49" s="3">
        <v>-9031</v>
      </c>
      <c r="ES49" s="3" t="s">
        <v>111</v>
      </c>
      <c r="ET49" s="66">
        <f>AVERAGE($ES$13:$ET$48)</f>
        <v>0.14892506260996255</v>
      </c>
    </row>
    <row r="50" spans="1:150" x14ac:dyDescent="0.2">
      <c r="B50" s="4" t="s">
        <v>112</v>
      </c>
      <c r="C50" s="71">
        <f>ROUND(AVERAGE(C21:C47),-2)</f>
        <v>15700</v>
      </c>
      <c r="D50" s="71">
        <f>ROUND(AVERAGE(D21:D47),-2)</f>
        <v>13000</v>
      </c>
      <c r="E50" s="71">
        <f>ROUND(AVERAGE(E21:E47),-2)</f>
        <v>2700</v>
      </c>
      <c r="G50" s="14">
        <f t="shared" ref="G50:L50" si="123">ROUND(AVERAGE(G21:G47),-2)</f>
        <v>100</v>
      </c>
      <c r="H50" s="14">
        <f t="shared" si="123"/>
        <v>600</v>
      </c>
      <c r="I50" s="14">
        <f t="shared" si="123"/>
        <v>2200</v>
      </c>
      <c r="J50" s="14">
        <f t="shared" si="123"/>
        <v>2900</v>
      </c>
      <c r="K50" s="3" t="e">
        <f t="shared" si="123"/>
        <v>#DIV/0!</v>
      </c>
      <c r="L50" s="14">
        <f t="shared" si="123"/>
        <v>18600</v>
      </c>
      <c r="P50" s="14">
        <f>ROUND(AVERAGE(P21:P47),-2)</f>
        <v>3300</v>
      </c>
      <c r="R50" s="14">
        <f>ROUND(AVERAGE(R21:R47),-2)</f>
        <v>100</v>
      </c>
      <c r="S50" s="14">
        <f>ROUND(AVERAGE(S21:S47),-2)</f>
        <v>3700</v>
      </c>
      <c r="T50" s="14">
        <f>ROUND(AVERAGE(T21:T47),-2)</f>
        <v>3800</v>
      </c>
      <c r="V50" s="14">
        <f>ROUND(AVERAGE(V21:V47),-2)</f>
        <v>19000</v>
      </c>
      <c r="W50" s="14"/>
      <c r="X50" s="14">
        <f>ROUND(AVERAGE(X21:X47),-2)</f>
        <v>100</v>
      </c>
      <c r="Y50" s="14">
        <f>ROUND(AVERAGE(Y21:Y47),-2)</f>
        <v>700</v>
      </c>
      <c r="Z50" s="14">
        <f>ROUND(AVERAGE(Z21:Z47),-2)</f>
        <v>5900</v>
      </c>
      <c r="AA50" s="14">
        <f>ROUND(AVERAGE(AA21:AA47),-2)</f>
        <v>6700</v>
      </c>
      <c r="AC50" s="14">
        <f>ROUND(AVERAGE(AC21:AC47),-2)</f>
        <v>1900</v>
      </c>
      <c r="AD50" s="14">
        <f>ROUND(AVERAGE(AD21:AD47),-2)</f>
        <v>900</v>
      </c>
      <c r="AE50" s="14">
        <f>ROUND(AVERAGE(AE21:AE47),-2)</f>
        <v>2800</v>
      </c>
      <c r="AG50" s="14" t="e">
        <f t="shared" ref="AG50:AL50" si="124">ROUND(AVERAGE(AG21:AG47),-2)</f>
        <v>#DIV/0!</v>
      </c>
      <c r="AH50" s="14" t="e">
        <f t="shared" si="124"/>
        <v>#DIV/0!</v>
      </c>
      <c r="AI50" s="14" t="e">
        <f t="shared" si="124"/>
        <v>#DIV/0!</v>
      </c>
      <c r="AJ50" s="14">
        <f t="shared" si="124"/>
        <v>28500</v>
      </c>
      <c r="AK50" s="14">
        <f t="shared" si="124"/>
        <v>1200</v>
      </c>
      <c r="AL50" s="14">
        <f t="shared" si="124"/>
        <v>29700</v>
      </c>
      <c r="AR50" s="77">
        <f t="shared" ref="AR50:AU51" si="125">AVERAGE(AR21:AR30)</f>
        <v>0.38466384435090345</v>
      </c>
      <c r="AS50" s="61">
        <f t="shared" si="125"/>
        <v>0.11374661675412474</v>
      </c>
      <c r="AT50" s="61">
        <f t="shared" si="125"/>
        <v>3.5718157917741508E-2</v>
      </c>
      <c r="AU50" s="61">
        <f t="shared" si="125"/>
        <v>0.15712112163898054</v>
      </c>
      <c r="AV50" s="61"/>
      <c r="AW50" s="33"/>
      <c r="AX50" s="61">
        <f t="shared" ref="AX50:AZ51" si="126">AVERAGE(AX21:AX47)</f>
        <v>0.20452656088052809</v>
      </c>
      <c r="AY50" s="61">
        <f t="shared" si="126"/>
        <v>6.1082932161471801E-2</v>
      </c>
      <c r="AZ50" s="61">
        <f t="shared" si="126"/>
        <v>5.1284962601656173E-2</v>
      </c>
      <c r="BA50" s="61"/>
      <c r="BB50" s="61">
        <f>AVERAGE(BB21:BB47)</f>
        <v>0.32175791325837833</v>
      </c>
      <c r="BC50" s="61">
        <f>AVERAGE(BC21:BC47)</f>
        <v>4.20365089915469E-2</v>
      </c>
      <c r="BE50" s="3" t="s">
        <v>112</v>
      </c>
      <c r="CF50" s="126">
        <f>ROUND(AVERAGE(CF21:CF47),-2)</f>
        <v>27000</v>
      </c>
      <c r="CG50" s="126">
        <f>ROUND(AVERAGE(CG21:CG47),-2)</f>
        <v>28200</v>
      </c>
      <c r="CH50" s="126">
        <f t="shared" ref="CH50:CK50" si="127">ROUND(AVERAGE(CH21:CH47),-2)</f>
        <v>1400</v>
      </c>
      <c r="CI50" s="126">
        <f t="shared" si="127"/>
        <v>1500</v>
      </c>
      <c r="CJ50" s="126">
        <f t="shared" si="127"/>
        <v>17500</v>
      </c>
      <c r="CK50" s="126">
        <f t="shared" si="127"/>
        <v>1500</v>
      </c>
      <c r="DE50" s="124">
        <f>DE49-DE48</f>
        <v>-5848.9899707752375</v>
      </c>
      <c r="DK50" s="127">
        <f>AVERAGE(DK21:DK47)</f>
        <v>9.3825861648579992E-2</v>
      </c>
      <c r="DL50" s="127">
        <f>AVERAGE(DL21:DL47)</f>
        <v>3.7655018792137271E-2</v>
      </c>
      <c r="ES50" s="3" t="s">
        <v>113</v>
      </c>
      <c r="ET50" s="66">
        <f>AVERAGE($ES$23:$ET$48)</f>
        <v>0.15609585246267665</v>
      </c>
    </row>
    <row r="51" spans="1:150" x14ac:dyDescent="0.2">
      <c r="B51" s="4" t="s">
        <v>114</v>
      </c>
      <c r="C51" s="71">
        <f>ROUND(AVERAGE(C15:C47),-2)</f>
        <v>16300</v>
      </c>
      <c r="D51" s="71">
        <f>ROUND(AVERAGE(D15:D47),-2)</f>
        <v>13500</v>
      </c>
      <c r="E51" s="71">
        <f>ROUND(AVERAGE(E15:E47),-2)</f>
        <v>2800</v>
      </c>
      <c r="G51" s="14">
        <f>ROUND(AVERAGE(G15:G47),-2)</f>
        <v>100</v>
      </c>
      <c r="H51" s="14">
        <f>ROUND(AVERAGE(H15:H47),-2)</f>
        <v>500</v>
      </c>
      <c r="I51" s="14">
        <f>ROUND(AVERAGE(I15:I47),-2)</f>
        <v>2100</v>
      </c>
      <c r="J51" s="14">
        <f>ROUND(AVERAGE(J15:J47),-2)</f>
        <v>2800</v>
      </c>
      <c r="K51" s="3" t="e">
        <f>ROUND(AVERAGE(K15:K47),-2)</f>
        <v>#DIV/0!</v>
      </c>
      <c r="L51" s="14">
        <f>ROUND(AVERAGE(L15:L47),-1)</f>
        <v>19090</v>
      </c>
      <c r="P51" s="14">
        <f>ROUND(AVERAGE(P15:P47),-2)</f>
        <v>3200</v>
      </c>
      <c r="R51" s="14">
        <f>ROUND(AVERAGE(R15:R47),-2)</f>
        <v>100</v>
      </c>
      <c r="S51" s="14">
        <f>ROUND(AVERAGE(S15:S47),-2)</f>
        <v>4100</v>
      </c>
      <c r="T51" s="14">
        <f>ROUND(AVERAGE(T15:T47),-2)</f>
        <v>4200</v>
      </c>
      <c r="V51" s="14">
        <f>ROUND(AVERAGE(V15:V47),-2)</f>
        <v>19600</v>
      </c>
      <c r="W51" s="14"/>
      <c r="X51" s="14">
        <f>ROUND(AVERAGE(X15:X47),-2)</f>
        <v>100</v>
      </c>
      <c r="Y51" s="14">
        <f>ROUND(AVERAGE(Y15:Y47),-2)</f>
        <v>600</v>
      </c>
      <c r="Z51" s="14">
        <f>ROUND(AVERAGE(Z15:Z47),-2)</f>
        <v>6200</v>
      </c>
      <c r="AA51" s="14">
        <f>ROUND(AVERAGE(AA15:AA47),-2)</f>
        <v>7000</v>
      </c>
      <c r="AC51" s="14">
        <f>ROUND(AVERAGE(AC15:AC47),-2)</f>
        <v>2600</v>
      </c>
      <c r="AD51" s="14">
        <f>ROUND(AVERAGE(AD15:AD47),-2)</f>
        <v>1300</v>
      </c>
      <c r="AE51" s="14">
        <f>ROUND(AVERAGE(AE15:AE47),-2)</f>
        <v>4000</v>
      </c>
      <c r="AG51" s="14" t="e">
        <f t="shared" ref="AG51:AL51" si="128">ROUND(AVERAGE(AG15:AG47),-2)</f>
        <v>#DIV/0!</v>
      </c>
      <c r="AH51" s="14" t="e">
        <f t="shared" si="128"/>
        <v>#DIV/0!</v>
      </c>
      <c r="AI51" s="14" t="e">
        <f t="shared" si="128"/>
        <v>#DIV/0!</v>
      </c>
      <c r="AJ51" s="14">
        <f t="shared" si="128"/>
        <v>30500</v>
      </c>
      <c r="AK51" s="14">
        <f t="shared" si="128"/>
        <v>1300</v>
      </c>
      <c r="AL51" s="14">
        <f t="shared" si="128"/>
        <v>31800</v>
      </c>
      <c r="AR51" s="77">
        <f t="shared" si="125"/>
        <v>0.36962000511234822</v>
      </c>
      <c r="AS51" s="61">
        <f t="shared" si="125"/>
        <v>0.11074912822449556</v>
      </c>
      <c r="AT51" s="61">
        <f t="shared" si="125"/>
        <v>3.3645120747684283E-2</v>
      </c>
      <c r="AU51" s="61">
        <f t="shared" si="125"/>
        <v>0.1522611965865962</v>
      </c>
      <c r="AV51" s="61"/>
      <c r="AW51" s="33"/>
      <c r="AX51" s="61">
        <f t="shared" si="126"/>
        <v>0.2022668719815853</v>
      </c>
      <c r="AY51" s="61">
        <f t="shared" si="126"/>
        <v>6.1481984818273439E-2</v>
      </c>
      <c r="AZ51" s="61">
        <f t="shared" si="126"/>
        <v>5.0847119286359918E-2</v>
      </c>
      <c r="BA51" s="61"/>
      <c r="BB51" s="61">
        <f>AVERAGE(BB22:BB48)</f>
        <v>0.31959911495906029</v>
      </c>
      <c r="BC51" s="61">
        <f>AVERAGE(BC22:BC48)</f>
        <v>4.1926718854247341E-2</v>
      </c>
      <c r="BE51" s="3" t="s">
        <v>114</v>
      </c>
      <c r="CF51" s="126">
        <f>ROUND(AVERAGE(CF15:CF47),-2)</f>
        <v>28900</v>
      </c>
      <c r="CG51" s="126">
        <f>ROUND(AVERAGE(CG15:CG47),-2)</f>
        <v>30300</v>
      </c>
      <c r="CH51" s="126">
        <f t="shared" ref="CH51:CK51" si="129">ROUND(AVERAGE(CH15:CH47),-2)</f>
        <v>800</v>
      </c>
      <c r="CI51" s="126">
        <f t="shared" si="129"/>
        <v>800</v>
      </c>
      <c r="CJ51" s="126">
        <f t="shared" si="129"/>
        <v>18000</v>
      </c>
      <c r="CK51" s="126">
        <f t="shared" si="129"/>
        <v>1600</v>
      </c>
      <c r="DH51" s="66">
        <f>AVERAGE(DH$13:DH47)</f>
        <v>0.15738691739839616</v>
      </c>
      <c r="DK51" s="127">
        <f>AVERAGE(DK22:DK48)</f>
        <v>9.7491619396880752E-2</v>
      </c>
      <c r="DL51" s="127">
        <f>AVERAGE(DL22:DL48)</f>
        <v>3.8451821205112133E-2</v>
      </c>
      <c r="ES51" s="3" t="s">
        <v>113</v>
      </c>
      <c r="ET51" s="66">
        <f>AVERAGE($ES$23:$ET$48)</f>
        <v>0.15609585246267665</v>
      </c>
    </row>
    <row r="52" spans="1:150" ht="4.5" customHeight="1" thickBot="1" x14ac:dyDescent="0.25">
      <c r="B52" s="4"/>
      <c r="C52" s="71"/>
      <c r="D52" s="71"/>
      <c r="E52" s="71"/>
      <c r="G52" s="14"/>
      <c r="H52" s="14"/>
      <c r="I52" s="14"/>
      <c r="J52" s="14"/>
      <c r="L52" s="14"/>
      <c r="P52" s="14"/>
      <c r="R52" s="14"/>
      <c r="S52" s="14"/>
      <c r="T52" s="14"/>
      <c r="V52" s="14"/>
      <c r="X52" s="14"/>
      <c r="Y52" s="14"/>
      <c r="Z52" s="14"/>
      <c r="AA52" s="14"/>
      <c r="AC52" s="14"/>
      <c r="AD52" s="14"/>
      <c r="AE52" s="14"/>
      <c r="AG52" s="14"/>
      <c r="AH52" s="14"/>
      <c r="AI52" s="14"/>
      <c r="AJ52" s="14"/>
      <c r="AK52" s="14"/>
      <c r="AL52" s="14"/>
      <c r="AR52" s="128"/>
      <c r="AS52" s="106"/>
      <c r="AT52" s="106"/>
      <c r="AU52" s="106"/>
      <c r="AV52" s="106"/>
      <c r="AX52" s="106"/>
      <c r="AY52" s="106"/>
      <c r="AZ52" s="106"/>
      <c r="BA52" s="106"/>
      <c r="BB52" s="106"/>
      <c r="BC52" s="106"/>
      <c r="BG52" s="3"/>
      <c r="BH52" s="3"/>
      <c r="BI52" s="3"/>
      <c r="BK52" s="3"/>
      <c r="BL52" s="3"/>
      <c r="BM52" s="3"/>
      <c r="CF52" s="8"/>
      <c r="CG52" s="8"/>
      <c r="DK52" s="127"/>
      <c r="DL52" s="127"/>
    </row>
    <row r="53" spans="1:150" ht="13.5" thickBot="1" x14ac:dyDescent="0.25">
      <c r="B53" s="4" t="s">
        <v>115</v>
      </c>
      <c r="C53" s="71">
        <f>MIN(C$13:C47)</f>
        <v>5793.8</v>
      </c>
      <c r="D53" s="71">
        <f>MIN(D$13:D47)</f>
        <v>4591.8</v>
      </c>
      <c r="E53" s="71">
        <f>MIN(E$13:E47)</f>
        <v>1202</v>
      </c>
      <c r="G53" s="14">
        <f>MIN(G$13:G47)</f>
        <v>24</v>
      </c>
      <c r="H53" s="14">
        <f>MIN(H$13:H47)</f>
        <v>82</v>
      </c>
      <c r="I53" s="14">
        <f>MIN(I$13:I47)</f>
        <v>1054.2</v>
      </c>
      <c r="J53" s="14">
        <f>MIN(J$13:J47)</f>
        <v>1276.2</v>
      </c>
      <c r="L53" s="14">
        <f>MIN(L$13:L47)</f>
        <v>7070</v>
      </c>
      <c r="P53" s="14">
        <f>MIN(P$13:P47)</f>
        <v>891.39661832864556</v>
      </c>
      <c r="R53" s="14">
        <f>MIN(R$13:R47)</f>
        <v>1</v>
      </c>
      <c r="S53" s="14">
        <f>MIN(S$13:S47)</f>
        <v>1644.3999999999999</v>
      </c>
      <c r="T53" s="14">
        <f>MIN(T$13:T47)</f>
        <v>1664.1440192695411</v>
      </c>
      <c r="V53" s="14">
        <f>MIN(V$13:V47)</f>
        <v>6685.1966183286459</v>
      </c>
      <c r="X53" s="14">
        <f>MIN(X$13:X47)</f>
        <v>24</v>
      </c>
      <c r="Y53" s="14">
        <f>MIN(Y$13:Y47)</f>
        <v>82</v>
      </c>
      <c r="Z53" s="14">
        <f>MIN(Z$13:Z47)</f>
        <v>3232.2</v>
      </c>
      <c r="AA53" s="14">
        <f>MIN(AA$13:AA47)</f>
        <v>3506.5299909277014</v>
      </c>
      <c r="AC53" s="14">
        <f>MIN(AC$13:AC47)</f>
        <v>21.655999999999999</v>
      </c>
      <c r="AD53" s="14">
        <f>MIN(AD$13:AD47)</f>
        <v>237</v>
      </c>
      <c r="AE53" s="14">
        <f>MIN(AE$13:AE47)</f>
        <v>332.68799999999999</v>
      </c>
      <c r="AG53" s="14">
        <f>MIN(AG$13:AG47)</f>
        <v>0</v>
      </c>
      <c r="AH53" s="14">
        <f>MIN(AH$13:AH47)</f>
        <v>0</v>
      </c>
      <c r="AI53" s="14">
        <f>MIN(AI$13:AI47)</f>
        <v>0</v>
      </c>
      <c r="AJ53" s="14">
        <f>MIN(AJ$13:AJ47)</f>
        <v>12779.356618328646</v>
      </c>
      <c r="AK53" s="14">
        <f>MIN(AK$13:AK47)</f>
        <v>186</v>
      </c>
      <c r="AL53" s="14">
        <f>MIN(AL$13:AL47)</f>
        <v>13461.356618328646</v>
      </c>
      <c r="AR53" s="77">
        <f>MIN(AR$13:AR47)</f>
        <v>0.22447552567883969</v>
      </c>
      <c r="AS53" s="106"/>
      <c r="AT53" s="106"/>
      <c r="AU53" s="106"/>
      <c r="AV53" s="106"/>
      <c r="AX53" s="106"/>
      <c r="AY53" s="106"/>
      <c r="AZ53" s="106"/>
      <c r="BA53" s="106"/>
      <c r="BB53" s="129" t="s">
        <v>116</v>
      </c>
      <c r="BC53" s="130">
        <f>AVERAGE(BC28:BC38)</f>
        <v>4.4676609197754125E-2</v>
      </c>
      <c r="BE53" s="3" t="s">
        <v>115</v>
      </c>
      <c r="CF53" s="126">
        <f>MIN(CF$13:CF47)</f>
        <v>11083.400911215593</v>
      </c>
      <c r="CG53" s="126">
        <f>MIN(CG$13:CG47)</f>
        <v>11765.400911215593</v>
      </c>
      <c r="CH53" s="126">
        <f>MIN(CH$13:CH47)</f>
        <v>-3161.5456581856124</v>
      </c>
      <c r="CI53" s="126">
        <f>MIN(CI$13:CI47)</f>
        <v>-3161.5456581856124</v>
      </c>
      <c r="CJ53" s="126">
        <f>MIN(CJ$13:CJ47)</f>
        <v>4989.2409112155929</v>
      </c>
      <c r="CK53" s="126">
        <f>MIN(CK$13:CK47)</f>
        <v>-1313.1509141688457</v>
      </c>
      <c r="DH53" s="66">
        <f>MIN(DH$13:DH47)</f>
        <v>8.4599462872231274E-2</v>
      </c>
      <c r="DK53" s="127"/>
      <c r="DL53" s="127"/>
      <c r="EI53" s="131">
        <f>AVERAGE(EI29:EI31)</f>
        <v>1.5629644543301016</v>
      </c>
      <c r="EJ53" s="131">
        <f>AVERAGE(EJ31)</f>
        <v>0.11653081893523901</v>
      </c>
      <c r="ET53" s="66">
        <f>MIN($ES$13:$ET$48)</f>
        <v>7.8982399053394464E-2</v>
      </c>
    </row>
    <row r="54" spans="1:150" x14ac:dyDescent="0.2">
      <c r="B54" s="4" t="s">
        <v>117</v>
      </c>
      <c r="C54" s="71">
        <f>MAX(C$13:C47)</f>
        <v>30740</v>
      </c>
      <c r="D54" s="71">
        <f>MAX(D$13:D47)</f>
        <v>25724</v>
      </c>
      <c r="E54" s="71">
        <f>MAX(E$13:E47)</f>
        <v>5317</v>
      </c>
      <c r="G54" s="14">
        <f>MAX(G$13:G47)</f>
        <v>612</v>
      </c>
      <c r="H54" s="14">
        <f>MAX(H$13:H47)</f>
        <v>1339</v>
      </c>
      <c r="I54" s="14">
        <f>MAX(I$13:I47)</f>
        <v>5457</v>
      </c>
      <c r="J54" s="14">
        <f>MAX(J$13:J47)</f>
        <v>6374</v>
      </c>
      <c r="L54" s="14">
        <f>MAX(L$13:L47)</f>
        <v>35715</v>
      </c>
      <c r="P54" s="14">
        <f>MAX(P$13:P47)</f>
        <v>15029.315747871828</v>
      </c>
      <c r="R54" s="14">
        <f>MAX(R$13:R47)</f>
        <v>525</v>
      </c>
      <c r="S54" s="14">
        <f>MAX(S$13:S47)</f>
        <v>7470</v>
      </c>
      <c r="T54" s="14">
        <f>MAX(T$13:T47)</f>
        <v>7470</v>
      </c>
      <c r="V54" s="14">
        <f>MAX(V$13:V47)</f>
        <v>34275.837176682857</v>
      </c>
      <c r="X54" s="14">
        <f>MAX(X$13:X47)</f>
        <v>612</v>
      </c>
      <c r="Y54" s="14">
        <f>MAX(Y$13:Y47)</f>
        <v>1490</v>
      </c>
      <c r="Z54" s="14">
        <f>MAX(Z$13:Z47)</f>
        <v>11764</v>
      </c>
      <c r="AA54" s="14">
        <f>MAX(AA$13:AA47)</f>
        <v>13009.008815929265</v>
      </c>
      <c r="AC54" s="14">
        <f>MAX(AC$13:AC47)</f>
        <v>7809.3391238589656</v>
      </c>
      <c r="AD54" s="14">
        <f>MAX(AD$13:AD47)</f>
        <v>4583.3275428076986</v>
      </c>
      <c r="AE54" s="14">
        <f>MAX(AE$13:AE47)</f>
        <v>12392.666666666664</v>
      </c>
      <c r="AG54" s="14">
        <f>MAX(AG$13:AG47)</f>
        <v>0</v>
      </c>
      <c r="AH54" s="14">
        <f>MAX(AH$13:AH47)</f>
        <v>0</v>
      </c>
      <c r="AI54" s="14">
        <f>MAX(AI$13:AI47)</f>
        <v>0</v>
      </c>
      <c r="AJ54" s="14">
        <f>MAX(AJ$13:AJ47)</f>
        <v>49917.845992612121</v>
      </c>
      <c r="AK54" s="14">
        <f>MAX(AK$13:AK47)</f>
        <v>2300</v>
      </c>
      <c r="AL54" s="14">
        <f>MAX(AL$13:AL47)</f>
        <v>52217.845992612121</v>
      </c>
      <c r="AR54" s="77">
        <f>MAX(AR$13:AR47)</f>
        <v>0.5626776426224992</v>
      </c>
      <c r="AS54" s="106"/>
      <c r="AT54" s="106"/>
      <c r="AU54" s="106"/>
      <c r="AV54" s="106"/>
      <c r="AX54" s="106"/>
      <c r="AY54" s="106"/>
      <c r="AZ54" s="106"/>
      <c r="BA54" s="106"/>
      <c r="BB54" s="106"/>
      <c r="BC54" s="106"/>
      <c r="BE54" s="3" t="s">
        <v>117</v>
      </c>
      <c r="CF54" s="126">
        <f>MAX(CF$13:CF47)</f>
        <v>47505.849332349782</v>
      </c>
      <c r="CG54" s="126">
        <f>MAX(CG$13:CG47)</f>
        <v>49905.849332349782</v>
      </c>
      <c r="CH54" s="126">
        <f>MAX(CH$13:CH47)</f>
        <v>5411.7425078150118</v>
      </c>
      <c r="CI54" s="126">
        <f>MAX(CI$13:CI47)</f>
        <v>5511.7425078150118</v>
      </c>
      <c r="CJ54" s="126">
        <f>MAX(CJ$13:CJ47)</f>
        <v>31863.840516420514</v>
      </c>
      <c r="CK54" s="126">
        <f>MAX(CK$13:CK47)</f>
        <v>5411.7425078150118</v>
      </c>
      <c r="DH54" s="66">
        <f>MAX(DH$13:DH47)</f>
        <v>0.59195498072200736</v>
      </c>
      <c r="DK54" s="127"/>
      <c r="DL54" s="127"/>
      <c r="EI54" s="131">
        <f>1-EI53</f>
        <v>-0.56296445433010156</v>
      </c>
      <c r="ET54" s="66">
        <f>MIN($ES$23:$ET$48)</f>
        <v>8.8409563409563408E-2</v>
      </c>
    </row>
    <row r="55" spans="1:150" ht="6" customHeight="1" x14ac:dyDescent="0.2">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c r="AJ55" s="13"/>
      <c r="AK55" s="13"/>
      <c r="AL55" s="13"/>
    </row>
    <row r="56" spans="1:150" ht="15.75" customHeight="1" x14ac:dyDescent="0.2">
      <c r="A56" s="132" t="s">
        <v>118</v>
      </c>
      <c r="B56" s="133" t="s">
        <v>119</v>
      </c>
      <c r="AS56" s="985" t="s">
        <v>120</v>
      </c>
      <c r="AT56" s="985"/>
      <c r="BS56" s="33"/>
      <c r="BT56" s="33" t="s">
        <v>121</v>
      </c>
      <c r="BU56" s="33" t="s">
        <v>122</v>
      </c>
      <c r="BV56" s="33" t="s">
        <v>57</v>
      </c>
      <c r="BW56" s="33" t="s">
        <v>43</v>
      </c>
      <c r="BX56" s="33"/>
      <c r="BY56" s="33" t="s">
        <v>123</v>
      </c>
      <c r="BZ56" s="33" t="s">
        <v>124</v>
      </c>
      <c r="CA56" s="33"/>
      <c r="EI56" s="5">
        <f>C33*EI53</f>
        <v>14661.856953179815</v>
      </c>
      <c r="EJ56" s="14">
        <f>$C33+EI56</f>
        <v>24042.656953179816</v>
      </c>
      <c r="EK56" s="89">
        <f>EI56/EJ56</f>
        <v>0.60982681663395266</v>
      </c>
      <c r="ET56" s="66">
        <f>MAX($ES$13:$ET$48)</f>
        <v>0.21926133475453194</v>
      </c>
    </row>
    <row r="57" spans="1:150" ht="15.75" customHeight="1" thickBot="1" x14ac:dyDescent="0.25">
      <c r="A57" s="132" t="s">
        <v>125</v>
      </c>
      <c r="B57" s="133" t="s">
        <v>126</v>
      </c>
      <c r="AR57" s="134">
        <v>2011</v>
      </c>
      <c r="AS57" s="134">
        <v>2011</v>
      </c>
      <c r="AT57" s="135">
        <v>2012</v>
      </c>
      <c r="AU57" s="134">
        <v>2013</v>
      </c>
      <c r="AV57" s="134">
        <v>2014</v>
      </c>
      <c r="AW57" s="134">
        <v>2015</v>
      </c>
      <c r="AX57" s="134">
        <v>2016</v>
      </c>
      <c r="AY57" s="134">
        <v>2017</v>
      </c>
      <c r="AZ57" s="33">
        <v>2018</v>
      </c>
      <c r="BA57" s="33">
        <v>2019</v>
      </c>
      <c r="BB57" s="33">
        <v>2020</v>
      </c>
      <c r="BC57" s="33">
        <v>2021</v>
      </c>
      <c r="BD57" s="33">
        <v>2022</v>
      </c>
      <c r="BE57" s="33">
        <v>2023</v>
      </c>
      <c r="BF57" s="33">
        <v>2024</v>
      </c>
      <c r="BG57" s="33">
        <v>2025</v>
      </c>
      <c r="BO57" s="33">
        <v>1986</v>
      </c>
      <c r="BS57" s="33">
        <f t="shared" ref="BS57:BS75" si="130">B13</f>
        <v>1992</v>
      </c>
      <c r="BT57" s="77"/>
      <c r="BU57" s="77"/>
      <c r="BV57" s="77"/>
      <c r="BW57" s="77"/>
      <c r="BX57" s="33"/>
      <c r="BY57" s="62">
        <f t="shared" ref="BY57:BY74" si="131">P13</f>
        <v>2053.3284350514323</v>
      </c>
      <c r="BZ57" s="62">
        <f t="shared" ref="BZ57:BZ74" si="132">V13</f>
        <v>18861.328435051433</v>
      </c>
      <c r="CA57" s="136">
        <f>BY57/BZ57</f>
        <v>0.10886446530646149</v>
      </c>
      <c r="EI57" s="5">
        <f>C33*(EJ53)</f>
        <v>1093.1523062676899</v>
      </c>
      <c r="EJ57" s="14">
        <f>$C33+EI57</f>
        <v>10473.952306267689</v>
      </c>
      <c r="EK57" s="89">
        <f>EI57/EJ57</f>
        <v>0.10436865419117286</v>
      </c>
      <c r="ET57" s="66">
        <f>MAX($ES$23:$ET$48)</f>
        <v>0.19755851022471038</v>
      </c>
    </row>
    <row r="58" spans="1:150" ht="15.75" customHeight="1" thickBot="1" x14ac:dyDescent="0.25">
      <c r="A58" s="132" t="s">
        <v>127</v>
      </c>
      <c r="B58" s="133" t="s">
        <v>128</v>
      </c>
      <c r="AQ58" s="137"/>
      <c r="AR58" s="138">
        <f>CA74</f>
        <v>0.13333887830385172</v>
      </c>
      <c r="AS58" s="138">
        <f>AK31/AJ31</f>
        <v>3.0038072069939307E-2</v>
      </c>
      <c r="AT58" s="139">
        <f>AK31/AJ31</f>
        <v>3.0038072069939307E-2</v>
      </c>
      <c r="AU58" s="140">
        <f>AT58</f>
        <v>3.0038072069939307E-2</v>
      </c>
      <c r="AV58" s="140">
        <f>AU58</f>
        <v>3.0038072069939307E-2</v>
      </c>
      <c r="AW58" s="140">
        <f>AV58</f>
        <v>3.0038072069939307E-2</v>
      </c>
      <c r="AX58" s="140">
        <f>AW58</f>
        <v>3.0038072069939307E-2</v>
      </c>
      <c r="AY58" s="140">
        <f>AX58</f>
        <v>3.0038072069939307E-2</v>
      </c>
      <c r="AZ58" s="78">
        <f>BC39</f>
        <v>4.4676609197754125E-2</v>
      </c>
      <c r="BA58" s="78">
        <f>BC39</f>
        <v>4.4676609197754125E-2</v>
      </c>
      <c r="BB58" s="78">
        <f>BC41</f>
        <v>4.4676609197754125E-2</v>
      </c>
      <c r="BC58" s="78">
        <f>$BC42</f>
        <v>4.4676609197754125E-2</v>
      </c>
      <c r="BD58" s="78">
        <f>$BC42</f>
        <v>4.4676609197754125E-2</v>
      </c>
      <c r="BE58" s="78">
        <f>$BC46</f>
        <v>4.4676609197754125E-2</v>
      </c>
      <c r="BF58" s="78">
        <f>$BC46</f>
        <v>4.4676609197754125E-2</v>
      </c>
      <c r="BG58" s="78">
        <f>$BC46</f>
        <v>4.4676609197754125E-2</v>
      </c>
      <c r="BJ58" s="17"/>
      <c r="BO58" s="78">
        <f>BC53</f>
        <v>4.4676609197754125E-2</v>
      </c>
      <c r="BS58" s="33">
        <f t="shared" si="130"/>
        <v>1993</v>
      </c>
      <c r="BT58" s="77">
        <f>G13/$J13</f>
        <v>0.18777770989835516</v>
      </c>
      <c r="BU58" s="77">
        <f>I13/$J13</f>
        <v>0.40138184311815206</v>
      </c>
      <c r="BV58" s="77">
        <f>H13/$J13</f>
        <v>0.4108404469834927</v>
      </c>
      <c r="BW58" s="77">
        <f>J13/$J13</f>
        <v>1</v>
      </c>
      <c r="BX58" s="33"/>
      <c r="BY58" s="62">
        <f t="shared" si="131"/>
        <v>2293.2596022920402</v>
      </c>
      <c r="BZ58" s="62">
        <f t="shared" si="132"/>
        <v>27107.259602292041</v>
      </c>
      <c r="CA58" s="136">
        <f>BY58/BZ58</f>
        <v>8.4599462872231274E-2</v>
      </c>
    </row>
    <row r="59" spans="1:150" ht="15.75" customHeight="1" x14ac:dyDescent="0.2">
      <c r="A59" s="132" t="s">
        <v>129</v>
      </c>
      <c r="B59" s="133" t="s">
        <v>130</v>
      </c>
      <c r="AN59" s="3">
        <v>676</v>
      </c>
      <c r="AR59" s="14"/>
      <c r="AS59" s="14"/>
      <c r="AT59" s="14"/>
      <c r="BG59" s="3"/>
      <c r="BS59" s="33">
        <f t="shared" si="130"/>
        <v>1994</v>
      </c>
      <c r="BT59" s="77">
        <f>G14/$J14</f>
        <v>0.19298074669137172</v>
      </c>
      <c r="BU59" s="77">
        <f>I14/$J14</f>
        <v>0.49085246331259752</v>
      </c>
      <c r="BV59" s="77">
        <f>H14/$J14</f>
        <v>0.31616678999603071</v>
      </c>
      <c r="BW59" s="77">
        <f>J14/$J14</f>
        <v>1</v>
      </c>
      <c r="BX59" s="33"/>
      <c r="BY59" s="62">
        <f t="shared" si="131"/>
        <v>5777.6481465135384</v>
      </c>
      <c r="BZ59" s="62">
        <f t="shared" si="132"/>
        <v>29416.983375277428</v>
      </c>
      <c r="CA59" s="136">
        <f t="shared" ref="CA59:CA64" si="133">BY59/BZ59</f>
        <v>0.19640518787419853</v>
      </c>
    </row>
    <row r="60" spans="1:150" ht="15.75" x14ac:dyDescent="0.2">
      <c r="A60" s="132" t="s">
        <v>131</v>
      </c>
      <c r="B60" s="133" t="s">
        <v>132</v>
      </c>
      <c r="AN60" s="3">
        <v>1731</v>
      </c>
      <c r="AR60" s="127">
        <f t="shared" ref="AR60:BE60" si="134">1-AR58</f>
        <v>0.86666112169614828</v>
      </c>
      <c r="AS60" s="127">
        <f t="shared" si="134"/>
        <v>0.96996192793006064</v>
      </c>
      <c r="AT60" s="127">
        <f t="shared" si="134"/>
        <v>0.96996192793006064</v>
      </c>
      <c r="AU60" s="127">
        <f t="shared" si="134"/>
        <v>0.96996192793006064</v>
      </c>
      <c r="AV60" s="127">
        <f t="shared" si="134"/>
        <v>0.96996192793006064</v>
      </c>
      <c r="AW60" s="127">
        <f t="shared" si="134"/>
        <v>0.96996192793006064</v>
      </c>
      <c r="AX60" s="127">
        <f t="shared" si="134"/>
        <v>0.96996192793006064</v>
      </c>
      <c r="AY60" s="127">
        <f t="shared" si="134"/>
        <v>0.96996192793006064</v>
      </c>
      <c r="AZ60" s="127">
        <f t="shared" si="134"/>
        <v>0.95532339080224582</v>
      </c>
      <c r="BA60" s="127">
        <f t="shared" si="134"/>
        <v>0.95532339080224582</v>
      </c>
      <c r="BB60" s="127">
        <f t="shared" si="134"/>
        <v>0.95532339080224582</v>
      </c>
      <c r="BC60" s="127">
        <f t="shared" si="134"/>
        <v>0.95532339080224582</v>
      </c>
      <c r="BD60" s="127">
        <f t="shared" si="134"/>
        <v>0.95532339080224582</v>
      </c>
      <c r="BE60" s="127">
        <f t="shared" si="134"/>
        <v>0.95532339080224582</v>
      </c>
      <c r="BF60" s="127">
        <f>1-BF58</f>
        <v>0.95532339080224582</v>
      </c>
      <c r="BG60" s="127">
        <f>1-BG58</f>
        <v>0.95532339080224582</v>
      </c>
      <c r="BJ60" s="127"/>
      <c r="BO60" s="127">
        <f>1-BO58</f>
        <v>0.95532339080224582</v>
      </c>
      <c r="BS60" s="33">
        <f t="shared" si="130"/>
        <v>1995</v>
      </c>
      <c r="BT60" s="77">
        <f t="shared" ref="BT60:BT65" si="135">G16/$J16</f>
        <v>2.7913572764141074E-2</v>
      </c>
      <c r="BU60" s="77">
        <f t="shared" ref="BU60:BU65" si="136">I16/$J16</f>
        <v>0.70264291235977494</v>
      </c>
      <c r="BV60" s="77">
        <f t="shared" ref="BV60:BV65" si="137">H16/$J16</f>
        <v>0.26944351487608398</v>
      </c>
      <c r="BW60" s="77">
        <f t="shared" ref="BW60:BW65" si="138">J16/$J16</f>
        <v>1</v>
      </c>
      <c r="BX60" s="33"/>
      <c r="BY60" s="62">
        <f t="shared" si="131"/>
        <v>1690.4925854407047</v>
      </c>
      <c r="BZ60" s="62">
        <f t="shared" si="132"/>
        <v>10875.102243388392</v>
      </c>
      <c r="CA60" s="136">
        <f t="shared" si="133"/>
        <v>0.15544613260702478</v>
      </c>
    </row>
    <row r="61" spans="1:150" ht="15.75" customHeight="1" x14ac:dyDescent="0.2">
      <c r="A61" s="132" t="s">
        <v>133</v>
      </c>
      <c r="B61" s="141" t="s">
        <v>134</v>
      </c>
      <c r="AN61" s="3">
        <v>1824</v>
      </c>
      <c r="AQ61" s="3" t="s">
        <v>63</v>
      </c>
      <c r="AR61" s="72">
        <f>C32/AR60</f>
        <v>12179.154845832185</v>
      </c>
      <c r="AS61" s="72">
        <f>AJ32/AS60</f>
        <v>20336.248545267117</v>
      </c>
      <c r="AT61" s="72">
        <f>$AJ33/AT60</f>
        <v>17770.096375157595</v>
      </c>
      <c r="AU61" s="72">
        <f>$AJ34/AU60</f>
        <v>19211.751389375899</v>
      </c>
      <c r="AV61" s="72">
        <f>$AJ35/AV60</f>
        <v>26675.002737168466</v>
      </c>
      <c r="AW61" s="72">
        <f>$AJ36/AW60</f>
        <v>35926.430555054976</v>
      </c>
      <c r="AX61" s="72">
        <f>$AJ37/AX60</f>
        <v>20834.985064548215</v>
      </c>
      <c r="AY61" s="72">
        <f>$AJ38/AY60</f>
        <v>13175.111569172956</v>
      </c>
      <c r="AZ61" s="72">
        <f>$AJ39/AZ60</f>
        <v>28404.775328710944</v>
      </c>
      <c r="BA61" s="72">
        <f>$AJ40/BA60</f>
        <v>23991.519436126604</v>
      </c>
      <c r="BB61" s="72">
        <f>$AJ41/BB60</f>
        <v>22363.508276482251</v>
      </c>
      <c r="BC61" s="72">
        <f>$AJ42/BC60</f>
        <v>20729.203485125821</v>
      </c>
      <c r="BD61" s="72">
        <f>$AJ43/BD60</f>
        <v>25362.144309151121</v>
      </c>
      <c r="BE61" s="72">
        <f>$AJ44/BE60</f>
        <v>16742.684573011</v>
      </c>
      <c r="BF61" s="72">
        <f>$AJ45/BF60</f>
        <v>25869.528395743499</v>
      </c>
      <c r="BG61" s="72">
        <f>$AJ46/BG60</f>
        <v>32885.123873846445</v>
      </c>
      <c r="BJ61" s="14"/>
      <c r="BO61" s="14">
        <f>$AJ7/BO60</f>
        <v>50586.893907443977</v>
      </c>
      <c r="BS61" s="33">
        <f t="shared" si="130"/>
        <v>1996</v>
      </c>
      <c r="BT61" s="77">
        <f t="shared" si="135"/>
        <v>2.075976917669126E-2</v>
      </c>
      <c r="BU61" s="77">
        <f t="shared" si="136"/>
        <v>0.77715023291959995</v>
      </c>
      <c r="BV61" s="77">
        <f t="shared" si="137"/>
        <v>0.2020899979037088</v>
      </c>
      <c r="BW61" s="77">
        <f t="shared" si="138"/>
        <v>1</v>
      </c>
      <c r="BX61" s="33"/>
      <c r="BY61" s="62">
        <f t="shared" si="131"/>
        <v>2124.6061268403055</v>
      </c>
      <c r="BZ61" s="62">
        <f t="shared" si="132"/>
        <v>23846.271597927702</v>
      </c>
      <c r="CA61" s="136">
        <f t="shared" si="133"/>
        <v>8.909594601048404E-2</v>
      </c>
    </row>
    <row r="62" spans="1:150" ht="15.75" customHeight="1" x14ac:dyDescent="0.2">
      <c r="A62" s="132"/>
      <c r="B62" s="141" t="s">
        <v>135</v>
      </c>
      <c r="AN62" s="3">
        <v>2214</v>
      </c>
      <c r="AQ62" s="3" t="s">
        <v>62</v>
      </c>
      <c r="AR62" s="14">
        <f>C32</f>
        <v>10555.2</v>
      </c>
      <c r="AS62" s="14">
        <f>AJ32</f>
        <v>19725.386845832185</v>
      </c>
      <c r="AT62" s="14">
        <f>$AJ33</f>
        <v>17236.316939550841</v>
      </c>
      <c r="AU62" s="14">
        <f>$AJ34</f>
        <v>18634.667416552067</v>
      </c>
      <c r="AV62" s="14">
        <f>$AJ35</f>
        <v>25873.737082483571</v>
      </c>
      <c r="AW62" s="14">
        <f>$AJ36</f>
        <v>34847.269844826566</v>
      </c>
      <c r="AX62" s="14">
        <f>$AJ37</f>
        <v>20209.142281603206</v>
      </c>
      <c r="AY62" s="14">
        <f>$AJ38</f>
        <v>12779.356618328646</v>
      </c>
      <c r="AZ62" s="14">
        <f>$AJ39</f>
        <v>27135.746282000116</v>
      </c>
      <c r="BA62" s="14">
        <f>$AJ40</f>
        <v>22919.659698218453</v>
      </c>
      <c r="BB62" s="14">
        <f>$AJ41</f>
        <v>21364.382556923112</v>
      </c>
      <c r="BC62" s="14">
        <f>$AJ42</f>
        <v>19803.092962040129</v>
      </c>
      <c r="BD62" s="14">
        <f>$AJ43</f>
        <v>24229.04969943413</v>
      </c>
      <c r="BE62" s="14">
        <f>$AJ44</f>
        <v>15994.678197421319</v>
      </c>
      <c r="BF62" s="14">
        <f>$AJ45</f>
        <v>24713.76558547666</v>
      </c>
      <c r="BG62" s="14">
        <f>$AJ46</f>
        <v>31415.92804611487</v>
      </c>
      <c r="BJ62" s="14"/>
      <c r="BO62" s="14">
        <f>$AJ7</f>
        <v>48326.843017812847</v>
      </c>
      <c r="BS62" s="33">
        <f t="shared" si="130"/>
        <v>1997</v>
      </c>
      <c r="BT62" s="77">
        <f t="shared" si="135"/>
        <v>1.9332995545298253E-2</v>
      </c>
      <c r="BU62" s="77">
        <f t="shared" si="136"/>
        <v>0.8849450996816397</v>
      </c>
      <c r="BV62" s="77">
        <f t="shared" si="137"/>
        <v>9.5721904773062083E-2</v>
      </c>
      <c r="BW62" s="77">
        <f t="shared" si="138"/>
        <v>1</v>
      </c>
      <c r="BX62" s="33"/>
      <c r="BY62" s="62">
        <f t="shared" si="131"/>
        <v>2996.9324023471959</v>
      </c>
      <c r="BZ62" s="62">
        <f t="shared" si="132"/>
        <v>24369.205694272663</v>
      </c>
      <c r="CA62" s="136">
        <f t="shared" si="133"/>
        <v>0.12298030719366226</v>
      </c>
    </row>
    <row r="63" spans="1:150" ht="15.75" customHeight="1" thickBot="1" x14ac:dyDescent="0.25">
      <c r="A63" s="132"/>
      <c r="B63" s="141" t="s">
        <v>136</v>
      </c>
      <c r="AN63" s="3">
        <f>SUM(AN59:AN62)</f>
        <v>6445</v>
      </c>
      <c r="AR63" s="142">
        <f t="shared" ref="AR63:BC63" si="139">AR61-AR62</f>
        <v>1623.9548458321842</v>
      </c>
      <c r="AS63" s="143">
        <f t="shared" si="139"/>
        <v>610.86169943493223</v>
      </c>
      <c r="AT63" s="143">
        <f t="shared" si="139"/>
        <v>533.7794356067534</v>
      </c>
      <c r="AU63" s="143">
        <f t="shared" si="139"/>
        <v>577.08397282383157</v>
      </c>
      <c r="AV63" s="143">
        <f t="shared" si="139"/>
        <v>801.26565468489571</v>
      </c>
      <c r="AW63" s="143">
        <f t="shared" si="139"/>
        <v>1079.1607102284106</v>
      </c>
      <c r="AX63" s="143">
        <f t="shared" si="139"/>
        <v>625.84278294500837</v>
      </c>
      <c r="AY63" s="143">
        <f t="shared" si="139"/>
        <v>395.75495084430986</v>
      </c>
      <c r="AZ63" s="143">
        <f t="shared" si="139"/>
        <v>1269.029046710828</v>
      </c>
      <c r="BA63" s="143">
        <f t="shared" si="139"/>
        <v>1071.8597379081511</v>
      </c>
      <c r="BB63" s="143">
        <f t="shared" si="139"/>
        <v>999.12571955913882</v>
      </c>
      <c r="BC63" s="143">
        <f t="shared" si="139"/>
        <v>926.11052308569197</v>
      </c>
      <c r="BD63" s="143">
        <f>BD61-BD62</f>
        <v>1133.0946097169908</v>
      </c>
      <c r="BE63" s="143">
        <f>BE61-BE62</f>
        <v>748.00637558968083</v>
      </c>
      <c r="BF63" s="143">
        <f>BF61-BF62</f>
        <v>1155.7628102668386</v>
      </c>
      <c r="BG63" s="143">
        <f>BG61-BG62</f>
        <v>1469.1958277315753</v>
      </c>
      <c r="BJ63" s="14"/>
      <c r="BO63" s="143">
        <f>BO61-BO62</f>
        <v>2260.0508896311294</v>
      </c>
      <c r="BS63" s="33">
        <f t="shared" si="130"/>
        <v>1998</v>
      </c>
      <c r="BT63" s="77">
        <f t="shared" si="135"/>
        <v>0.16151685393258428</v>
      </c>
      <c r="BU63" s="77">
        <f t="shared" si="136"/>
        <v>0.74672284644194753</v>
      </c>
      <c r="BV63" s="77">
        <f t="shared" si="137"/>
        <v>9.1760299625468167E-2</v>
      </c>
      <c r="BW63" s="77">
        <f t="shared" si="138"/>
        <v>1</v>
      </c>
      <c r="BX63" s="33"/>
      <c r="BY63" s="62">
        <f t="shared" si="131"/>
        <v>2804.3790219703574</v>
      </c>
      <c r="BZ63" s="62">
        <f t="shared" si="132"/>
        <v>27712.379021970359</v>
      </c>
      <c r="CA63" s="136">
        <f t="shared" si="133"/>
        <v>0.10119589587552362</v>
      </c>
    </row>
    <row r="64" spans="1:150" ht="15.75" customHeight="1" thickBot="1" x14ac:dyDescent="0.25">
      <c r="B64" s="141" t="s">
        <v>137</v>
      </c>
      <c r="AR64" s="144">
        <f t="shared" ref="AR64:BC64" si="140">AR63/AR61</f>
        <v>0.13333887830385177</v>
      </c>
      <c r="AS64" s="144">
        <f t="shared" si="140"/>
        <v>3.0038072069939317E-2</v>
      </c>
      <c r="AT64" s="144">
        <f t="shared" si="140"/>
        <v>3.0038072069939439E-2</v>
      </c>
      <c r="AU64" s="144">
        <f t="shared" si="140"/>
        <v>3.0038072069939397E-2</v>
      </c>
      <c r="AV64" s="144">
        <f t="shared" si="140"/>
        <v>3.0038072069939345E-2</v>
      </c>
      <c r="AW64" s="144">
        <f t="shared" si="140"/>
        <v>3.0038072069939296E-2</v>
      </c>
      <c r="AX64" s="144">
        <f t="shared" si="140"/>
        <v>3.0038072069939307E-2</v>
      </c>
      <c r="AY64" s="144">
        <f t="shared" si="140"/>
        <v>3.0038072069939418E-2</v>
      </c>
      <c r="AZ64" s="144">
        <f t="shared" si="140"/>
        <v>4.4676609197754166E-2</v>
      </c>
      <c r="BA64" s="144">
        <f t="shared" si="140"/>
        <v>4.4676609197754145E-2</v>
      </c>
      <c r="BB64" s="144">
        <f t="shared" si="140"/>
        <v>4.4676609197754187E-2</v>
      </c>
      <c r="BC64" s="144">
        <f t="shared" si="140"/>
        <v>4.4676609197754263E-2</v>
      </c>
      <c r="BD64" s="144">
        <f>BD63/BD61</f>
        <v>4.4676609197754222E-2</v>
      </c>
      <c r="BE64" s="144">
        <f>BE63/BE61</f>
        <v>4.4676609197754215E-2</v>
      </c>
      <c r="BF64" s="144">
        <f>BF63/BF61</f>
        <v>4.467660919775425E-2</v>
      </c>
      <c r="BG64" s="144">
        <f>BG63/BG61</f>
        <v>4.4676609197754229E-2</v>
      </c>
      <c r="BJ64" s="14"/>
      <c r="BO64" s="144">
        <f>BO63/BO61</f>
        <v>4.4676609197754236E-2</v>
      </c>
      <c r="BS64" s="33">
        <f t="shared" si="130"/>
        <v>1999</v>
      </c>
      <c r="BT64" s="77">
        <f t="shared" si="135"/>
        <v>0.10249601699415826</v>
      </c>
      <c r="BU64" s="77">
        <f t="shared" si="136"/>
        <v>0.85395645246946361</v>
      </c>
      <c r="BV64" s="77">
        <f t="shared" si="137"/>
        <v>4.3547530536378123E-2</v>
      </c>
      <c r="BW64" s="77">
        <f t="shared" si="138"/>
        <v>1</v>
      </c>
      <c r="BX64" s="33"/>
      <c r="BY64" s="62">
        <f t="shared" si="131"/>
        <v>1960.1548817357414</v>
      </c>
      <c r="BZ64" s="62">
        <f t="shared" si="132"/>
        <v>15029.154881735742</v>
      </c>
      <c r="CA64" s="136">
        <f t="shared" si="133"/>
        <v>0.1304234933474423</v>
      </c>
    </row>
    <row r="65" spans="1:79" ht="15.75" customHeight="1" x14ac:dyDescent="0.2">
      <c r="A65" s="132" t="s">
        <v>138</v>
      </c>
      <c r="B65" s="133" t="s">
        <v>139</v>
      </c>
      <c r="AR65" s="145">
        <f>P32/V32</f>
        <v>0.13333887830385172</v>
      </c>
      <c r="BE65" s="14"/>
      <c r="BF65" s="14"/>
      <c r="BJ65" s="14"/>
      <c r="BS65" s="33">
        <f t="shared" si="130"/>
        <v>2000</v>
      </c>
      <c r="BT65" s="77">
        <f t="shared" si="135"/>
        <v>1.3725490196078431E-2</v>
      </c>
      <c r="BU65" s="77">
        <f t="shared" si="136"/>
        <v>0.69971988795518203</v>
      </c>
      <c r="BV65" s="77">
        <f t="shared" si="137"/>
        <v>0.28655462184873948</v>
      </c>
      <c r="BW65" s="77">
        <f t="shared" si="138"/>
        <v>1</v>
      </c>
      <c r="BX65" s="33"/>
      <c r="BY65" s="62">
        <f t="shared" si="131"/>
        <v>2619.762142609175</v>
      </c>
      <c r="BZ65" s="62">
        <f t="shared" si="132"/>
        <v>20704.762142609175</v>
      </c>
      <c r="CA65" s="136">
        <f>BY65/BZ65</f>
        <v>0.12652944885649564</v>
      </c>
    </row>
    <row r="66" spans="1:79" ht="15.75" customHeight="1" x14ac:dyDescent="0.2">
      <c r="A66" s="132" t="s">
        <v>140</v>
      </c>
      <c r="B66" s="133" t="s">
        <v>141</v>
      </c>
      <c r="AS66" s="136">
        <f>AK32/AL32</f>
        <v>7.2069065267087173E-2</v>
      </c>
      <c r="AT66" s="136">
        <f>AK31/AL31</f>
        <v>2.9162098843177255E-2</v>
      </c>
      <c r="AZ66" s="3">
        <f>AZ62/(1-AZ58)</f>
        <v>28404.775328710944</v>
      </c>
      <c r="BC66" s="3">
        <f>BO62/(1-BO58)</f>
        <v>50586.893907443977</v>
      </c>
      <c r="BS66" s="33">
        <f t="shared" si="130"/>
        <v>2001</v>
      </c>
      <c r="BT66" s="77">
        <f t="shared" ref="BT66:BT74" si="141">G23/$J23</f>
        <v>5.5331623305240017E-2</v>
      </c>
      <c r="BU66" s="77">
        <f t="shared" ref="BU66:BU74" si="142">I23/$J23</f>
        <v>0.68706485892268232</v>
      </c>
      <c r="BV66" s="77">
        <f t="shared" ref="BV66:BV74" si="143">H23/$J23</f>
        <v>0.25760351777207768</v>
      </c>
      <c r="BW66" s="77">
        <f t="shared" ref="BW66:BW74" si="144">J23/$J23</f>
        <v>1</v>
      </c>
      <c r="BX66" s="33"/>
      <c r="BY66" s="62">
        <f t="shared" si="131"/>
        <v>4934.837176682855</v>
      </c>
      <c r="BZ66" s="62">
        <f t="shared" si="132"/>
        <v>34275.837176682857</v>
      </c>
      <c r="CA66" s="136">
        <f t="shared" ref="CA66:CA73" si="145">BY66/BZ66</f>
        <v>0.14397422741988991</v>
      </c>
    </row>
    <row r="67" spans="1:79" ht="15.75" customHeight="1" x14ac:dyDescent="0.2">
      <c r="A67" s="132" t="s">
        <v>142</v>
      </c>
      <c r="B67" s="133" t="s">
        <v>143</v>
      </c>
      <c r="BS67" s="33">
        <f t="shared" si="130"/>
        <v>2002</v>
      </c>
      <c r="BT67" s="77">
        <f t="shared" si="141"/>
        <v>5.008301051466519E-2</v>
      </c>
      <c r="BU67" s="77">
        <f t="shared" si="142"/>
        <v>0.66491422246817933</v>
      </c>
      <c r="BV67" s="77">
        <f t="shared" si="143"/>
        <v>0.28500276701715549</v>
      </c>
      <c r="BW67" s="77">
        <f t="shared" si="144"/>
        <v>1</v>
      </c>
      <c r="BX67" s="33"/>
      <c r="BY67" s="62">
        <f t="shared" si="131"/>
        <v>2064.7531626832979</v>
      </c>
      <c r="BZ67" s="62">
        <f t="shared" si="132"/>
        <v>16424.753162683297</v>
      </c>
      <c r="CA67" s="136">
        <f t="shared" si="145"/>
        <v>0.12570984429613072</v>
      </c>
    </row>
    <row r="68" spans="1:79" ht="15.75" customHeight="1" x14ac:dyDescent="0.2">
      <c r="A68" s="132" t="s">
        <v>144</v>
      </c>
      <c r="B68" s="133" t="s">
        <v>145</v>
      </c>
      <c r="BS68" s="33">
        <f t="shared" si="130"/>
        <v>2003</v>
      </c>
      <c r="BT68" s="77">
        <f t="shared" si="141"/>
        <v>8.0212038780777012E-2</v>
      </c>
      <c r="BU68" s="77">
        <f t="shared" si="142"/>
        <v>0.69554300062774643</v>
      </c>
      <c r="BV68" s="77">
        <f t="shared" si="143"/>
        <v>0.22424496059147658</v>
      </c>
      <c r="BW68" s="77">
        <f t="shared" si="144"/>
        <v>1</v>
      </c>
      <c r="BX68" s="33"/>
      <c r="BY68" s="62">
        <f t="shared" si="131"/>
        <v>2968.938640383868</v>
      </c>
      <c r="BZ68" s="62">
        <f t="shared" si="132"/>
        <v>33708.938640383865</v>
      </c>
      <c r="CA68" s="136">
        <f t="shared" si="145"/>
        <v>8.8075708109867049E-2</v>
      </c>
    </row>
    <row r="69" spans="1:79" x14ac:dyDescent="0.2">
      <c r="B69" s="133" t="s">
        <v>146</v>
      </c>
      <c r="AR69" s="3" t="s">
        <v>147</v>
      </c>
      <c r="BS69" s="33">
        <f t="shared" si="130"/>
        <v>2004</v>
      </c>
      <c r="BT69" s="77">
        <f t="shared" si="141"/>
        <v>5.832138668056823E-2</v>
      </c>
      <c r="BU69" s="77">
        <f t="shared" si="142"/>
        <v>0.74618793170858855</v>
      </c>
      <c r="BV69" s="77">
        <f t="shared" si="143"/>
        <v>0.19549068161084324</v>
      </c>
      <c r="BW69" s="77">
        <f t="shared" si="144"/>
        <v>1</v>
      </c>
      <c r="BX69" s="33"/>
      <c r="BY69" s="62">
        <f t="shared" si="131"/>
        <v>1841.9325947418361</v>
      </c>
      <c r="BZ69" s="62">
        <f t="shared" si="132"/>
        <v>15578.532594741837</v>
      </c>
      <c r="CA69" s="136">
        <f t="shared" si="145"/>
        <v>0.11823530769281419</v>
      </c>
    </row>
    <row r="70" spans="1:79" ht="15.75" x14ac:dyDescent="0.2">
      <c r="A70" s="132" t="s">
        <v>148</v>
      </c>
      <c r="B70" s="133" t="s">
        <v>149</v>
      </c>
      <c r="BS70" s="33">
        <f t="shared" si="130"/>
        <v>2005</v>
      </c>
      <c r="BT70" s="77">
        <f t="shared" si="141"/>
        <v>9.0254136647929709E-2</v>
      </c>
      <c r="BU70" s="77">
        <f t="shared" si="142"/>
        <v>0.70944501622991063</v>
      </c>
      <c r="BV70" s="77">
        <f t="shared" si="143"/>
        <v>0.20030084712215979</v>
      </c>
      <c r="BW70" s="77">
        <f t="shared" si="144"/>
        <v>1</v>
      </c>
      <c r="BX70" s="33"/>
      <c r="BY70" s="62">
        <f t="shared" si="131"/>
        <v>2546.645006786744</v>
      </c>
      <c r="BZ70" s="62">
        <f t="shared" si="132"/>
        <v>15656.445006786744</v>
      </c>
      <c r="CA70" s="136">
        <f t="shared" si="145"/>
        <v>0.16265793452363075</v>
      </c>
    </row>
    <row r="71" spans="1:79" ht="15.75" x14ac:dyDescent="0.2">
      <c r="A71" s="132"/>
      <c r="B71" s="132"/>
      <c r="C71" s="132"/>
      <c r="D71" s="132"/>
      <c r="E71" s="132"/>
      <c r="F71" s="132"/>
      <c r="G71" s="132"/>
      <c r="H71" s="132"/>
      <c r="I71" s="132"/>
      <c r="J71" s="132"/>
      <c r="K71" s="132"/>
      <c r="L71" s="132"/>
      <c r="M71" s="132"/>
      <c r="N71" s="132"/>
      <c r="O71" s="132"/>
      <c r="P71" s="132"/>
      <c r="Q71" s="132"/>
      <c r="R71" s="132"/>
      <c r="S71" s="132"/>
      <c r="T71" s="132"/>
      <c r="U71" s="132"/>
      <c r="V71" s="132"/>
      <c r="W71" s="132"/>
      <c r="X71" s="132"/>
      <c r="Y71" s="132"/>
      <c r="Z71" s="132"/>
      <c r="AA71" s="132"/>
      <c r="AB71" s="132"/>
      <c r="AC71" s="132"/>
      <c r="AD71" s="132"/>
      <c r="AE71" s="132"/>
      <c r="AF71" s="132"/>
      <c r="AG71" s="132"/>
      <c r="AH71" s="132"/>
      <c r="AI71" s="132"/>
      <c r="AJ71" s="132"/>
      <c r="AK71" s="132"/>
      <c r="AL71" s="132"/>
      <c r="AM71" s="132"/>
      <c r="AN71" s="132"/>
      <c r="BS71" s="33">
        <f t="shared" si="130"/>
        <v>2006</v>
      </c>
      <c r="BT71" s="77">
        <f t="shared" si="141"/>
        <v>4.7229219143576822E-3</v>
      </c>
      <c r="BU71" s="77">
        <f t="shared" si="142"/>
        <v>0.80537625944584379</v>
      </c>
      <c r="BV71" s="77">
        <f t="shared" si="143"/>
        <v>0.18990081863979846</v>
      </c>
      <c r="BW71" s="77">
        <f t="shared" si="144"/>
        <v>1</v>
      </c>
      <c r="BX71" s="33"/>
      <c r="BY71" s="62">
        <f t="shared" si="131"/>
        <v>5575.3394342094998</v>
      </c>
      <c r="BZ71" s="62">
        <f t="shared" si="132"/>
        <v>28155.939434209497</v>
      </c>
      <c r="CA71" s="136">
        <f t="shared" si="145"/>
        <v>0.19801645927095071</v>
      </c>
    </row>
    <row r="72" spans="1:79" ht="15.75" x14ac:dyDescent="0.2">
      <c r="A72" s="132"/>
      <c r="B72" s="132"/>
      <c r="C72" s="132"/>
      <c r="D72" s="132"/>
      <c r="E72" s="132"/>
      <c r="F72" s="132"/>
      <c r="G72" s="132"/>
      <c r="H72" s="132"/>
      <c r="I72" s="132"/>
      <c r="J72" s="132"/>
      <c r="K72" s="132"/>
      <c r="L72" s="132"/>
      <c r="M72" s="132"/>
      <c r="N72" s="132"/>
      <c r="O72" s="132"/>
      <c r="P72" s="132"/>
      <c r="Q72" s="132"/>
      <c r="R72" s="132"/>
      <c r="S72" s="132"/>
      <c r="T72" s="132"/>
      <c r="U72" s="132"/>
      <c r="V72" s="132"/>
      <c r="W72" s="132"/>
      <c r="X72" s="132"/>
      <c r="Y72" s="132"/>
      <c r="Z72" s="132"/>
      <c r="AA72" s="132"/>
      <c r="AB72" s="132"/>
      <c r="AC72" s="132"/>
      <c r="AD72" s="132"/>
      <c r="AE72" s="132"/>
      <c r="AF72" s="132"/>
      <c r="AG72" s="132"/>
      <c r="AH72" s="132"/>
      <c r="AI72" s="132"/>
      <c r="AJ72" s="132"/>
      <c r="AK72" s="132"/>
      <c r="AL72" s="132"/>
      <c r="AM72" s="132"/>
      <c r="AN72" s="132"/>
      <c r="BS72" s="33">
        <f t="shared" si="130"/>
        <v>2007</v>
      </c>
      <c r="BT72" s="77">
        <f t="shared" si="141"/>
        <v>8.5243974132863026E-2</v>
      </c>
      <c r="BU72" s="77">
        <f t="shared" si="142"/>
        <v>0.53507740544777582</v>
      </c>
      <c r="BV72" s="77">
        <f t="shared" si="143"/>
        <v>0.37967862041936118</v>
      </c>
      <c r="BW72" s="77">
        <f t="shared" si="144"/>
        <v>1</v>
      </c>
      <c r="BX72" s="33"/>
      <c r="BY72" s="62">
        <f t="shared" si="131"/>
        <v>3762.334519723192</v>
      </c>
      <c r="BZ72" s="62">
        <f t="shared" si="132"/>
        <v>24402.734519723192</v>
      </c>
      <c r="CA72" s="136">
        <f t="shared" si="145"/>
        <v>0.15417675903011338</v>
      </c>
    </row>
    <row r="73" spans="1:79" ht="15.75" x14ac:dyDescent="0.2">
      <c r="A73" s="132"/>
      <c r="B73" s="132"/>
      <c r="C73" s="132"/>
      <c r="D73" s="132"/>
      <c r="E73" s="132"/>
      <c r="F73" s="132"/>
      <c r="G73" s="132"/>
      <c r="H73" s="132"/>
      <c r="I73" s="132"/>
      <c r="J73" s="132"/>
      <c r="K73" s="132"/>
      <c r="L73" s="132"/>
      <c r="M73" s="132"/>
      <c r="N73" s="132"/>
      <c r="O73" s="132"/>
      <c r="P73" s="132"/>
      <c r="Q73" s="132"/>
      <c r="R73" s="132"/>
      <c r="S73" s="132"/>
      <c r="T73" s="132"/>
      <c r="U73" s="132"/>
      <c r="V73" s="132"/>
      <c r="W73" s="132"/>
      <c r="X73" s="132"/>
      <c r="Y73" s="132"/>
      <c r="Z73" s="132"/>
      <c r="AA73" s="132"/>
      <c r="AB73" s="132"/>
      <c r="AC73" s="132"/>
      <c r="AD73" s="132"/>
      <c r="AE73" s="132"/>
      <c r="AF73" s="132"/>
      <c r="AG73" s="132"/>
      <c r="AH73" s="132"/>
      <c r="AI73" s="132"/>
      <c r="AJ73" s="132"/>
      <c r="AK73" s="132"/>
      <c r="AL73" s="132"/>
      <c r="AM73" s="132"/>
      <c r="AN73" s="132"/>
      <c r="BS73" s="33">
        <f t="shared" si="130"/>
        <v>2008</v>
      </c>
      <c r="BT73" s="77">
        <f t="shared" si="141"/>
        <v>3.679212449659424E-2</v>
      </c>
      <c r="BU73" s="77">
        <f t="shared" si="142"/>
        <v>0.69696216377467313</v>
      </c>
      <c r="BV73" s="77">
        <f t="shared" si="143"/>
        <v>0.26624571172873268</v>
      </c>
      <c r="BW73" s="77">
        <f t="shared" si="144"/>
        <v>1</v>
      </c>
      <c r="BX73" s="33"/>
      <c r="BY73" s="62">
        <f t="shared" si="131"/>
        <v>2994.4802567663951</v>
      </c>
      <c r="BZ73" s="62">
        <f t="shared" si="132"/>
        <v>24041.280256766393</v>
      </c>
      <c r="CA73" s="136">
        <f t="shared" si="145"/>
        <v>0.124555773435718</v>
      </c>
    </row>
    <row r="74" spans="1:79" x14ac:dyDescent="0.2">
      <c r="A74" s="3">
        <v>1</v>
      </c>
      <c r="B74" s="3">
        <v>1</v>
      </c>
      <c r="C74" s="3">
        <v>2</v>
      </c>
      <c r="D74" s="3">
        <v>3</v>
      </c>
      <c r="E74" s="3">
        <v>4</v>
      </c>
      <c r="F74" s="3">
        <v>5</v>
      </c>
      <c r="G74" s="3">
        <v>6</v>
      </c>
      <c r="H74" s="3">
        <v>7</v>
      </c>
      <c r="I74" s="3">
        <v>8</v>
      </c>
      <c r="J74" s="3">
        <v>9</v>
      </c>
      <c r="K74" s="3">
        <v>10</v>
      </c>
      <c r="L74" s="3">
        <v>11</v>
      </c>
      <c r="M74" s="3">
        <v>12</v>
      </c>
      <c r="N74" s="3">
        <v>13</v>
      </c>
      <c r="O74" s="3">
        <v>14</v>
      </c>
      <c r="P74" s="3">
        <v>15</v>
      </c>
      <c r="Q74" s="3">
        <v>16</v>
      </c>
      <c r="R74" s="3">
        <v>17</v>
      </c>
      <c r="S74" s="3">
        <v>18</v>
      </c>
      <c r="T74" s="3">
        <v>19</v>
      </c>
      <c r="U74" s="3">
        <v>20</v>
      </c>
      <c r="V74" s="3">
        <v>21</v>
      </c>
      <c r="W74" s="3">
        <v>22</v>
      </c>
      <c r="X74" s="3">
        <v>23</v>
      </c>
      <c r="Y74" s="3">
        <v>24</v>
      </c>
      <c r="Z74" s="3">
        <v>25</v>
      </c>
      <c r="AA74" s="3">
        <v>26</v>
      </c>
      <c r="AB74" s="3">
        <v>27</v>
      </c>
      <c r="AC74" s="3">
        <v>28</v>
      </c>
      <c r="AD74" s="3">
        <v>29</v>
      </c>
      <c r="AE74" s="3">
        <v>30</v>
      </c>
      <c r="AF74" s="3">
        <v>31</v>
      </c>
      <c r="AG74" s="3">
        <v>32</v>
      </c>
      <c r="AH74" s="3">
        <v>33</v>
      </c>
      <c r="AI74" s="3">
        <v>34</v>
      </c>
      <c r="AJ74" s="3">
        <v>35</v>
      </c>
      <c r="AK74" s="3">
        <v>36</v>
      </c>
      <c r="AL74" s="3">
        <v>37</v>
      </c>
      <c r="BS74" s="33">
        <f t="shared" si="130"/>
        <v>2009</v>
      </c>
      <c r="BT74" s="77">
        <f t="shared" si="141"/>
        <v>3.7577931505679389E-2</v>
      </c>
      <c r="BU74" s="77">
        <f t="shared" si="142"/>
        <v>0.73439234776667517</v>
      </c>
      <c r="BV74" s="77">
        <f t="shared" si="143"/>
        <v>0.22802972072764538</v>
      </c>
      <c r="BW74" s="77">
        <f t="shared" si="144"/>
        <v>1</v>
      </c>
      <c r="BX74" s="33"/>
      <c r="BY74" s="62">
        <f t="shared" si="131"/>
        <v>4077.180252055025</v>
      </c>
      <c r="BZ74" s="62">
        <f t="shared" si="132"/>
        <v>30577.580252055028</v>
      </c>
      <c r="CA74" s="136">
        <f>BY74/BZ74</f>
        <v>0.13333887830385172</v>
      </c>
    </row>
    <row r="75" spans="1:79" ht="15.75" x14ac:dyDescent="0.2">
      <c r="A75" s="132"/>
      <c r="BS75" s="33">
        <f t="shared" si="130"/>
        <v>2010</v>
      </c>
      <c r="BT75" s="77"/>
      <c r="BU75" s="77"/>
      <c r="BV75" s="77"/>
      <c r="BW75" s="77"/>
      <c r="BX75" s="33"/>
      <c r="BY75" s="62"/>
      <c r="BZ75" s="62"/>
      <c r="CA75" s="136"/>
    </row>
    <row r="76" spans="1:79" ht="15.75" x14ac:dyDescent="0.2">
      <c r="A76" s="132"/>
      <c r="B76" s="3">
        <v>2018</v>
      </c>
      <c r="BS76" s="3" t="s">
        <v>150</v>
      </c>
      <c r="BT76" s="131">
        <f>AVERAGE(BT65:BT73)</f>
        <v>5.274296740767484E-2</v>
      </c>
      <c r="BU76" s="131">
        <f>AVERAGE(BU65:BU73)</f>
        <v>0.69336563850895361</v>
      </c>
      <c r="BV76" s="131">
        <f>AVERAGE(BV65:BV73)</f>
        <v>0.25389139408337158</v>
      </c>
      <c r="BW76" s="131">
        <f>AVERAGE(BW65:BW73)</f>
        <v>1</v>
      </c>
      <c r="BY76" s="14">
        <f>AVERAGE(BY65:BY75)</f>
        <v>3338.6203186641892</v>
      </c>
      <c r="BZ76" s="14">
        <f>AVERAGE(BZ65:BZ75)</f>
        <v>24352.680318664185</v>
      </c>
      <c r="CA76" s="145">
        <f>BY76/BZ76</f>
        <v>0.13709457336839553</v>
      </c>
    </row>
    <row r="77" spans="1:79" ht="15.75" x14ac:dyDescent="0.2">
      <c r="A77" s="132"/>
    </row>
    <row r="78" spans="1:79" ht="15.75" x14ac:dyDescent="0.2">
      <c r="A78" s="132"/>
      <c r="B78" s="3">
        <v>2017</v>
      </c>
      <c r="C78" s="14">
        <f>AVERAGE(C15:C37)</f>
        <v>18068.568854335848</v>
      </c>
      <c r="D78" s="14"/>
      <c r="E78" s="14"/>
      <c r="L78" s="14">
        <f>AVERAGE(L15:L37)</f>
        <v>21115.260869565216</v>
      </c>
      <c r="M78" s="3">
        <f>L38/L78</f>
        <v>0.33482892035638762</v>
      </c>
      <c r="AJ78" s="14">
        <f>AVERAGE(AJ15:AJ37)</f>
        <v>33710.167907275536</v>
      </c>
      <c r="AK78" s="3">
        <f>AJ38/AJ78</f>
        <v>0.37909501529271605</v>
      </c>
      <c r="AR78" s="66">
        <f>AVERAGE(AR15:AR37)</f>
        <v>0.40941275033606689</v>
      </c>
      <c r="AS78" s="66">
        <f>AR38-AR78</f>
        <v>9.3965935195059302E-2</v>
      </c>
    </row>
    <row r="79" spans="1:79" ht="15.75" x14ac:dyDescent="0.2">
      <c r="A79" s="132"/>
      <c r="L79" s="66"/>
      <c r="AR79" s="146"/>
    </row>
    <row r="80" spans="1:79" ht="15.75" x14ac:dyDescent="0.2">
      <c r="A80" s="132"/>
    </row>
    <row r="81" spans="1:38" ht="15.75" x14ac:dyDescent="0.2">
      <c r="A81" s="132"/>
    </row>
    <row r="82" spans="1:38" ht="15.75" x14ac:dyDescent="0.2">
      <c r="A82" s="132"/>
    </row>
    <row r="83" spans="1:38" ht="15.75" x14ac:dyDescent="0.2">
      <c r="A83" s="132"/>
    </row>
    <row r="84" spans="1:38" ht="15.75" x14ac:dyDescent="0.2">
      <c r="A84" s="132"/>
      <c r="B84" s="3" t="s">
        <v>151</v>
      </c>
      <c r="C84" s="14">
        <f>ROUND(AVERAGE(C13:C29),-3)</f>
        <v>20000</v>
      </c>
      <c r="D84" s="14"/>
      <c r="E84" s="14"/>
      <c r="F84" s="14" t="e">
        <f t="shared" ref="F84:AL84" si="146">ROUND(AVERAGE(F13:F29),-3)</f>
        <v>#DIV/0!</v>
      </c>
      <c r="G84" s="14">
        <f t="shared" si="146"/>
        <v>0</v>
      </c>
      <c r="H84" s="14">
        <f t="shared" si="146"/>
        <v>1000</v>
      </c>
      <c r="I84" s="14">
        <f t="shared" si="146"/>
        <v>2000</v>
      </c>
      <c r="J84" s="14">
        <f t="shared" si="146"/>
        <v>3000</v>
      </c>
      <c r="K84" s="14" t="e">
        <f t="shared" si="146"/>
        <v>#DIV/0!</v>
      </c>
      <c r="L84" s="14">
        <f t="shared" si="146"/>
        <v>23000</v>
      </c>
      <c r="M84" s="14"/>
      <c r="N84" s="14">
        <f t="shared" si="146"/>
        <v>1000</v>
      </c>
      <c r="O84" s="14">
        <f t="shared" si="146"/>
        <v>0</v>
      </c>
      <c r="P84" s="14">
        <f t="shared" si="146"/>
        <v>3000</v>
      </c>
      <c r="Q84" s="14" t="e">
        <f t="shared" si="146"/>
        <v>#DIV/0!</v>
      </c>
      <c r="R84" s="14">
        <f t="shared" si="146"/>
        <v>0</v>
      </c>
      <c r="S84" s="14">
        <f t="shared" si="146"/>
        <v>5000</v>
      </c>
      <c r="T84" s="14">
        <f t="shared" si="146"/>
        <v>5000</v>
      </c>
      <c r="U84" s="14"/>
      <c r="V84" s="14">
        <f t="shared" si="146"/>
        <v>23000</v>
      </c>
      <c r="W84" s="14"/>
      <c r="X84" s="14">
        <f t="shared" si="146"/>
        <v>0</v>
      </c>
      <c r="Y84" s="14">
        <f t="shared" si="146"/>
        <v>1000</v>
      </c>
      <c r="Z84" s="14">
        <f t="shared" si="146"/>
        <v>7000</v>
      </c>
      <c r="AA84" s="14">
        <f t="shared" si="146"/>
        <v>8000</v>
      </c>
      <c r="AB84" s="14"/>
      <c r="AC84" s="14">
        <f t="shared" si="146"/>
        <v>5000</v>
      </c>
      <c r="AD84" s="14">
        <f t="shared" si="146"/>
        <v>2000</v>
      </c>
      <c r="AE84" s="14">
        <f t="shared" si="146"/>
        <v>7000</v>
      </c>
      <c r="AF84" s="14"/>
      <c r="AG84" s="14" t="e">
        <f t="shared" si="146"/>
        <v>#DIV/0!</v>
      </c>
      <c r="AH84" s="14" t="e">
        <f t="shared" si="146"/>
        <v>#DIV/0!</v>
      </c>
      <c r="AI84" s="14" t="e">
        <f t="shared" si="146"/>
        <v>#DIV/0!</v>
      </c>
      <c r="AJ84" s="14">
        <f t="shared" si="146"/>
        <v>39000</v>
      </c>
      <c r="AK84" s="14">
        <f t="shared" si="146"/>
        <v>2000</v>
      </c>
      <c r="AL84" s="14">
        <f t="shared" si="146"/>
        <v>40000</v>
      </c>
    </row>
    <row r="85" spans="1:38" ht="15.75" x14ac:dyDescent="0.2">
      <c r="A85" s="132"/>
    </row>
    <row r="86" spans="1:38" ht="15.75" x14ac:dyDescent="0.2">
      <c r="A86" s="132"/>
    </row>
    <row r="87" spans="1:38" ht="15.75" x14ac:dyDescent="0.2">
      <c r="A87" s="132"/>
      <c r="AJ87" s="14">
        <f>AJ41-AJ51</f>
        <v>-9135.6174430768879</v>
      </c>
    </row>
    <row r="88" spans="1:38" x14ac:dyDescent="0.2">
      <c r="AJ88" s="145">
        <f>AJ87/AJ51</f>
        <v>-0.29952844075661927</v>
      </c>
    </row>
    <row r="90" spans="1:38" x14ac:dyDescent="0.2">
      <c r="L90" s="3">
        <v>2017</v>
      </c>
      <c r="N90" s="3">
        <v>1998</v>
      </c>
      <c r="O90" s="3">
        <f>L90-N90+1</f>
        <v>20</v>
      </c>
      <c r="T90" s="18" t="s">
        <v>152</v>
      </c>
      <c r="U90" s="18"/>
      <c r="V90" s="3">
        <f>COUNTIF(V32:V47,"&gt;=15000")</f>
        <v>6</v>
      </c>
    </row>
    <row r="91" spans="1:38" x14ac:dyDescent="0.2">
      <c r="V91" s="3">
        <f>COUNT(V32:V48)</f>
        <v>15</v>
      </c>
    </row>
    <row r="93" spans="1:38" x14ac:dyDescent="0.2">
      <c r="L93" s="66">
        <f>L41/L51</f>
        <v>0.8019381875327396</v>
      </c>
    </row>
  </sheetData>
  <mergeCells count="34">
    <mergeCell ref="CD1:CD5"/>
    <mergeCell ref="BS1:BS5"/>
    <mergeCell ref="BT1:BT5"/>
    <mergeCell ref="BU1:BU5"/>
    <mergeCell ref="BV1:BV5"/>
    <mergeCell ref="BW1:BW5"/>
    <mergeCell ref="BX1:BX5"/>
    <mergeCell ref="BY1:BY5"/>
    <mergeCell ref="BZ1:BZ5"/>
    <mergeCell ref="CA1:CA5"/>
    <mergeCell ref="CB1:CB5"/>
    <mergeCell ref="CC1:CC5"/>
    <mergeCell ref="BG4:BI4"/>
    <mergeCell ref="BK4:BM4"/>
    <mergeCell ref="C3:L3"/>
    <mergeCell ref="P3:T3"/>
    <mergeCell ref="V3:AJ3"/>
    <mergeCell ref="AK3:AK5"/>
    <mergeCell ref="AL3:AL5"/>
    <mergeCell ref="C4:E4"/>
    <mergeCell ref="G4:J4"/>
    <mergeCell ref="L4:L5"/>
    <mergeCell ref="R4:T4"/>
    <mergeCell ref="V4:V5"/>
    <mergeCell ref="AS56:AT56"/>
    <mergeCell ref="X4:AA4"/>
    <mergeCell ref="AC4:AE4"/>
    <mergeCell ref="AG4:AI4"/>
    <mergeCell ref="AJ4:AJ5"/>
    <mergeCell ref="CF4:CI4"/>
    <mergeCell ref="DA4:DA5"/>
    <mergeCell ref="DB4:DB5"/>
    <mergeCell ref="CV5:CV6"/>
    <mergeCell ref="CW5:CW6"/>
  </mergeCells>
  <conditionalFormatting sqref="CJ7:CJ46">
    <cfRule type="cellIs" dxfId="5" priority="1" operator="lessThan">
      <formula>15000</formula>
    </cfRule>
  </conditionalFormatting>
  <pageMargins left="0.7" right="0.7" top="0.75" bottom="0.75" header="0.3" footer="0.3"/>
  <pageSetup scale="54" orientation="landscape" r:id="rId1"/>
  <headerFooter>
    <oddHeader>&amp;R&amp;"Calibri"&amp;12&amp;K000000 Unclassified - Non-Classifié&amp;1#_x000D_</oddHead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6E2C9-AF67-46BA-8337-5CEC55369DB6}">
  <sheetPr>
    <tabColor rgb="FF00FF00"/>
    <pageSetUpPr fitToPage="1"/>
  </sheetPr>
  <dimension ref="A1:FE93"/>
  <sheetViews>
    <sheetView showGridLines="0" zoomScale="110" zoomScaleNormal="110" workbookViewId="0">
      <pane xSplit="6" ySplit="6" topLeftCell="G13" activePane="bottomRight" state="frozen"/>
      <selection activeCell="C49" sqref="C49:E49"/>
      <selection pane="topRight" activeCell="C49" sqref="C49:E49"/>
      <selection pane="bottomLeft" activeCell="C49" sqref="C49:E49"/>
      <selection pane="bottomRight" activeCell="S13" sqref="S13"/>
    </sheetView>
  </sheetViews>
  <sheetFormatPr defaultColWidth="9.140625" defaultRowHeight="12.75" x14ac:dyDescent="0.2"/>
  <cols>
    <col min="1" max="1" width="1.42578125" style="3" customWidth="1"/>
    <col min="2" max="2" width="12.7109375" style="3" customWidth="1"/>
    <col min="3" max="4" width="7" style="3" customWidth="1"/>
    <col min="5" max="5" width="7.42578125" style="3" bestFit="1" customWidth="1"/>
    <col min="6" max="6" width="1.5703125" style="3" customWidth="1"/>
    <col min="7" max="7" width="6" style="3" customWidth="1"/>
    <col min="8" max="8" width="6.5703125" style="3" customWidth="1"/>
    <col min="9" max="9" width="7.85546875" style="3" customWidth="1"/>
    <col min="10" max="10" width="6.5703125" style="3" customWidth="1"/>
    <col min="11" max="11" width="1.42578125" style="3" customWidth="1"/>
    <col min="12" max="12" width="7.42578125" style="3" customWidth="1"/>
    <col min="13" max="13" width="5.85546875" style="3" customWidth="1"/>
    <col min="14" max="14" width="7.85546875" style="3" customWidth="1"/>
    <col min="15" max="15" width="6.42578125" style="3" customWidth="1"/>
    <col min="16" max="16" width="8.85546875" style="3" customWidth="1"/>
    <col min="17" max="17" width="2.42578125" style="3" customWidth="1"/>
    <col min="18" max="18" width="6.42578125" style="3" bestFit="1" customWidth="1"/>
    <col min="19" max="19" width="8" style="3" customWidth="1"/>
    <col min="20" max="20" width="7.140625" style="3" customWidth="1"/>
    <col min="21" max="21" width="6" style="3" bestFit="1" customWidth="1"/>
    <col min="22" max="22" width="8.85546875" style="3" bestFit="1" customWidth="1"/>
    <col min="23" max="23" width="2" style="3" customWidth="1"/>
    <col min="24" max="24" width="5.5703125" style="3" bestFit="1" customWidth="1"/>
    <col min="25" max="25" width="6.5703125" style="3" customWidth="1"/>
    <col min="26" max="26" width="7.42578125" style="3" customWidth="1"/>
    <col min="27" max="27" width="7.140625" style="3" bestFit="1" customWidth="1"/>
    <col min="28" max="28" width="2.85546875" style="3" customWidth="1"/>
    <col min="29" max="29" width="7.42578125" style="3" customWidth="1"/>
    <col min="30" max="30" width="7.42578125" style="3" bestFit="1" customWidth="1"/>
    <col min="31" max="31" width="7.140625" style="3" bestFit="1" customWidth="1"/>
    <col min="32" max="32" width="2.42578125" style="3" customWidth="1"/>
    <col min="33" max="33" width="7.42578125" style="3" hidden="1" customWidth="1"/>
    <col min="34" max="34" width="6" style="3" hidden="1" customWidth="1"/>
    <col min="35" max="35" width="7.5703125" style="3" hidden="1" customWidth="1"/>
    <col min="36" max="36" width="8.85546875" style="3" customWidth="1"/>
    <col min="37" max="37" width="7.85546875" style="3" customWidth="1"/>
    <col min="38" max="38" width="8" style="3" customWidth="1"/>
    <col min="39" max="39" width="5.5703125" style="3" customWidth="1"/>
    <col min="40" max="40" width="9.42578125" style="3" customWidth="1"/>
    <col min="41" max="41" width="8.5703125" style="3" customWidth="1"/>
    <col min="42" max="42" width="8.5703125" style="4" customWidth="1"/>
    <col min="43" max="43" width="8.5703125" style="3" customWidth="1"/>
    <col min="44" max="44" width="7.85546875" style="3" customWidth="1"/>
    <col min="45" max="45" width="9.140625" style="3" customWidth="1"/>
    <col min="46" max="46" width="7.5703125" style="3" customWidth="1"/>
    <col min="47" max="48" width="9.140625" style="3" customWidth="1"/>
    <col min="49" max="49" width="6.85546875" style="3" customWidth="1"/>
    <col min="50" max="50" width="7.42578125" style="3" customWidth="1"/>
    <col min="51" max="53" width="6.5703125" style="3" customWidth="1"/>
    <col min="54" max="54" width="6.42578125" style="3" customWidth="1"/>
    <col min="55" max="57" width="7.42578125" style="3" customWidth="1"/>
    <col min="58" max="58" width="7.42578125" style="3" hidden="1" customWidth="1"/>
    <col min="59" max="59" width="11" style="5" hidden="1" customWidth="1"/>
    <col min="60" max="60" width="7.42578125" style="5" hidden="1" customWidth="1"/>
    <col min="61" max="61" width="7.42578125" style="6" hidden="1" customWidth="1"/>
    <col min="62" max="62" width="7.42578125" style="3" hidden="1" customWidth="1"/>
    <col min="63" max="63" width="11" style="6" hidden="1" customWidth="1"/>
    <col min="64" max="65" width="7.42578125" style="6" hidden="1" customWidth="1"/>
    <col min="66" max="66" width="5.5703125" style="3" hidden="1" customWidth="1"/>
    <col min="67" max="70" width="7.42578125" style="3" hidden="1" customWidth="1"/>
    <col min="71" max="71" width="10.140625" style="3" hidden="1" customWidth="1"/>
    <col min="72" max="78" width="0" style="3" hidden="1" customWidth="1"/>
    <col min="79" max="79" width="9.42578125" style="3" hidden="1" customWidth="1"/>
    <col min="80" max="83" width="0" style="3" hidden="1" customWidth="1"/>
    <col min="84" max="85" width="9.140625" style="7"/>
    <col min="86" max="89" width="9.140625" style="8"/>
    <col min="90" max="91" width="9.140625" style="3"/>
    <col min="92" max="94" width="7.5703125" style="18" customWidth="1"/>
    <col min="95" max="95" width="9.140625" style="3"/>
    <col min="96" max="96" width="11.42578125" style="3" customWidth="1"/>
    <col min="97" max="98" width="9.140625" style="3"/>
    <col min="99" max="99" width="13.42578125" style="3" customWidth="1"/>
    <col min="100" max="101" width="11.5703125" style="3" customWidth="1"/>
    <col min="102" max="105" width="9.140625" style="3"/>
    <col min="106" max="107" width="11.140625" style="3" customWidth="1"/>
    <col min="108" max="116" width="9.140625" style="3"/>
    <col min="117" max="117" width="2.85546875" style="3" customWidth="1"/>
    <col min="118" max="138" width="9.140625" style="3"/>
    <col min="139" max="139" width="8.42578125" style="3" bestFit="1" customWidth="1"/>
    <col min="140" max="142" width="9.140625" style="3"/>
    <col min="143" max="143" width="12.140625" style="3" customWidth="1"/>
    <col min="144" max="144" width="9.140625" style="3"/>
    <col min="145" max="145" width="12.140625" style="3" customWidth="1"/>
    <col min="146" max="16384" width="9.140625" style="3"/>
  </cols>
  <sheetData>
    <row r="1" spans="1:161" ht="26.25" customHeight="1" x14ac:dyDescent="0.25">
      <c r="A1" s="1" t="s">
        <v>626</v>
      </c>
      <c r="B1" s="1"/>
      <c r="C1" s="2" t="s">
        <v>630</v>
      </c>
      <c r="D1" s="2"/>
      <c r="E1" s="2"/>
      <c r="AN1" s="3">
        <v>0.25</v>
      </c>
      <c r="AO1" s="3">
        <f>AN1*V39</f>
        <v>4471.6251661851884</v>
      </c>
      <c r="AX1" s="3" t="s">
        <v>1</v>
      </c>
      <c r="BS1" s="970" t="s">
        <v>2</v>
      </c>
      <c r="BT1" s="970" t="s">
        <v>3</v>
      </c>
      <c r="BU1" s="970" t="s">
        <v>4</v>
      </c>
      <c r="BV1" s="970" t="s">
        <v>5</v>
      </c>
      <c r="BW1" s="970" t="s">
        <v>6</v>
      </c>
      <c r="BX1" s="970" t="s">
        <v>7</v>
      </c>
      <c r="BY1" s="970" t="s">
        <v>8</v>
      </c>
      <c r="BZ1" s="970" t="s">
        <v>9</v>
      </c>
      <c r="CA1" s="970" t="s">
        <v>10</v>
      </c>
      <c r="CB1" s="970" t="s">
        <v>11</v>
      </c>
      <c r="CC1" s="970" t="s">
        <v>12</v>
      </c>
      <c r="CD1" s="970" t="s">
        <v>13</v>
      </c>
      <c r="CM1" s="9" t="s">
        <v>14</v>
      </c>
      <c r="CN1" s="10"/>
      <c r="CO1" s="10"/>
      <c r="CP1" s="10"/>
      <c r="CQ1" s="9"/>
      <c r="CR1" s="9"/>
      <c r="CS1" s="11"/>
      <c r="CT1" s="11"/>
      <c r="CU1" s="11"/>
      <c r="CV1" s="11"/>
      <c r="CW1" s="11"/>
      <c r="CX1" s="11"/>
      <c r="DA1" s="12" t="s">
        <v>15</v>
      </c>
      <c r="DB1" s="12">
        <v>0.21</v>
      </c>
      <c r="DC1" s="12"/>
      <c r="DD1" s="12" t="s">
        <v>16</v>
      </c>
      <c r="DE1" s="11">
        <v>12600</v>
      </c>
      <c r="DF1" s="11"/>
    </row>
    <row r="2" spans="1:161" x14ac:dyDescent="0.2">
      <c r="A2" s="13"/>
      <c r="B2" s="13"/>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X2" s="14">
        <f>AVERAGE(Z27:Z38)</f>
        <v>5279.0856790230628</v>
      </c>
      <c r="AY2" s="14">
        <f>AVERAGE(AC27:AC38)</f>
        <v>1653.3694967888707</v>
      </c>
      <c r="AZ2" s="14">
        <f>AVERAGE(AD27:AD38,Y27:Y38)</f>
        <v>776.28865106965986</v>
      </c>
      <c r="BA2" s="14">
        <f>AVERAGE(X27:X38)</f>
        <v>138.66666666666666</v>
      </c>
      <c r="BB2" s="14">
        <f>SUM(AX2:BA2)</f>
        <v>7847.4104935482601</v>
      </c>
      <c r="BC2" s="5">
        <f>AVERAGE(AK27:AK38)</f>
        <v>1064.0691219717253</v>
      </c>
      <c r="BS2" s="971"/>
      <c r="BT2" s="971"/>
      <c r="BU2" s="971"/>
      <c r="BV2" s="971"/>
      <c r="BW2" s="971"/>
      <c r="BX2" s="971"/>
      <c r="BY2" s="971"/>
      <c r="BZ2" s="971"/>
      <c r="CA2" s="971"/>
      <c r="CB2" s="971"/>
      <c r="CC2" s="971"/>
      <c r="CD2" s="971"/>
      <c r="CM2" s="11"/>
      <c r="CN2" s="15"/>
      <c r="CO2" s="15"/>
      <c r="CP2" s="15"/>
      <c r="CQ2" s="11"/>
      <c r="CR2" s="11"/>
      <c r="CS2" s="11"/>
      <c r="CT2" s="11"/>
      <c r="CU2" s="11"/>
      <c r="CV2" s="11"/>
      <c r="CW2" s="11"/>
      <c r="CX2" s="11"/>
      <c r="DA2" s="12"/>
      <c r="DB2" s="12"/>
      <c r="DC2" s="12"/>
      <c r="DD2" s="12" t="s">
        <v>17</v>
      </c>
      <c r="DE2" s="11">
        <v>15000</v>
      </c>
      <c r="DF2" s="11"/>
    </row>
    <row r="3" spans="1:161" ht="14.25" customHeight="1" x14ac:dyDescent="0.25">
      <c r="C3" s="974" t="s">
        <v>18</v>
      </c>
      <c r="D3" s="974"/>
      <c r="E3" s="974"/>
      <c r="F3" s="974"/>
      <c r="G3" s="974"/>
      <c r="H3" s="974"/>
      <c r="I3" s="974"/>
      <c r="J3" s="974"/>
      <c r="K3" s="974"/>
      <c r="L3" s="974"/>
      <c r="P3" s="974" t="s">
        <v>19</v>
      </c>
      <c r="Q3" s="974"/>
      <c r="R3" s="974"/>
      <c r="S3" s="974"/>
      <c r="T3" s="974"/>
      <c r="V3" s="974" t="s">
        <v>625</v>
      </c>
      <c r="W3" s="974"/>
      <c r="X3" s="974"/>
      <c r="Y3" s="974"/>
      <c r="Z3" s="974"/>
      <c r="AA3" s="974"/>
      <c r="AB3" s="974"/>
      <c r="AC3" s="974"/>
      <c r="AD3" s="974"/>
      <c r="AE3" s="974"/>
      <c r="AF3" s="974"/>
      <c r="AG3" s="974"/>
      <c r="AH3" s="974"/>
      <c r="AI3" s="974"/>
      <c r="AJ3" s="974"/>
      <c r="AK3" s="975" t="s">
        <v>21</v>
      </c>
      <c r="AL3" s="978" t="s">
        <v>22</v>
      </c>
      <c r="AX3" s="17">
        <f t="shared" ref="AX3:BC3" si="0">AVERAGE(AX27:AX38)</f>
        <v>0.21931267929255191</v>
      </c>
      <c r="AY3" s="17">
        <f t="shared" si="0"/>
        <v>6.554413448360473E-2</v>
      </c>
      <c r="AZ3" s="17">
        <f t="shared" si="0"/>
        <v>6.1182122436538068E-2</v>
      </c>
      <c r="BA3" s="17">
        <f t="shared" si="0"/>
        <v>5.3332884106414569E-3</v>
      </c>
      <c r="BB3" s="17">
        <f t="shared" si="0"/>
        <v>0.35137222462333617</v>
      </c>
      <c r="BC3" s="17">
        <f t="shared" si="0"/>
        <v>4.4167593391829234E-2</v>
      </c>
      <c r="BD3" s="17">
        <f>BC3+AZ3+AY3</f>
        <v>0.17089385031197202</v>
      </c>
      <c r="BE3" s="17"/>
      <c r="BF3" s="17"/>
      <c r="BJ3" s="17"/>
      <c r="BS3" s="971"/>
      <c r="BT3" s="971"/>
      <c r="BU3" s="971"/>
      <c r="BV3" s="971"/>
      <c r="BW3" s="971"/>
      <c r="BX3" s="971"/>
      <c r="BY3" s="971"/>
      <c r="BZ3" s="971"/>
      <c r="CA3" s="971"/>
      <c r="CB3" s="971"/>
      <c r="CC3" s="971"/>
      <c r="CD3" s="971"/>
      <c r="DD3" s="3" t="s">
        <v>23</v>
      </c>
      <c r="DE3" s="19">
        <v>10000</v>
      </c>
    </row>
    <row r="4" spans="1:161" ht="15.75" customHeight="1" x14ac:dyDescent="0.2">
      <c r="A4" s="18"/>
      <c r="B4" s="18"/>
      <c r="C4" s="981" t="s">
        <v>24</v>
      </c>
      <c r="D4" s="981"/>
      <c r="E4" s="981"/>
      <c r="F4" s="18"/>
      <c r="G4" s="974" t="s">
        <v>25</v>
      </c>
      <c r="H4" s="974"/>
      <c r="I4" s="974"/>
      <c r="J4" s="974"/>
      <c r="K4" s="18"/>
      <c r="L4" s="982" t="s">
        <v>26</v>
      </c>
      <c r="M4" s="18"/>
      <c r="N4" s="18"/>
      <c r="O4" s="18"/>
      <c r="P4" s="18"/>
      <c r="Q4" s="18"/>
      <c r="R4" s="984" t="s">
        <v>25</v>
      </c>
      <c r="S4" s="984"/>
      <c r="T4" s="984"/>
      <c r="U4" s="18"/>
      <c r="V4" s="975" t="s">
        <v>27</v>
      </c>
      <c r="W4" s="18"/>
      <c r="X4" s="984" t="s">
        <v>25</v>
      </c>
      <c r="Y4" s="984"/>
      <c r="Z4" s="984"/>
      <c r="AA4" s="984"/>
      <c r="AB4" s="18"/>
      <c r="AC4" s="984" t="s">
        <v>28</v>
      </c>
      <c r="AD4" s="984"/>
      <c r="AE4" s="984"/>
      <c r="AF4" s="18"/>
      <c r="AG4" s="984" t="s">
        <v>29</v>
      </c>
      <c r="AH4" s="984"/>
      <c r="AI4" s="984"/>
      <c r="AJ4" s="975" t="s">
        <v>30</v>
      </c>
      <c r="AK4" s="976"/>
      <c r="AL4" s="979"/>
      <c r="AS4" s="3" t="s">
        <v>31</v>
      </c>
      <c r="BG4" s="973" t="s">
        <v>32</v>
      </c>
      <c r="BH4" s="973"/>
      <c r="BI4" s="973"/>
      <c r="BK4" s="973" t="s">
        <v>32</v>
      </c>
      <c r="BL4" s="973"/>
      <c r="BM4" s="973"/>
      <c r="BS4" s="971"/>
      <c r="BT4" s="971"/>
      <c r="BU4" s="971"/>
      <c r="BV4" s="971"/>
      <c r="BW4" s="971"/>
      <c r="BX4" s="971"/>
      <c r="BY4" s="971"/>
      <c r="BZ4" s="971"/>
      <c r="CA4" s="971"/>
      <c r="CB4" s="971"/>
      <c r="CC4" s="971"/>
      <c r="CD4" s="971"/>
      <c r="CF4" s="986" t="s">
        <v>33</v>
      </c>
      <c r="CG4" s="986"/>
      <c r="CH4" s="986"/>
      <c r="CI4" s="986"/>
      <c r="CJ4" s="24"/>
      <c r="CK4" s="24"/>
      <c r="DA4" s="987" t="s">
        <v>34</v>
      </c>
      <c r="DB4" s="988" t="s">
        <v>35</v>
      </c>
      <c r="DC4" s="26"/>
    </row>
    <row r="5" spans="1:161" ht="43.5" customHeight="1" thickBot="1" x14ac:dyDescent="0.25">
      <c r="A5" s="13"/>
      <c r="B5" s="16" t="s">
        <v>36</v>
      </c>
      <c r="C5" s="27" t="s">
        <v>37</v>
      </c>
      <c r="D5" s="27" t="s">
        <v>38</v>
      </c>
      <c r="E5" s="27" t="s">
        <v>39</v>
      </c>
      <c r="F5" s="28"/>
      <c r="G5" s="28" t="s">
        <v>40</v>
      </c>
      <c r="H5" s="28" t="s">
        <v>41</v>
      </c>
      <c r="I5" s="29" t="s">
        <v>42</v>
      </c>
      <c r="J5" s="29" t="s">
        <v>43</v>
      </c>
      <c r="K5" s="29"/>
      <c r="L5" s="983"/>
      <c r="M5" s="29" t="s">
        <v>44</v>
      </c>
      <c r="N5" s="30" t="s">
        <v>45</v>
      </c>
      <c r="O5" s="31" t="s">
        <v>46</v>
      </c>
      <c r="P5" s="29" t="s">
        <v>47</v>
      </c>
      <c r="Q5" s="29"/>
      <c r="R5" s="28" t="s">
        <v>41</v>
      </c>
      <c r="S5" s="29" t="s">
        <v>42</v>
      </c>
      <c r="T5" s="29" t="s">
        <v>43</v>
      </c>
      <c r="U5" s="29" t="s">
        <v>44</v>
      </c>
      <c r="V5" s="977"/>
      <c r="W5" s="29"/>
      <c r="X5" s="28" t="s">
        <v>40</v>
      </c>
      <c r="Y5" s="28" t="s">
        <v>41</v>
      </c>
      <c r="Z5" s="29" t="s">
        <v>42</v>
      </c>
      <c r="AA5" s="29" t="s">
        <v>43</v>
      </c>
      <c r="AB5" s="29"/>
      <c r="AC5" s="29" t="s">
        <v>48</v>
      </c>
      <c r="AD5" s="29" t="s">
        <v>49</v>
      </c>
      <c r="AE5" s="29" t="s">
        <v>43</v>
      </c>
      <c r="AF5" s="29"/>
      <c r="AG5" s="29" t="s">
        <v>50</v>
      </c>
      <c r="AH5" s="29" t="s">
        <v>49</v>
      </c>
      <c r="AI5" s="29" t="s">
        <v>51</v>
      </c>
      <c r="AJ5" s="977"/>
      <c r="AK5" s="977"/>
      <c r="AL5" s="980"/>
      <c r="AM5" s="21" t="s">
        <v>52</v>
      </c>
      <c r="AN5" s="20" t="s">
        <v>53</v>
      </c>
      <c r="AO5" s="20" t="s">
        <v>54</v>
      </c>
      <c r="AP5" s="21" t="s">
        <v>55</v>
      </c>
      <c r="AQ5" s="32"/>
      <c r="AR5" s="33" t="s">
        <v>56</v>
      </c>
      <c r="AS5" s="33" t="s">
        <v>51</v>
      </c>
      <c r="AT5" s="33" t="s">
        <v>57</v>
      </c>
      <c r="AU5" s="33" t="s">
        <v>43</v>
      </c>
      <c r="AV5" s="33"/>
      <c r="AW5" s="33"/>
      <c r="AX5" s="33" t="s">
        <v>51</v>
      </c>
      <c r="AY5" s="33" t="s">
        <v>58</v>
      </c>
      <c r="AZ5" s="33" t="s">
        <v>57</v>
      </c>
      <c r="BA5" s="33" t="s">
        <v>59</v>
      </c>
      <c r="BB5" s="33" t="s">
        <v>43</v>
      </c>
      <c r="BC5" s="33" t="s">
        <v>60</v>
      </c>
      <c r="BG5" s="34" t="s">
        <v>61</v>
      </c>
      <c r="BH5" s="34" t="s">
        <v>62</v>
      </c>
      <c r="BI5" s="22" t="s">
        <v>63</v>
      </c>
      <c r="BK5" s="34" t="s">
        <v>61</v>
      </c>
      <c r="BL5" s="22" t="s">
        <v>62</v>
      </c>
      <c r="BM5" s="22" t="s">
        <v>63</v>
      </c>
      <c r="BO5" s="35" t="s">
        <v>64</v>
      </c>
      <c r="BP5" s="33" t="s">
        <v>65</v>
      </c>
      <c r="BQ5" s="33" t="s">
        <v>66</v>
      </c>
      <c r="BS5" s="972"/>
      <c r="BT5" s="972"/>
      <c r="BU5" s="972"/>
      <c r="BV5" s="972"/>
      <c r="BW5" s="972"/>
      <c r="BX5" s="972"/>
      <c r="BY5" s="972"/>
      <c r="BZ5" s="972"/>
      <c r="CA5" s="972"/>
      <c r="CB5" s="972"/>
      <c r="CC5" s="972"/>
      <c r="CD5" s="972"/>
      <c r="CF5" s="36" t="s">
        <v>62</v>
      </c>
      <c r="CG5" s="36" t="s">
        <v>67</v>
      </c>
      <c r="CH5" s="37" t="s">
        <v>68</v>
      </c>
      <c r="CI5" s="23" t="s">
        <v>69</v>
      </c>
      <c r="CJ5" s="23" t="s">
        <v>70</v>
      </c>
      <c r="CK5" s="37" t="s">
        <v>71</v>
      </c>
      <c r="CM5" s="38" t="s">
        <v>36</v>
      </c>
      <c r="CN5" s="39" t="s">
        <v>62</v>
      </c>
      <c r="CO5" s="39" t="s">
        <v>72</v>
      </c>
      <c r="CP5" s="39" t="s">
        <v>73</v>
      </c>
      <c r="CQ5" s="40" t="s">
        <v>74</v>
      </c>
      <c r="CR5" s="25" t="s">
        <v>75</v>
      </c>
      <c r="CS5" s="25" t="s">
        <v>76</v>
      </c>
      <c r="CT5" s="41" t="s">
        <v>77</v>
      </c>
      <c r="CU5" s="40" t="s">
        <v>78</v>
      </c>
      <c r="CV5" s="987" t="s">
        <v>79</v>
      </c>
      <c r="CW5" s="987" t="s">
        <v>80</v>
      </c>
      <c r="CX5" s="42" t="s">
        <v>81</v>
      </c>
      <c r="CY5" s="42" t="s">
        <v>82</v>
      </c>
      <c r="CZ5" s="43" t="s">
        <v>83</v>
      </c>
      <c r="DA5" s="987"/>
      <c r="DB5" s="989"/>
      <c r="DC5" s="44" t="s">
        <v>84</v>
      </c>
      <c r="DD5" s="40" t="s">
        <v>85</v>
      </c>
      <c r="DE5" s="45" t="s">
        <v>86</v>
      </c>
      <c r="DF5" s="40" t="s">
        <v>87</v>
      </c>
      <c r="DH5" s="3" t="s">
        <v>88</v>
      </c>
      <c r="DK5" s="3" t="s">
        <v>89</v>
      </c>
      <c r="DL5" s="3" t="s">
        <v>57</v>
      </c>
      <c r="DS5" s="3" t="s">
        <v>90</v>
      </c>
      <c r="DT5" s="3" t="s">
        <v>91</v>
      </c>
      <c r="DW5" s="3" t="s">
        <v>92</v>
      </c>
      <c r="DX5" s="3" t="s">
        <v>93</v>
      </c>
      <c r="DY5" s="3" t="s">
        <v>94</v>
      </c>
      <c r="EG5" s="3" t="s">
        <v>95</v>
      </c>
      <c r="EI5" s="20" t="s">
        <v>96</v>
      </c>
      <c r="EJ5" s="20" t="s">
        <v>97</v>
      </c>
      <c r="EL5" s="32" t="s">
        <v>98</v>
      </c>
      <c r="EM5" s="3" t="s">
        <v>99</v>
      </c>
      <c r="EN5" s="3" t="s">
        <v>51</v>
      </c>
      <c r="EO5" s="3" t="s">
        <v>100</v>
      </c>
      <c r="EP5" s="3" t="s">
        <v>60</v>
      </c>
      <c r="ET5" s="3" t="s">
        <v>101</v>
      </c>
      <c r="EW5" s="3" t="s">
        <v>102</v>
      </c>
      <c r="FB5" s="3" t="s">
        <v>103</v>
      </c>
      <c r="FC5" s="3" t="s">
        <v>104</v>
      </c>
      <c r="FE5" s="3" t="s">
        <v>105</v>
      </c>
    </row>
    <row r="6" spans="1:161" ht="6" customHeight="1" thickBot="1" x14ac:dyDescent="0.25">
      <c r="B6" s="4"/>
      <c r="C6" s="4"/>
      <c r="D6" s="4"/>
      <c r="E6" s="4"/>
      <c r="L6" s="46"/>
      <c r="N6" s="47"/>
      <c r="O6" s="47"/>
      <c r="AR6" s="33"/>
      <c r="AS6" s="33"/>
      <c r="AT6" s="33"/>
      <c r="AU6" s="33"/>
      <c r="AV6" s="33"/>
      <c r="AW6" s="33"/>
      <c r="AX6" s="33"/>
      <c r="AY6" s="33"/>
      <c r="AZ6" s="33"/>
      <c r="BA6" s="33"/>
      <c r="BB6" s="33"/>
      <c r="BC6" s="33"/>
      <c r="BI6" s="5"/>
      <c r="CF6" s="48"/>
      <c r="CG6" s="48"/>
      <c r="CH6" s="49"/>
      <c r="CI6" s="48"/>
      <c r="CJ6" s="48"/>
      <c r="CK6" s="49"/>
      <c r="CT6" s="50"/>
      <c r="CU6" s="26"/>
      <c r="CV6" s="987"/>
      <c r="CW6" s="987"/>
      <c r="CX6" s="51"/>
      <c r="CY6" s="51"/>
      <c r="DC6" s="33"/>
    </row>
    <row r="7" spans="1:161" ht="12.75" hidden="1" customHeight="1" x14ac:dyDescent="0.2">
      <c r="B7" s="52">
        <v>1986</v>
      </c>
      <c r="C7" s="53">
        <v>36523.343017812847</v>
      </c>
      <c r="D7" s="53"/>
      <c r="E7" s="53"/>
      <c r="F7" s="47"/>
      <c r="G7" s="54">
        <v>166</v>
      </c>
      <c r="H7" s="54">
        <v>331</v>
      </c>
      <c r="I7" s="54">
        <v>939</v>
      </c>
      <c r="J7" s="54">
        <v>1436</v>
      </c>
      <c r="K7" s="47"/>
      <c r="L7" s="55">
        <f t="shared" ref="L7:L12" si="1">C7+J7</f>
        <v>37959.343017812847</v>
      </c>
      <c r="M7" s="47"/>
      <c r="N7" s="47"/>
      <c r="O7" s="47"/>
      <c r="P7" s="56">
        <v>2137.5</v>
      </c>
      <c r="Q7" s="47"/>
      <c r="R7" s="54">
        <v>0</v>
      </c>
      <c r="S7" s="54">
        <v>3038</v>
      </c>
      <c r="T7" s="54">
        <f t="shared" ref="T7:T13" si="2">SUM(R7:S7)</f>
        <v>3038</v>
      </c>
      <c r="U7" s="47"/>
      <c r="V7" s="56">
        <f t="shared" ref="V7:V45" si="3">SUM(P7,C7)</f>
        <v>38660.843017812847</v>
      </c>
      <c r="W7" s="47"/>
      <c r="X7" s="54">
        <v>166</v>
      </c>
      <c r="Y7" s="54">
        <v>331</v>
      </c>
      <c r="Z7" s="54">
        <v>3977</v>
      </c>
      <c r="AA7" s="54">
        <f t="shared" ref="AA7:AA46" si="4">SUM(X7:Z7)</f>
        <v>4474</v>
      </c>
      <c r="AB7" s="47"/>
      <c r="AC7" s="54">
        <v>3259</v>
      </c>
      <c r="AD7" s="54">
        <v>1933</v>
      </c>
      <c r="AE7" s="54">
        <f t="shared" ref="AE7:AE13" si="5">SUM(AC7:AD7)</f>
        <v>5192</v>
      </c>
      <c r="AF7" s="47"/>
      <c r="AG7" s="47"/>
      <c r="AH7" s="47"/>
      <c r="AI7" s="47"/>
      <c r="AJ7" s="56">
        <f t="shared" ref="AJ7:AJ12" si="6">SUM(V7,AA7,AE7,SUM(AG7:AI7))</f>
        <v>48326.843017812847</v>
      </c>
      <c r="AK7" s="57">
        <f t="shared" ref="AK7:AK12" si="7">ROUND(AJ7/(1-BC$53)-AJ7,-2)</f>
        <v>2300</v>
      </c>
      <c r="AL7" s="56">
        <f t="shared" ref="AL7:AL12" si="8">SUM(AJ7:AK7)</f>
        <v>50626.843017812847</v>
      </c>
      <c r="AN7" s="58">
        <v>9665.2107544532118</v>
      </c>
      <c r="AO7" s="59"/>
      <c r="AP7" s="60"/>
      <c r="AQ7" s="59"/>
      <c r="AR7" s="61"/>
      <c r="AS7" s="61"/>
      <c r="AT7" s="33"/>
      <c r="AU7" s="61"/>
      <c r="AV7" s="61"/>
      <c r="AW7" s="61"/>
      <c r="AX7" s="61"/>
      <c r="AY7" s="61"/>
      <c r="AZ7" s="61"/>
      <c r="BA7" s="61"/>
      <c r="BB7" s="62"/>
      <c r="BC7" s="33"/>
      <c r="BI7" s="5"/>
      <c r="BS7" s="63">
        <f t="shared" ref="BS7:BS12" si="9">AC7</f>
        <v>3259</v>
      </c>
      <c r="BT7" s="63">
        <f t="shared" ref="BT7:BT46" si="10">Z7</f>
        <v>3977</v>
      </c>
      <c r="BU7" s="63">
        <f t="shared" ref="BU7:BU46" si="11">X7</f>
        <v>166</v>
      </c>
      <c r="BV7" s="63">
        <f t="shared" ref="BV7:BV46" si="12">AD7</f>
        <v>1933</v>
      </c>
      <c r="BW7" s="63">
        <f t="shared" ref="BW7:BW46" si="13">Y7</f>
        <v>331</v>
      </c>
      <c r="BX7" s="63">
        <f t="shared" ref="BX7:BX13" si="14">SUM(BS7:BW7)</f>
        <v>9666</v>
      </c>
      <c r="BY7" s="63">
        <f t="shared" ref="BY7:BY46" si="15">AJ7</f>
        <v>48326.843017812847</v>
      </c>
      <c r="BZ7" s="64">
        <f t="shared" ref="BZ7:BZ12" si="16">BX7/BY7</f>
        <v>0.20001306512898429</v>
      </c>
      <c r="CA7" s="64">
        <f t="shared" ref="CA7:CA12" si="17">SUM(BV7,BS7)/BX7</f>
        <v>0.53714049244775497</v>
      </c>
      <c r="CB7" s="64">
        <f t="shared" ref="CB7:CB12" si="18">SUM(BT7:BU7,BW7)/BX7</f>
        <v>0.46285950755224498</v>
      </c>
      <c r="CC7" s="64">
        <f t="shared" ref="CC7:CC46" si="19">AK7/(BX7+AK7)</f>
        <v>0.19221126525154605</v>
      </c>
      <c r="CF7" s="48"/>
      <c r="CG7" s="48"/>
      <c r="CH7" s="49"/>
      <c r="CI7" s="48"/>
      <c r="CJ7" s="48"/>
      <c r="CK7" s="49"/>
      <c r="CT7" s="50"/>
      <c r="CU7" s="26"/>
      <c r="CV7" s="26"/>
      <c r="CW7" s="26"/>
      <c r="CX7" s="65"/>
      <c r="CY7" s="65"/>
      <c r="CZ7" s="26"/>
      <c r="DA7" s="26"/>
      <c r="DB7" s="26"/>
      <c r="DC7" s="26"/>
      <c r="DD7" s="26"/>
      <c r="DE7" s="26"/>
      <c r="DF7" s="26"/>
      <c r="DH7" s="66">
        <f t="shared" ref="DH7:DH39" si="20">P7/V7</f>
        <v>5.5288499503623197E-2</v>
      </c>
      <c r="EL7" s="67">
        <f t="shared" ref="EL7:EL12" si="21">V7/1000</f>
        <v>38.660843017812844</v>
      </c>
      <c r="EM7" s="67"/>
      <c r="EN7" s="67">
        <f t="shared" ref="EN7:EN39" si="22">Z7/1000</f>
        <v>3.9769999999999999</v>
      </c>
      <c r="EO7" s="67">
        <f t="shared" ref="EO7:EO39" si="23">SUM(X7:Y7,AE7)/1000</f>
        <v>5.6890000000000001</v>
      </c>
      <c r="EP7" s="67">
        <f t="shared" ref="EP7:EP39" si="24">AK7/1000</f>
        <v>2.2999999999999998</v>
      </c>
      <c r="ET7" s="66">
        <f t="shared" ref="ET7:ET39" si="25">J7/L7</f>
        <v>3.7829948725038282E-2</v>
      </c>
      <c r="EW7" s="14">
        <f>BX7-BT7</f>
        <v>5689</v>
      </c>
      <c r="FE7" s="14">
        <f t="shared" ref="FE7:FE39" si="26">ROUND(L7,-3)</f>
        <v>38000</v>
      </c>
    </row>
    <row r="8" spans="1:161" ht="12.75" hidden="1" customHeight="1" x14ac:dyDescent="0.2">
      <c r="B8" s="52">
        <v>1987</v>
      </c>
      <c r="C8" s="53">
        <v>19539.879048015755</v>
      </c>
      <c r="D8" s="53"/>
      <c r="E8" s="53"/>
      <c r="F8" s="47"/>
      <c r="G8" s="54">
        <v>92</v>
      </c>
      <c r="H8" s="54">
        <v>184</v>
      </c>
      <c r="I8" s="54">
        <v>521</v>
      </c>
      <c r="J8" s="54">
        <v>797</v>
      </c>
      <c r="K8" s="47"/>
      <c r="L8" s="55">
        <f t="shared" si="1"/>
        <v>20336.879048015755</v>
      </c>
      <c r="M8" s="47"/>
      <c r="N8" s="47"/>
      <c r="O8" s="47"/>
      <c r="P8" s="56">
        <v>1930.4060531632531</v>
      </c>
      <c r="Q8" s="47"/>
      <c r="R8" s="54">
        <v>0</v>
      </c>
      <c r="S8" s="54">
        <v>1687</v>
      </c>
      <c r="T8" s="54">
        <f t="shared" si="2"/>
        <v>1687</v>
      </c>
      <c r="U8" s="47"/>
      <c r="V8" s="56">
        <f t="shared" si="3"/>
        <v>21470.285101179008</v>
      </c>
      <c r="W8" s="47"/>
      <c r="X8" s="54">
        <v>92</v>
      </c>
      <c r="Y8" s="54">
        <v>184</v>
      </c>
      <c r="Z8" s="54">
        <v>2208</v>
      </c>
      <c r="AA8" s="54">
        <f t="shared" si="4"/>
        <v>2484</v>
      </c>
      <c r="AB8" s="47"/>
      <c r="AC8" s="54">
        <v>1810</v>
      </c>
      <c r="AD8" s="54">
        <v>1074</v>
      </c>
      <c r="AE8" s="54">
        <f t="shared" si="5"/>
        <v>2884</v>
      </c>
      <c r="AF8" s="47"/>
      <c r="AG8" s="47"/>
      <c r="AH8" s="47"/>
      <c r="AI8" s="47"/>
      <c r="AJ8" s="56">
        <f t="shared" si="6"/>
        <v>26838.285101179008</v>
      </c>
      <c r="AK8" s="47">
        <f t="shared" si="7"/>
        <v>1300</v>
      </c>
      <c r="AL8" s="56">
        <f t="shared" si="8"/>
        <v>28138.285101179008</v>
      </c>
      <c r="AN8" s="68">
        <v>5367.5712752947511</v>
      </c>
      <c r="AO8" s="59"/>
      <c r="AP8" s="60"/>
      <c r="AQ8" s="59"/>
      <c r="AR8" s="61"/>
      <c r="AS8" s="61"/>
      <c r="AT8" s="33"/>
      <c r="AU8" s="61"/>
      <c r="AV8" s="61"/>
      <c r="AW8" s="61"/>
      <c r="AX8" s="61"/>
      <c r="AY8" s="61"/>
      <c r="AZ8" s="61"/>
      <c r="BA8" s="61"/>
      <c r="BB8" s="62"/>
      <c r="BC8" s="33"/>
      <c r="BI8" s="5"/>
      <c r="BS8" s="63">
        <f t="shared" si="9"/>
        <v>1810</v>
      </c>
      <c r="BT8" s="63">
        <f t="shared" si="10"/>
        <v>2208</v>
      </c>
      <c r="BU8" s="63">
        <f t="shared" si="11"/>
        <v>92</v>
      </c>
      <c r="BV8" s="63">
        <f t="shared" si="12"/>
        <v>1074</v>
      </c>
      <c r="BW8" s="63">
        <f t="shared" si="13"/>
        <v>184</v>
      </c>
      <c r="BX8" s="63">
        <f t="shared" si="14"/>
        <v>5368</v>
      </c>
      <c r="BY8" s="63">
        <f t="shared" si="15"/>
        <v>26838.285101179008</v>
      </c>
      <c r="BZ8" s="64">
        <f t="shared" si="16"/>
        <v>0.20001277949626459</v>
      </c>
      <c r="CA8" s="64">
        <f t="shared" si="17"/>
        <v>0.53725782414307</v>
      </c>
      <c r="CB8" s="64">
        <f t="shared" si="18"/>
        <v>0.46274217585692995</v>
      </c>
      <c r="CC8" s="64">
        <f t="shared" si="19"/>
        <v>0.19496100779844031</v>
      </c>
      <c r="CF8" s="48"/>
      <c r="CG8" s="48"/>
      <c r="CH8" s="49"/>
      <c r="CI8" s="48"/>
      <c r="CJ8" s="48"/>
      <c r="CK8" s="49"/>
      <c r="CT8" s="50"/>
      <c r="CU8" s="26"/>
      <c r="CV8" s="26"/>
      <c r="CW8" s="26"/>
      <c r="CX8" s="65"/>
      <c r="CY8" s="65"/>
      <c r="CZ8" s="26"/>
      <c r="DA8" s="26"/>
      <c r="DB8" s="26"/>
      <c r="DC8" s="26"/>
      <c r="DD8" s="26"/>
      <c r="DE8" s="26"/>
      <c r="DF8" s="26"/>
      <c r="DH8" s="66">
        <f t="shared" si="20"/>
        <v>8.991059243350466E-2</v>
      </c>
      <c r="EL8" s="67">
        <f t="shared" si="21"/>
        <v>21.470285101179009</v>
      </c>
      <c r="EM8" s="67"/>
      <c r="EN8" s="67">
        <f t="shared" si="22"/>
        <v>2.2080000000000002</v>
      </c>
      <c r="EO8" s="67">
        <f t="shared" si="23"/>
        <v>3.16</v>
      </c>
      <c r="EP8" s="67">
        <f t="shared" si="24"/>
        <v>1.3</v>
      </c>
      <c r="ET8" s="66">
        <f t="shared" si="25"/>
        <v>3.9189887402008343E-2</v>
      </c>
      <c r="EW8" s="14">
        <f t="shared" ref="EW8:EW47" si="27">BX8-BT8</f>
        <v>3160</v>
      </c>
      <c r="FE8" s="14">
        <f t="shared" si="26"/>
        <v>20000</v>
      </c>
    </row>
    <row r="9" spans="1:161" ht="12.75" hidden="1" customHeight="1" x14ac:dyDescent="0.2">
      <c r="B9" s="52">
        <v>1988</v>
      </c>
      <c r="C9" s="53">
        <v>15345.106912202675</v>
      </c>
      <c r="D9" s="53"/>
      <c r="E9" s="53"/>
      <c r="F9" s="47"/>
      <c r="G9" s="54">
        <v>72</v>
      </c>
      <c r="H9" s="54">
        <v>144</v>
      </c>
      <c r="I9" s="54">
        <v>409</v>
      </c>
      <c r="J9" s="54">
        <v>625</v>
      </c>
      <c r="K9" s="47"/>
      <c r="L9" s="55">
        <f t="shared" si="1"/>
        <v>15970.106912202675</v>
      </c>
      <c r="M9" s="47"/>
      <c r="N9" s="47"/>
      <c r="O9" s="47"/>
      <c r="P9" s="56">
        <v>1503.1850413976154</v>
      </c>
      <c r="Q9" s="47"/>
      <c r="R9" s="54">
        <v>0</v>
      </c>
      <c r="S9" s="54">
        <v>1324</v>
      </c>
      <c r="T9" s="54">
        <f t="shared" si="2"/>
        <v>1324</v>
      </c>
      <c r="U9" s="47"/>
      <c r="V9" s="56">
        <f t="shared" si="3"/>
        <v>16848.291953600288</v>
      </c>
      <c r="W9" s="47"/>
      <c r="X9" s="54">
        <v>72</v>
      </c>
      <c r="Y9" s="54">
        <v>144</v>
      </c>
      <c r="Z9" s="54">
        <v>1733</v>
      </c>
      <c r="AA9" s="54">
        <f t="shared" si="4"/>
        <v>1949</v>
      </c>
      <c r="AB9" s="47"/>
      <c r="AC9" s="54">
        <v>1420</v>
      </c>
      <c r="AD9" s="54">
        <v>842</v>
      </c>
      <c r="AE9" s="54">
        <f t="shared" si="5"/>
        <v>2262</v>
      </c>
      <c r="AF9" s="47"/>
      <c r="AG9" s="47"/>
      <c r="AH9" s="47"/>
      <c r="AI9" s="47"/>
      <c r="AJ9" s="56">
        <f t="shared" si="6"/>
        <v>21059.291953600288</v>
      </c>
      <c r="AK9" s="47">
        <f t="shared" si="7"/>
        <v>1000</v>
      </c>
      <c r="AL9" s="56">
        <f t="shared" si="8"/>
        <v>22059.291953600288</v>
      </c>
      <c r="AN9" s="68">
        <v>4212.0729884000721</v>
      </c>
      <c r="AO9" s="59"/>
      <c r="AP9" s="60"/>
      <c r="AQ9" s="59"/>
      <c r="AR9" s="61"/>
      <c r="AS9" s="61"/>
      <c r="AT9" s="33"/>
      <c r="AU9" s="61"/>
      <c r="AV9" s="61"/>
      <c r="AW9" s="61"/>
      <c r="AX9" s="61"/>
      <c r="AY9" s="61"/>
      <c r="AZ9" s="61"/>
      <c r="BA9" s="61"/>
      <c r="BB9" s="62"/>
      <c r="BC9" s="33"/>
      <c r="BI9" s="5"/>
      <c r="BS9" s="63">
        <f t="shared" si="9"/>
        <v>1420</v>
      </c>
      <c r="BT9" s="63">
        <f t="shared" si="10"/>
        <v>1733</v>
      </c>
      <c r="BU9" s="63">
        <f t="shared" si="11"/>
        <v>72</v>
      </c>
      <c r="BV9" s="63">
        <f t="shared" si="12"/>
        <v>842</v>
      </c>
      <c r="BW9" s="63">
        <f t="shared" si="13"/>
        <v>144</v>
      </c>
      <c r="BX9" s="63">
        <f t="shared" si="14"/>
        <v>4211</v>
      </c>
      <c r="BY9" s="63">
        <f t="shared" si="15"/>
        <v>21059.291953600288</v>
      </c>
      <c r="BZ9" s="64">
        <f t="shared" si="16"/>
        <v>0.19995923933615864</v>
      </c>
      <c r="CA9" s="64">
        <f t="shared" si="17"/>
        <v>0.53716456898598908</v>
      </c>
      <c r="CB9" s="64">
        <f t="shared" si="18"/>
        <v>0.46283543101401092</v>
      </c>
      <c r="CC9" s="64">
        <f t="shared" si="19"/>
        <v>0.19190174630589138</v>
      </c>
      <c r="CF9" s="48"/>
      <c r="CG9" s="48"/>
      <c r="CH9" s="49"/>
      <c r="CI9" s="48"/>
      <c r="CJ9" s="48"/>
      <c r="CK9" s="49"/>
      <c r="CT9" s="50"/>
      <c r="CU9" s="26"/>
      <c r="CV9" s="26"/>
      <c r="CW9" s="26"/>
      <c r="CX9" s="65"/>
      <c r="CY9" s="65"/>
      <c r="CZ9" s="26"/>
      <c r="DA9" s="26"/>
      <c r="DB9" s="26"/>
      <c r="DC9" s="26"/>
      <c r="DD9" s="26"/>
      <c r="DE9" s="26"/>
      <c r="DF9" s="26"/>
      <c r="DH9" s="66">
        <f t="shared" si="20"/>
        <v>8.9218838653635849E-2</v>
      </c>
      <c r="EL9" s="67">
        <f t="shared" si="21"/>
        <v>16.848291953600288</v>
      </c>
      <c r="EM9" s="67"/>
      <c r="EN9" s="67">
        <f t="shared" si="22"/>
        <v>1.7330000000000001</v>
      </c>
      <c r="EO9" s="67">
        <f t="shared" si="23"/>
        <v>2.4780000000000002</v>
      </c>
      <c r="EP9" s="67">
        <f t="shared" si="24"/>
        <v>1</v>
      </c>
      <c r="ET9" s="66">
        <f t="shared" si="25"/>
        <v>3.9135617778641218E-2</v>
      </c>
      <c r="EW9" s="14">
        <f t="shared" si="27"/>
        <v>2478</v>
      </c>
      <c r="FE9" s="14">
        <f t="shared" si="26"/>
        <v>16000</v>
      </c>
    </row>
    <row r="10" spans="1:161" ht="12.75" hidden="1" customHeight="1" x14ac:dyDescent="0.2">
      <c r="B10" s="52">
        <v>1989</v>
      </c>
      <c r="C10" s="53">
        <v>28133.120913134495</v>
      </c>
      <c r="D10" s="53"/>
      <c r="E10" s="53"/>
      <c r="F10" s="47"/>
      <c r="G10" s="54">
        <v>125</v>
      </c>
      <c r="H10" s="54">
        <v>250</v>
      </c>
      <c r="I10" s="54">
        <v>709</v>
      </c>
      <c r="J10" s="54">
        <v>1084</v>
      </c>
      <c r="K10" s="47"/>
      <c r="L10" s="55">
        <f t="shared" si="1"/>
        <v>29217.120913134495</v>
      </c>
      <c r="M10" s="47"/>
      <c r="N10" s="47"/>
      <c r="O10" s="47"/>
      <c r="P10" s="56">
        <v>1068.0525294140948</v>
      </c>
      <c r="Q10" s="47"/>
      <c r="R10" s="54">
        <v>0</v>
      </c>
      <c r="S10" s="54">
        <v>2295</v>
      </c>
      <c r="T10" s="54">
        <f t="shared" si="2"/>
        <v>2295</v>
      </c>
      <c r="U10" s="47"/>
      <c r="V10" s="56">
        <f t="shared" si="3"/>
        <v>29201.173442548588</v>
      </c>
      <c r="W10" s="47"/>
      <c r="X10" s="54">
        <v>125</v>
      </c>
      <c r="Y10" s="54">
        <v>250</v>
      </c>
      <c r="Z10" s="54">
        <v>3004</v>
      </c>
      <c r="AA10" s="54">
        <f t="shared" si="4"/>
        <v>3379</v>
      </c>
      <c r="AB10" s="47"/>
      <c r="AC10" s="54">
        <v>2461</v>
      </c>
      <c r="AD10" s="54">
        <v>1460</v>
      </c>
      <c r="AE10" s="54">
        <f t="shared" si="5"/>
        <v>3921</v>
      </c>
      <c r="AF10" s="47"/>
      <c r="AG10" s="47"/>
      <c r="AH10" s="47"/>
      <c r="AI10" s="47"/>
      <c r="AJ10" s="56">
        <f t="shared" si="6"/>
        <v>36501.173442548592</v>
      </c>
      <c r="AK10" s="47">
        <f t="shared" si="7"/>
        <v>1700</v>
      </c>
      <c r="AL10" s="56">
        <f t="shared" si="8"/>
        <v>38201.173442548592</v>
      </c>
      <c r="AN10" s="68">
        <v>7300.293360637148</v>
      </c>
      <c r="AO10" s="69"/>
      <c r="AP10" s="60"/>
      <c r="AQ10" s="59"/>
      <c r="AR10" s="61"/>
      <c r="AS10" s="61"/>
      <c r="AT10" s="33"/>
      <c r="AU10" s="61"/>
      <c r="AV10" s="61"/>
      <c r="AW10" s="61"/>
      <c r="AX10" s="61"/>
      <c r="AY10" s="61"/>
      <c r="AZ10" s="61"/>
      <c r="BA10" s="61"/>
      <c r="BB10" s="62"/>
      <c r="BC10" s="33"/>
      <c r="BI10" s="5"/>
      <c r="BS10" s="63">
        <f t="shared" si="9"/>
        <v>2461</v>
      </c>
      <c r="BT10" s="63">
        <f t="shared" si="10"/>
        <v>3004</v>
      </c>
      <c r="BU10" s="63">
        <f t="shared" si="11"/>
        <v>125</v>
      </c>
      <c r="BV10" s="63">
        <f t="shared" si="12"/>
        <v>1460</v>
      </c>
      <c r="BW10" s="63">
        <f t="shared" si="13"/>
        <v>250</v>
      </c>
      <c r="BX10" s="63">
        <f t="shared" si="14"/>
        <v>7300</v>
      </c>
      <c r="BY10" s="63">
        <f t="shared" si="15"/>
        <v>36501.173442548592</v>
      </c>
      <c r="BZ10" s="64">
        <f t="shared" si="16"/>
        <v>0.19999357038452237</v>
      </c>
      <c r="CA10" s="64">
        <f t="shared" si="17"/>
        <v>0.53712328767123285</v>
      </c>
      <c r="CB10" s="64">
        <f t="shared" si="18"/>
        <v>0.46287671232876715</v>
      </c>
      <c r="CC10" s="64">
        <f t="shared" si="19"/>
        <v>0.18888888888888888</v>
      </c>
      <c r="CF10" s="48"/>
      <c r="CG10" s="48"/>
      <c r="CH10" s="49"/>
      <c r="CI10" s="48"/>
      <c r="CJ10" s="48"/>
      <c r="CK10" s="49"/>
      <c r="CT10" s="50"/>
      <c r="CU10" s="26"/>
      <c r="CV10" s="26"/>
      <c r="CW10" s="26"/>
      <c r="CX10" s="65"/>
      <c r="CY10" s="65"/>
      <c r="CZ10" s="26"/>
      <c r="DA10" s="26"/>
      <c r="DB10" s="26"/>
      <c r="DC10" s="26"/>
      <c r="DD10" s="26"/>
      <c r="DE10" s="26"/>
      <c r="DF10" s="26"/>
      <c r="DH10" s="66">
        <f t="shared" si="20"/>
        <v>3.6575671574137894E-2</v>
      </c>
      <c r="EL10" s="67">
        <f t="shared" si="21"/>
        <v>29.201173442548587</v>
      </c>
      <c r="EM10" s="67"/>
      <c r="EN10" s="67">
        <f t="shared" si="22"/>
        <v>3.004</v>
      </c>
      <c r="EO10" s="67">
        <f t="shared" si="23"/>
        <v>4.2960000000000003</v>
      </c>
      <c r="EP10" s="67">
        <f t="shared" si="24"/>
        <v>1.7</v>
      </c>
      <c r="ET10" s="66">
        <f t="shared" si="25"/>
        <v>3.7101533830894685E-2</v>
      </c>
      <c r="EW10" s="14">
        <f t="shared" si="27"/>
        <v>4296</v>
      </c>
      <c r="FE10" s="14">
        <f t="shared" si="26"/>
        <v>29000</v>
      </c>
    </row>
    <row r="11" spans="1:161" ht="12.75" hidden="1" customHeight="1" x14ac:dyDescent="0.2">
      <c r="B11" s="52">
        <v>1990</v>
      </c>
      <c r="C11" s="53">
        <v>24051.46014449577</v>
      </c>
      <c r="D11" s="53"/>
      <c r="E11" s="53"/>
      <c r="F11" s="47"/>
      <c r="G11" s="54">
        <v>114</v>
      </c>
      <c r="H11" s="54">
        <v>227</v>
      </c>
      <c r="I11" s="54">
        <v>644</v>
      </c>
      <c r="J11" s="54">
        <v>985</v>
      </c>
      <c r="K11" s="47"/>
      <c r="L11" s="55">
        <f t="shared" si="1"/>
        <v>25036.46014449577</v>
      </c>
      <c r="M11" s="47"/>
      <c r="N11" s="47"/>
      <c r="O11" s="47"/>
      <c r="P11" s="56">
        <v>2460</v>
      </c>
      <c r="Q11" s="47"/>
      <c r="R11" s="54">
        <v>0</v>
      </c>
      <c r="S11" s="54">
        <v>2083</v>
      </c>
      <c r="T11" s="54">
        <f t="shared" si="2"/>
        <v>2083</v>
      </c>
      <c r="U11" s="47"/>
      <c r="V11" s="56">
        <f t="shared" si="3"/>
        <v>26511.46014449577</v>
      </c>
      <c r="W11" s="47"/>
      <c r="X11" s="54">
        <v>114</v>
      </c>
      <c r="Y11" s="54">
        <v>227</v>
      </c>
      <c r="Z11" s="54">
        <v>2727</v>
      </c>
      <c r="AA11" s="54">
        <f t="shared" si="4"/>
        <v>3068</v>
      </c>
      <c r="AB11" s="47"/>
      <c r="AC11" s="54">
        <v>2235</v>
      </c>
      <c r="AD11" s="54">
        <v>1326</v>
      </c>
      <c r="AE11" s="54">
        <f t="shared" si="5"/>
        <v>3561</v>
      </c>
      <c r="AF11" s="47"/>
      <c r="AG11" s="47"/>
      <c r="AH11" s="47"/>
      <c r="AI11" s="47"/>
      <c r="AJ11" s="56">
        <f t="shared" si="6"/>
        <v>33140.460144495766</v>
      </c>
      <c r="AK11" s="47">
        <f t="shared" si="7"/>
        <v>1500</v>
      </c>
      <c r="AL11" s="56">
        <f t="shared" si="8"/>
        <v>34640.460144495766</v>
      </c>
      <c r="AN11" s="68">
        <v>6627.8650361239379</v>
      </c>
      <c r="AO11" s="69"/>
      <c r="AP11" s="60"/>
      <c r="AQ11" s="59"/>
      <c r="AR11" s="61"/>
      <c r="AS11" s="61"/>
      <c r="AT11" s="33"/>
      <c r="AU11" s="61"/>
      <c r="AV11" s="61"/>
      <c r="AW11" s="61"/>
      <c r="AX11" s="61"/>
      <c r="AY11" s="61"/>
      <c r="AZ11" s="61"/>
      <c r="BA11" s="61"/>
      <c r="BB11" s="62"/>
      <c r="BC11" s="33"/>
      <c r="BI11" s="5"/>
      <c r="BS11" s="63">
        <f t="shared" si="9"/>
        <v>2235</v>
      </c>
      <c r="BT11" s="63">
        <f t="shared" si="10"/>
        <v>2727</v>
      </c>
      <c r="BU11" s="63">
        <f t="shared" si="11"/>
        <v>114</v>
      </c>
      <c r="BV11" s="63">
        <f t="shared" si="12"/>
        <v>1326</v>
      </c>
      <c r="BW11" s="63">
        <f t="shared" si="13"/>
        <v>227</v>
      </c>
      <c r="BX11" s="63">
        <f t="shared" si="14"/>
        <v>6629</v>
      </c>
      <c r="BY11" s="63">
        <f t="shared" si="15"/>
        <v>33140.460144495766</v>
      </c>
      <c r="BZ11" s="64">
        <f t="shared" si="16"/>
        <v>0.20002739766125419</v>
      </c>
      <c r="CA11" s="64">
        <f t="shared" si="17"/>
        <v>0.53718509579122042</v>
      </c>
      <c r="CB11" s="64">
        <f t="shared" si="18"/>
        <v>0.46281490420877963</v>
      </c>
      <c r="CC11" s="64">
        <f t="shared" si="19"/>
        <v>0.18452454176405461</v>
      </c>
      <c r="CF11" s="48"/>
      <c r="CG11" s="48"/>
      <c r="CH11" s="49"/>
      <c r="CI11" s="48"/>
      <c r="CJ11" s="48"/>
      <c r="CK11" s="49"/>
      <c r="CT11" s="50"/>
      <c r="CU11" s="26"/>
      <c r="CV11" s="26"/>
      <c r="CW11" s="26"/>
      <c r="CX11" s="65"/>
      <c r="CY11" s="65"/>
      <c r="CZ11" s="26"/>
      <c r="DA11" s="26"/>
      <c r="DB11" s="26"/>
      <c r="DC11" s="26"/>
      <c r="DD11" s="26"/>
      <c r="DE11" s="26"/>
      <c r="DF11" s="26"/>
      <c r="DH11" s="66">
        <f t="shared" si="20"/>
        <v>9.2790060848864181E-2</v>
      </c>
      <c r="EL11" s="67">
        <f t="shared" si="21"/>
        <v>26.511460144495771</v>
      </c>
      <c r="EM11" s="67"/>
      <c r="EN11" s="67">
        <f t="shared" si="22"/>
        <v>2.7269999999999999</v>
      </c>
      <c r="EO11" s="67">
        <f t="shared" si="23"/>
        <v>3.9020000000000001</v>
      </c>
      <c r="EP11" s="67">
        <f t="shared" si="24"/>
        <v>1.5</v>
      </c>
      <c r="ET11" s="66">
        <f t="shared" si="25"/>
        <v>3.9342622491964019E-2</v>
      </c>
      <c r="EW11" s="14">
        <f t="shared" si="27"/>
        <v>3902</v>
      </c>
      <c r="FE11" s="14">
        <f t="shared" si="26"/>
        <v>25000</v>
      </c>
    </row>
    <row r="12" spans="1:161" ht="12.75" hidden="1" customHeight="1" x14ac:dyDescent="0.2">
      <c r="B12" s="52">
        <v>1991</v>
      </c>
      <c r="C12" s="53">
        <v>6906.5653839090364</v>
      </c>
      <c r="D12" s="53"/>
      <c r="E12" s="53"/>
      <c r="F12" s="47"/>
      <c r="G12" s="54">
        <v>73</v>
      </c>
      <c r="H12" s="54">
        <v>146</v>
      </c>
      <c r="I12" s="54">
        <v>415</v>
      </c>
      <c r="J12" s="54">
        <v>634</v>
      </c>
      <c r="K12" s="47"/>
      <c r="L12" s="55">
        <f t="shared" si="1"/>
        <v>7540.5653839090364</v>
      </c>
      <c r="M12" s="47"/>
      <c r="N12" s="47"/>
      <c r="O12" s="47"/>
      <c r="P12" s="56">
        <v>1019.1178495328635</v>
      </c>
      <c r="Q12" s="47"/>
      <c r="R12" s="54">
        <v>0</v>
      </c>
      <c r="S12" s="54">
        <v>1341</v>
      </c>
      <c r="T12" s="54">
        <f t="shared" si="2"/>
        <v>1341</v>
      </c>
      <c r="U12" s="47"/>
      <c r="V12" s="56">
        <f t="shared" si="3"/>
        <v>7925.6832334418996</v>
      </c>
      <c r="W12" s="47"/>
      <c r="X12" s="54">
        <v>73</v>
      </c>
      <c r="Y12" s="54">
        <v>146</v>
      </c>
      <c r="Z12" s="54">
        <v>1756</v>
      </c>
      <c r="AA12" s="54">
        <f t="shared" si="4"/>
        <v>1975</v>
      </c>
      <c r="AB12" s="47"/>
      <c r="AC12" s="54">
        <v>1439</v>
      </c>
      <c r="AD12" s="54">
        <v>854</v>
      </c>
      <c r="AE12" s="54">
        <f t="shared" si="5"/>
        <v>2293</v>
      </c>
      <c r="AF12" s="47"/>
      <c r="AG12" s="47"/>
      <c r="AH12" s="47"/>
      <c r="AI12" s="47"/>
      <c r="AJ12" s="56">
        <f t="shared" si="6"/>
        <v>12193.6832334419</v>
      </c>
      <c r="AK12" s="47">
        <f t="shared" si="7"/>
        <v>600</v>
      </c>
      <c r="AL12" s="56">
        <f t="shared" si="8"/>
        <v>12793.6832334419</v>
      </c>
      <c r="AN12" s="70">
        <v>4267.6755872379454</v>
      </c>
      <c r="AO12" s="69"/>
      <c r="AP12" s="60"/>
      <c r="AQ12" s="59"/>
      <c r="AR12" s="61"/>
      <c r="AS12" s="61"/>
      <c r="AT12" s="33"/>
      <c r="AU12" s="61"/>
      <c r="AV12" s="61"/>
      <c r="AW12" s="61"/>
      <c r="AX12" s="61"/>
      <c r="AY12" s="61"/>
      <c r="AZ12" s="61"/>
      <c r="BA12" s="61"/>
      <c r="BB12" s="62"/>
      <c r="BC12" s="33"/>
      <c r="BI12" s="5"/>
      <c r="BS12" s="63">
        <f t="shared" si="9"/>
        <v>1439</v>
      </c>
      <c r="BT12" s="63">
        <f t="shared" si="10"/>
        <v>1756</v>
      </c>
      <c r="BU12" s="63">
        <f t="shared" si="11"/>
        <v>73</v>
      </c>
      <c r="BV12" s="63">
        <f t="shared" si="12"/>
        <v>854</v>
      </c>
      <c r="BW12" s="63">
        <f t="shared" si="13"/>
        <v>146</v>
      </c>
      <c r="BX12" s="63">
        <f t="shared" si="14"/>
        <v>4268</v>
      </c>
      <c r="BY12" s="63">
        <f t="shared" si="15"/>
        <v>12193.6832334419</v>
      </c>
      <c r="BZ12" s="64">
        <f t="shared" si="16"/>
        <v>0.35001729324038505</v>
      </c>
      <c r="CA12" s="64">
        <f t="shared" si="17"/>
        <v>0.53725398313027184</v>
      </c>
      <c r="CB12" s="64">
        <f t="shared" si="18"/>
        <v>0.46274601686972822</v>
      </c>
      <c r="CC12" s="64">
        <f t="shared" si="19"/>
        <v>0.12325390304026294</v>
      </c>
      <c r="CF12" s="48"/>
      <c r="CG12" s="48"/>
      <c r="CH12" s="49"/>
      <c r="CI12" s="48"/>
      <c r="CJ12" s="48"/>
      <c r="CK12" s="49"/>
      <c r="CT12" s="50"/>
      <c r="CU12" s="26"/>
      <c r="CV12" s="26"/>
      <c r="CW12" s="26"/>
      <c r="CX12" s="65"/>
      <c r="CY12" s="65"/>
      <c r="CZ12" s="26"/>
      <c r="DA12" s="26"/>
      <c r="DB12" s="26"/>
      <c r="DC12" s="26"/>
      <c r="DD12" s="26"/>
      <c r="DE12" s="26"/>
      <c r="DF12" s="26"/>
      <c r="DH12" s="66">
        <f t="shared" si="20"/>
        <v>0.12858422668632058</v>
      </c>
      <c r="EL12" s="67">
        <f t="shared" si="21"/>
        <v>7.9256832334418998</v>
      </c>
      <c r="EM12" s="67"/>
      <c r="EN12" s="67">
        <f t="shared" si="22"/>
        <v>1.756</v>
      </c>
      <c r="EO12" s="67">
        <f t="shared" si="23"/>
        <v>2.512</v>
      </c>
      <c r="EP12" s="67">
        <f t="shared" si="24"/>
        <v>0.6</v>
      </c>
      <c r="ET12" s="66">
        <f t="shared" si="25"/>
        <v>8.4078576037932826E-2</v>
      </c>
      <c r="EW12" s="14">
        <f t="shared" si="27"/>
        <v>2512</v>
      </c>
      <c r="FE12" s="14">
        <f t="shared" si="26"/>
        <v>8000</v>
      </c>
    </row>
    <row r="13" spans="1:161" ht="12.75" customHeight="1" x14ac:dyDescent="0.2">
      <c r="B13" s="4">
        <v>1992</v>
      </c>
      <c r="C13" s="71">
        <f>L13-J13</f>
        <v>16808</v>
      </c>
      <c r="D13" s="71"/>
      <c r="E13" s="71"/>
      <c r="G13" s="14">
        <f>'[1]Data-Nisgaa &amp; Other FN Catch'!BI5</f>
        <v>612</v>
      </c>
      <c r="H13" s="14">
        <v>1339</v>
      </c>
      <c r="I13" s="14">
        <f>'Data-Chin-Nisga''a'!N7</f>
        <v>1308.1727757851456</v>
      </c>
      <c r="J13" s="14">
        <f>SUM(G13:I13)</f>
        <v>3259.1727757851459</v>
      </c>
      <c r="L13" s="72">
        <f>'Bayesian Sum (10Feb26)'!K8</f>
        <v>20067.172775785148</v>
      </c>
      <c r="M13" s="73">
        <f t="shared" ref="M13:M42" si="28">H13/L13</f>
        <v>6.6725891831447115E-2</v>
      </c>
      <c r="N13" s="56">
        <f>'Data-Coastal-Chin-Esc (new)'!J20</f>
        <v>605</v>
      </c>
      <c r="O13" s="74">
        <f>P13/N13</f>
        <v>0</v>
      </c>
      <c r="P13" s="14"/>
      <c r="R13" s="18" t="s">
        <v>106</v>
      </c>
      <c r="S13" s="5">
        <f>'A6-Chin (NEW2+Khutz)'!S13-'A6b-Chin (LN&amp;CoastalCU)'!S13</f>
        <v>5532.0020247433531</v>
      </c>
      <c r="T13" s="14">
        <f t="shared" si="2"/>
        <v>5532.0020247433531</v>
      </c>
      <c r="U13" s="73"/>
      <c r="V13" s="14">
        <f>SUM(P13,C13)</f>
        <v>16808</v>
      </c>
      <c r="X13" s="14">
        <f t="shared" ref="X13:X42" si="29">G13</f>
        <v>612</v>
      </c>
      <c r="Y13" s="14">
        <f t="shared" ref="Y13:Z38" si="30">SUM(H13,R13)</f>
        <v>1339</v>
      </c>
      <c r="Z13" s="14">
        <f t="shared" si="30"/>
        <v>6840.174800528499</v>
      </c>
      <c r="AA13" s="14">
        <f t="shared" si="4"/>
        <v>8791.174800528499</v>
      </c>
      <c r="AC13" s="14">
        <f>'A6-Chin (NEW2+Khutz)'!AC13-'A6b-Chin (LN&amp;CoastalCU)'!AC13</f>
        <v>4869.6287369750953</v>
      </c>
      <c r="AD13" s="14">
        <f>'A6-Chin (NEW2+Khutz)'!AD13-'A6b-Chin (LN&amp;CoastalCU)'!AD13</f>
        <v>2858.0015747090379</v>
      </c>
      <c r="AE13" s="14">
        <f t="shared" si="5"/>
        <v>7727.6303116841336</v>
      </c>
      <c r="AJ13" s="14">
        <f>SUM(V13,AA13,AE13)</f>
        <v>33326.805112212634</v>
      </c>
      <c r="AK13" s="122">
        <f>'A6-Chin (NEW2+Khutz)'!AK13-'A6b-Chin (LN&amp;CoastalCU)'!AL13</f>
        <v>1550.3810930948507</v>
      </c>
      <c r="AL13" s="14">
        <f>SUM(AJ13:AK13)</f>
        <v>34877.186205307487</v>
      </c>
      <c r="AM13" s="14"/>
      <c r="AN13" s="14">
        <v>20870</v>
      </c>
      <c r="AO13" s="76">
        <f t="shared" ref="AO13:AO38" si="31">X13/AN13</f>
        <v>2.9324389075227598E-2</v>
      </c>
      <c r="AP13" s="60">
        <f t="shared" ref="AP13:AP44" si="32">RANK(L13,L$13:L$46,1)</f>
        <v>19</v>
      </c>
      <c r="AQ13" s="59"/>
      <c r="AR13" s="77">
        <f t="shared" ref="AR13:AR40" si="33">SUM(AE13,AA13,AK13)/AL13</f>
        <v>0.51808038925335609</v>
      </c>
      <c r="AS13" s="61">
        <f>I13/$L13</f>
        <v>6.5189690167202052E-2</v>
      </c>
      <c r="AT13" s="61">
        <f t="shared" ref="AT13:AT39" si="34">H13/$L13</f>
        <v>6.6725891831447115E-2</v>
      </c>
      <c r="AU13" s="61">
        <f t="shared" ref="AU13:AU39" si="35">J13/$L13</f>
        <v>0.16241315167814552</v>
      </c>
      <c r="AV13" s="61"/>
      <c r="AW13" s="33"/>
      <c r="AX13" s="61">
        <f t="shared" ref="AX13:AX39" si="36">Z13/$AL13</f>
        <v>0.19612175019691197</v>
      </c>
      <c r="AY13" s="61">
        <f t="shared" ref="AY13:AY46" si="37">AC13/$AL13</f>
        <v>0.13962217904591318</v>
      </c>
      <c r="AZ13" s="61">
        <f t="shared" ref="AZ13:AZ39" si="38">SUM(Y13,AD13)/$AL13</f>
        <v>0.1203365876479552</v>
      </c>
      <c r="BA13" s="61">
        <f t="shared" ref="BA13:BA39" si="39">X13/AL13</f>
        <v>1.7547287111907783E-2</v>
      </c>
      <c r="BB13" s="61">
        <f>SUM(AA13,AE13)/AL13</f>
        <v>0.47362780400268817</v>
      </c>
      <c r="BC13" s="61">
        <f>AK13/AL13</f>
        <v>4.4452585250667934E-2</v>
      </c>
      <c r="BD13" s="78">
        <f t="shared" ref="BD13:BD46" si="40">SUM(AA13,AE13,AK13)/AL13</f>
        <v>0.51808038925335609</v>
      </c>
      <c r="BE13" s="17"/>
      <c r="BF13" s="17"/>
      <c r="BG13" s="22">
        <f>'[1]Data-PSC CH Tables'!C7</f>
        <v>16808</v>
      </c>
      <c r="BH13" s="22">
        <f>'[1]Data-PSC CH Tables'!AG7</f>
        <v>35397.166666666664</v>
      </c>
      <c r="BI13" s="22">
        <f>'[1]Data-PSC CH Tables'!AI7</f>
        <v>37197.166666666664</v>
      </c>
      <c r="BJ13" s="17"/>
      <c r="BK13" s="22">
        <f>BG13-C13</f>
        <v>0</v>
      </c>
      <c r="BL13" s="22">
        <f>BH13-AJ13</f>
        <v>2070.3615544540298</v>
      </c>
      <c r="BM13" s="22">
        <f>BI13-AL13</f>
        <v>2319.9804613591768</v>
      </c>
      <c r="BO13" s="33"/>
      <c r="BP13" s="33"/>
      <c r="BQ13" s="33"/>
      <c r="BS13" s="62">
        <f>AC13</f>
        <v>4869.6287369750953</v>
      </c>
      <c r="BT13" s="62">
        <f t="shared" si="10"/>
        <v>6840.174800528499</v>
      </c>
      <c r="BU13" s="62">
        <f t="shared" si="11"/>
        <v>612</v>
      </c>
      <c r="BV13" s="62">
        <f t="shared" si="12"/>
        <v>2858.0015747090379</v>
      </c>
      <c r="BW13" s="62">
        <f t="shared" si="13"/>
        <v>1339</v>
      </c>
      <c r="BX13" s="62">
        <f t="shared" si="14"/>
        <v>16518.805112212634</v>
      </c>
      <c r="BY13" s="62">
        <f t="shared" si="15"/>
        <v>33326.805112212634</v>
      </c>
      <c r="BZ13" s="79">
        <f>BX13/BY13</f>
        <v>0.49566122694909343</v>
      </c>
      <c r="CA13" s="79">
        <f>SUM(BV13,BS13)/BX13</f>
        <v>0.46780806839176065</v>
      </c>
      <c r="CB13" s="79">
        <f>SUM(BT13:BU13,BW13)/BX13</f>
        <v>0.53219193160823919</v>
      </c>
      <c r="CC13" s="79">
        <f t="shared" si="19"/>
        <v>8.5802485816403581E-2</v>
      </c>
      <c r="CD13" s="80"/>
      <c r="CF13" s="36">
        <v>35901.329965764526</v>
      </c>
      <c r="CG13" s="36">
        <v>37701.329965764526</v>
      </c>
      <c r="CH13" s="81">
        <f>CF13-AJ13</f>
        <v>2574.5248535518913</v>
      </c>
      <c r="CI13" s="36">
        <f>CG13-AL13</f>
        <v>2824.1437604570383</v>
      </c>
      <c r="CJ13" s="36">
        <v>18219.663299097861</v>
      </c>
      <c r="CK13" s="81">
        <f>V13-CJ13</f>
        <v>-1411.6632990978615</v>
      </c>
      <c r="CM13" s="33"/>
      <c r="CN13" s="82"/>
      <c r="CO13" s="82"/>
      <c r="CP13" s="82"/>
      <c r="CQ13" s="33"/>
      <c r="CR13" s="33"/>
      <c r="CS13" s="33"/>
      <c r="CT13" s="83"/>
      <c r="CU13" s="33"/>
      <c r="CV13" s="33"/>
      <c r="CW13" s="33"/>
      <c r="CX13" s="84"/>
      <c r="CY13" s="84"/>
      <c r="CZ13" s="33"/>
      <c r="DA13" s="33"/>
      <c r="DB13" s="33"/>
      <c r="DC13" s="33"/>
      <c r="DD13" s="33"/>
      <c r="DE13" s="33"/>
      <c r="DF13" s="33"/>
      <c r="DH13" s="66">
        <f t="shared" si="20"/>
        <v>0</v>
      </c>
      <c r="DK13" s="85">
        <f t="shared" ref="DK13:DK20" si="41">AA13+V13</f>
        <v>25599.174800528497</v>
      </c>
      <c r="DN13" s="3">
        <f>($DK13*DK$50)</f>
        <v>2344.9386179435969</v>
      </c>
      <c r="DO13" s="86">
        <f>DN13/DK13</f>
        <v>9.1602117498536917E-2</v>
      </c>
      <c r="DP13" s="3">
        <f t="shared" ref="DP13:DP20" si="42">($DK13*DL$50)</f>
        <v>941.23030121342754</v>
      </c>
      <c r="DQ13" s="86">
        <f>DP13/DK13</f>
        <v>3.6767993833691691E-2</v>
      </c>
      <c r="DS13" s="14">
        <f t="shared" ref="DS13:DS39" si="43">V13</f>
        <v>16808</v>
      </c>
      <c r="DT13" s="14">
        <v>17715.5</v>
      </c>
      <c r="DU13" s="14">
        <f>DT13-DS13</f>
        <v>907.5</v>
      </c>
      <c r="DW13" s="14">
        <f t="shared" ref="DW13:DW39" si="44">AJ13</f>
        <v>33326.805112212634</v>
      </c>
      <c r="DX13" s="14">
        <v>34686.666666666664</v>
      </c>
      <c r="DY13" s="14">
        <f>DX13-DW13</f>
        <v>1359.8615544540298</v>
      </c>
      <c r="EA13" s="3">
        <v>8671.6666666666642</v>
      </c>
      <c r="EC13" s="87">
        <f t="shared" ref="EC13:EC20" si="45">ROUND(EA13*EC$48,0)</f>
        <v>5605</v>
      </c>
      <c r="ED13" s="88">
        <f>EA13-EC13</f>
        <v>3066.6666666666642</v>
      </c>
      <c r="EE13" s="3">
        <f>SUM(EC13:ED13)</f>
        <v>8671.6666666666642</v>
      </c>
      <c r="EG13" s="14">
        <f t="shared" ref="EG13:EG39" si="46">SUM(X13:Y13,AE13)</f>
        <v>9678.6303116841336</v>
      </c>
      <c r="EI13" s="89">
        <f>$P13/B13</f>
        <v>0</v>
      </c>
      <c r="EJ13" s="89">
        <f t="shared" ref="EJ13:EJ39" si="47">$P13/V13</f>
        <v>0</v>
      </c>
      <c r="EL13" s="67"/>
      <c r="EM13" s="67">
        <f t="shared" ref="EM13:EM39" si="48">V13/1000</f>
        <v>16.808</v>
      </c>
      <c r="EN13" s="67">
        <f t="shared" si="22"/>
        <v>6.8401748005284988</v>
      </c>
      <c r="EO13" s="67">
        <f t="shared" si="23"/>
        <v>9.6786303116841328</v>
      </c>
      <c r="EP13" s="67">
        <f t="shared" si="24"/>
        <v>1.5503810930948507</v>
      </c>
      <c r="ET13" s="66">
        <f t="shared" si="25"/>
        <v>0.16241315167814552</v>
      </c>
      <c r="EW13" s="14">
        <f t="shared" si="27"/>
        <v>9678.6303116841354</v>
      </c>
      <c r="EY13" s="14">
        <f t="shared" ref="EY13:EY39" si="49">G13+H13</f>
        <v>1951</v>
      </c>
      <c r="EZ13" s="14" t="e">
        <f t="shared" ref="EZ13:EZ39" si="50">EY13+R13</f>
        <v>#VALUE!</v>
      </c>
      <c r="FB13" s="14">
        <f t="shared" ref="FB13:FB39" si="51">L13+SUM(S13,AE13,AK13)*FC13</f>
        <v>34877.186205307487</v>
      </c>
      <c r="FC13" s="66">
        <f t="shared" ref="FC13:FC39" si="52">L13/SUM(L13,P13)</f>
        <v>1</v>
      </c>
      <c r="FE13" s="14">
        <f t="shared" si="26"/>
        <v>20000</v>
      </c>
    </row>
    <row r="14" spans="1:161" x14ac:dyDescent="0.2">
      <c r="B14" s="4">
        <v>1993</v>
      </c>
      <c r="C14" s="71">
        <f t="shared" ref="C14:C46" si="53">L14-J14</f>
        <v>24814</v>
      </c>
      <c r="D14" s="71"/>
      <c r="E14" s="71"/>
      <c r="G14" s="14">
        <f>'[1]Data-Nisgaa &amp; Other FN Catch'!BI6</f>
        <v>600</v>
      </c>
      <c r="H14" s="14">
        <v>983</v>
      </c>
      <c r="I14" s="14">
        <f>'Data-Chin-Nisga''a'!N8</f>
        <v>1526.1184498294112</v>
      </c>
      <c r="J14" s="14">
        <f t="shared" ref="J14:J36" si="54">SUM(G14:I14)</f>
        <v>3109.1184498294115</v>
      </c>
      <c r="L14" s="72">
        <f>'Bayesian Sum (10Feb26)'!K9</f>
        <v>27923.11844982941</v>
      </c>
      <c r="M14" s="73">
        <f t="shared" si="28"/>
        <v>3.5203804394777598E-2</v>
      </c>
      <c r="N14" s="56">
        <f>'Data-Coastal-Chin-Esc (new)'!J21</f>
        <v>782.82788840181149</v>
      </c>
      <c r="O14" s="74">
        <f t="shared" ref="O14:O46" si="55">P14/N14</f>
        <v>0</v>
      </c>
      <c r="P14" s="14"/>
      <c r="R14" s="18" t="s">
        <v>106</v>
      </c>
      <c r="S14" s="5">
        <f>'A6-Chin (NEW2+Khutz)'!S14-'A6b-Chin (LN&amp;CoastalCU)'!S14</f>
        <v>3815.4866538914057</v>
      </c>
      <c r="T14" s="14">
        <f t="shared" ref="T14:T43" si="56">SUM(R14:S14)</f>
        <v>3815.4866538914057</v>
      </c>
      <c r="U14" s="73"/>
      <c r="V14" s="14">
        <f t="shared" si="3"/>
        <v>24814</v>
      </c>
      <c r="X14" s="14">
        <f t="shared" si="29"/>
        <v>600</v>
      </c>
      <c r="Y14" s="14">
        <f t="shared" si="30"/>
        <v>983</v>
      </c>
      <c r="Z14" s="14">
        <f t="shared" si="30"/>
        <v>5341.6051037208172</v>
      </c>
      <c r="AA14" s="14">
        <f t="shared" si="4"/>
        <v>6924.6051037208172</v>
      </c>
      <c r="AC14" s="14">
        <f>'A6-Chin (NEW2+Khutz)'!AC14-'A6b-Chin (LN&amp;CoastalCU)'!AC14</f>
        <v>7148.6732285933958</v>
      </c>
      <c r="AD14" s="14">
        <f>'A6-Chin (NEW2+Khutz)'!AD14-'A6b-Chin (LN&amp;CoastalCU)'!AD14</f>
        <v>4195.5804945186637</v>
      </c>
      <c r="AE14" s="14">
        <f t="shared" ref="AE14:AE46" si="57">SUM(AC14:AD14)</f>
        <v>11344.253723112059</v>
      </c>
      <c r="AJ14" s="14">
        <f t="shared" ref="AJ14:AJ46" si="58">SUM(V14,AA14,AE14)</f>
        <v>43082.858826832875</v>
      </c>
      <c r="AK14" s="122">
        <f>'A6-Chin (NEW2+Khutz)'!AK14-'A6b-Chin (LN&amp;CoastalCU)'!AL14</f>
        <v>2030.9507202456396</v>
      </c>
      <c r="AL14" s="14">
        <f t="shared" ref="AL14:AL38" si="59">SUM(AJ14:AK14)</f>
        <v>45113.809547078512</v>
      </c>
      <c r="AM14" s="14"/>
      <c r="AN14" s="14">
        <v>21829.333333333332</v>
      </c>
      <c r="AO14" s="76">
        <f t="shared" si="31"/>
        <v>2.7485951624725141E-2</v>
      </c>
      <c r="AP14" s="60">
        <f t="shared" si="32"/>
        <v>31</v>
      </c>
      <c r="AQ14" s="59"/>
      <c r="AR14" s="77">
        <f t="shared" si="33"/>
        <v>0.44996886210406706</v>
      </c>
      <c r="AS14" s="61">
        <f t="shared" ref="AS14:AS39" si="60">I14/L14</f>
        <v>5.4654298464960123E-2</v>
      </c>
      <c r="AT14" s="61">
        <f t="shared" si="34"/>
        <v>3.5203804394777598E-2</v>
      </c>
      <c r="AU14" s="61">
        <f t="shared" si="35"/>
        <v>0.11134567420955112</v>
      </c>
      <c r="AV14" s="61"/>
      <c r="AW14" s="33"/>
      <c r="AX14" s="61">
        <f t="shared" si="36"/>
        <v>0.11840288278352076</v>
      </c>
      <c r="AY14" s="61">
        <f t="shared" si="37"/>
        <v>0.15845864714956956</v>
      </c>
      <c r="AZ14" s="61">
        <f t="shared" si="38"/>
        <v>0.11478925292519482</v>
      </c>
      <c r="BA14" s="61">
        <f t="shared" si="39"/>
        <v>1.3299697055596027E-2</v>
      </c>
      <c r="BB14" s="61">
        <f t="shared" ref="BB14:BB46" si="61">SUM(AA14,AE14)/AL14</f>
        <v>0.40495047991388111</v>
      </c>
      <c r="BC14" s="61">
        <f t="shared" ref="BC14:BC33" si="62">AK14/AL14</f>
        <v>4.5018382190185939E-2</v>
      </c>
      <c r="BD14" s="78">
        <f t="shared" si="40"/>
        <v>0.44996886210406706</v>
      </c>
      <c r="BE14" s="17"/>
      <c r="BF14" s="17"/>
      <c r="BG14" s="22">
        <f>'[1]Data-PSC CH Tables'!C8</f>
        <v>24814</v>
      </c>
      <c r="BH14" s="22">
        <f>'[1]Data-PSC CH Tables'!AG8</f>
        <v>45414.424903021361</v>
      </c>
      <c r="BI14" s="22">
        <f>'[1]Data-PSC CH Tables'!AI8</f>
        <v>47714.424903021361</v>
      </c>
      <c r="BJ14" s="17"/>
      <c r="BK14" s="22">
        <f t="shared" ref="BK14:BK46" si="63">BG14-C14</f>
        <v>0</v>
      </c>
      <c r="BL14" s="22">
        <f t="shared" ref="BL14:BL46" si="64">BH14-AJ14</f>
        <v>2331.5660761884865</v>
      </c>
      <c r="BM14" s="22">
        <f t="shared" ref="BM14:BM46" si="65">BI14-AL14</f>
        <v>2600.6153559428494</v>
      </c>
      <c r="BO14" s="33"/>
      <c r="BP14" s="33"/>
      <c r="BQ14" s="33"/>
      <c r="BS14" s="62">
        <f t="shared" ref="BS14:BS46" si="66">AC14</f>
        <v>7148.6732285933958</v>
      </c>
      <c r="BT14" s="62">
        <f t="shared" si="10"/>
        <v>5341.6051037208172</v>
      </c>
      <c r="BU14" s="62">
        <f t="shared" si="11"/>
        <v>600</v>
      </c>
      <c r="BV14" s="62">
        <f t="shared" si="12"/>
        <v>4195.5804945186637</v>
      </c>
      <c r="BW14" s="62">
        <f t="shared" si="13"/>
        <v>983</v>
      </c>
      <c r="BX14" s="62">
        <f t="shared" ref="BX14:BX46" si="67">SUM(BS14:BW14)</f>
        <v>18268.858826832879</v>
      </c>
      <c r="BY14" s="62">
        <f t="shared" si="15"/>
        <v>43082.858826832875</v>
      </c>
      <c r="BZ14" s="79">
        <f t="shared" ref="BZ14:BZ46" si="68">BX14/BY14</f>
        <v>0.42404007821910517</v>
      </c>
      <c r="CA14" s="79">
        <f t="shared" ref="CA14:CA46" si="69">SUM(BV14,BS14)/BX14</f>
        <v>0.62096126696484621</v>
      </c>
      <c r="CB14" s="79">
        <f t="shared" ref="CB14:CB46" si="70">SUM(BT14:BU14,BW14)/BX14</f>
        <v>0.37903873303515362</v>
      </c>
      <c r="CC14" s="79">
        <f t="shared" si="19"/>
        <v>0.1000477721495632</v>
      </c>
      <c r="CD14" s="33"/>
      <c r="CF14" s="36">
        <v>46202.260715537923</v>
      </c>
      <c r="CG14" s="36">
        <v>48502.260715537923</v>
      </c>
      <c r="CH14" s="81">
        <f t="shared" ref="CH14:CH21" si="71">CF14-AJ14</f>
        <v>3119.4018887050479</v>
      </c>
      <c r="CI14" s="36">
        <f t="shared" ref="CI14:CI21" si="72">CG14-AL14</f>
        <v>3388.4511684594108</v>
      </c>
      <c r="CJ14" s="36">
        <v>26640.594048871259</v>
      </c>
      <c r="CK14" s="81">
        <f t="shared" ref="CK14:CK46" si="73">V14-CJ14</f>
        <v>-1826.5940488712586</v>
      </c>
      <c r="CM14" s="33"/>
      <c r="CN14" s="82"/>
      <c r="CO14" s="82"/>
      <c r="CP14" s="82"/>
      <c r="CQ14" s="33"/>
      <c r="CR14" s="33"/>
      <c r="CS14" s="33"/>
      <c r="CT14" s="83"/>
      <c r="CU14" s="33"/>
      <c r="CV14" s="33"/>
      <c r="CW14" s="33"/>
      <c r="CX14" s="84"/>
      <c r="CY14" s="84"/>
      <c r="CZ14" s="33"/>
      <c r="DA14" s="33"/>
      <c r="DB14" s="33"/>
      <c r="DC14" s="33"/>
      <c r="DD14" s="33"/>
      <c r="DE14" s="33"/>
      <c r="DF14" s="33"/>
      <c r="DH14" s="66">
        <f t="shared" si="20"/>
        <v>0</v>
      </c>
      <c r="DK14" s="90">
        <f t="shared" si="41"/>
        <v>31738.605103720816</v>
      </c>
      <c r="DN14" s="3">
        <f t="shared" ref="DN14:DN20" si="74">(DK14*DK$50)</f>
        <v>2907.323433950698</v>
      </c>
      <c r="DO14" s="86">
        <f t="shared" ref="DO14:DO20" si="75">DN14/DK14</f>
        <v>9.1602117498536931E-2</v>
      </c>
      <c r="DP14" s="3">
        <f t="shared" si="42"/>
        <v>1166.9648367435825</v>
      </c>
      <c r="DQ14" s="86">
        <f t="shared" ref="DQ14:DQ20" si="76">DP14/DK14</f>
        <v>3.6767993833691691E-2</v>
      </c>
      <c r="DS14" s="14">
        <f t="shared" si="43"/>
        <v>24814</v>
      </c>
      <c r="DT14" s="14">
        <v>25852.758236354697</v>
      </c>
      <c r="DU14" s="14">
        <f t="shared" ref="DU14:DU37" si="77">DT14-DS14</f>
        <v>1038.7582363546971</v>
      </c>
      <c r="DW14" s="14">
        <f t="shared" si="44"/>
        <v>43082.858826832875</v>
      </c>
      <c r="DX14" s="14">
        <v>49570.666666666664</v>
      </c>
      <c r="DY14" s="14">
        <f t="shared" ref="DY14:DY37" si="78">DX14-DW14</f>
        <v>6487.8078398337893</v>
      </c>
      <c r="EA14" s="3">
        <v>12392.666666666664</v>
      </c>
      <c r="EC14" s="91">
        <f t="shared" si="45"/>
        <v>8009</v>
      </c>
      <c r="ED14" s="92">
        <f t="shared" ref="ED14:ED20" si="79">EA14-EC14</f>
        <v>4383.6666666666642</v>
      </c>
      <c r="EE14" s="3">
        <f t="shared" ref="EE14:EE20" si="80">SUM(EC14:ED14)</f>
        <v>12392.666666666664</v>
      </c>
      <c r="EG14" s="14">
        <f t="shared" si="46"/>
        <v>12927.253723112059</v>
      </c>
      <c r="EI14" s="89">
        <f t="shared" ref="EI14:EI32" si="81">P14/B14</f>
        <v>0</v>
      </c>
      <c r="EJ14" s="89">
        <f t="shared" si="47"/>
        <v>0</v>
      </c>
      <c r="EL14" s="67"/>
      <c r="EM14" s="67">
        <f t="shared" si="48"/>
        <v>24.814</v>
      </c>
      <c r="EN14" s="67">
        <f t="shared" si="22"/>
        <v>5.3416051037208172</v>
      </c>
      <c r="EO14" s="67">
        <f t="shared" si="23"/>
        <v>12.927253723112059</v>
      </c>
      <c r="EP14" s="67">
        <f t="shared" si="24"/>
        <v>2.0309507202456394</v>
      </c>
      <c r="ET14" s="66">
        <f t="shared" si="25"/>
        <v>0.11134567420955112</v>
      </c>
      <c r="EW14" s="14">
        <f t="shared" si="27"/>
        <v>12927.253723112062</v>
      </c>
      <c r="EY14" s="14">
        <f t="shared" si="49"/>
        <v>1583</v>
      </c>
      <c r="EZ14" s="14" t="e">
        <f t="shared" si="50"/>
        <v>#VALUE!</v>
      </c>
      <c r="FB14" s="14">
        <f t="shared" si="51"/>
        <v>45113.809547078519</v>
      </c>
      <c r="FC14" s="66">
        <f t="shared" si="52"/>
        <v>1</v>
      </c>
      <c r="FE14" s="14">
        <f t="shared" si="26"/>
        <v>28000</v>
      </c>
    </row>
    <row r="15" spans="1:161" x14ac:dyDescent="0.2">
      <c r="B15" s="4">
        <v>1994</v>
      </c>
      <c r="C15" s="71">
        <f t="shared" si="53"/>
        <v>23639.335228763888</v>
      </c>
      <c r="D15" s="71">
        <f t="shared" ref="D15:D46" si="82">C15-E15</f>
        <v>19706.335228763888</v>
      </c>
      <c r="E15" s="71">
        <f>'Bayesian Sum (10Feb26)'!H10</f>
        <v>3933</v>
      </c>
      <c r="G15" s="14">
        <f>'[1]Data-Nisgaa &amp; Other FN Catch'!BI7</f>
        <v>120</v>
      </c>
      <c r="H15" s="14">
        <v>893</v>
      </c>
      <c r="I15" s="14">
        <f>'Data-Chin-Nisga''a'!N9</f>
        <v>2097.6647712361123</v>
      </c>
      <c r="J15" s="14">
        <f t="shared" si="54"/>
        <v>3110.6647712361123</v>
      </c>
      <c r="L15" s="72">
        <f>'Bayesian Sum (10Feb26)'!K10</f>
        <v>26750</v>
      </c>
      <c r="M15" s="73">
        <f t="shared" si="28"/>
        <v>3.3383177570093459E-2</v>
      </c>
      <c r="N15" s="56">
        <f>'Data-Coastal-Chin-Esc (new)'!J22</f>
        <v>2376.1408268349237</v>
      </c>
      <c r="O15" s="74">
        <f t="shared" si="55"/>
        <v>0</v>
      </c>
      <c r="P15" s="14"/>
      <c r="R15" s="18" t="s">
        <v>106</v>
      </c>
      <c r="S15" s="5">
        <f>'A6-Chin (NEW2+Khutz)'!S15-'A6b-Chin (LN&amp;CoastalCU)'!S15</f>
        <v>3499.6056715460691</v>
      </c>
      <c r="T15" s="14">
        <f t="shared" si="56"/>
        <v>3499.6056715460691</v>
      </c>
      <c r="U15" s="73"/>
      <c r="V15" s="14">
        <f t="shared" si="3"/>
        <v>23639.335228763888</v>
      </c>
      <c r="X15" s="14">
        <f t="shared" si="29"/>
        <v>120</v>
      </c>
      <c r="Y15" s="14">
        <f t="shared" si="30"/>
        <v>893</v>
      </c>
      <c r="Z15" s="14">
        <f t="shared" si="30"/>
        <v>5597.2704427821809</v>
      </c>
      <c r="AA15" s="14">
        <f t="shared" si="4"/>
        <v>6610.2704427821809</v>
      </c>
      <c r="AC15" s="14">
        <f>'A6-Chin (NEW2+Khutz)'!AC15-'A6b-Chin (LN&amp;CoastalCU)'!AC15</f>
        <v>5409.3751423821932</v>
      </c>
      <c r="AD15" s="14">
        <f>'A6-Chin (NEW2+Khutz)'!AD15-'A6b-Chin (LN&amp;CoastalCU)'!AD15</f>
        <v>3174.7805654530534</v>
      </c>
      <c r="AE15" s="14">
        <f t="shared" si="57"/>
        <v>8584.1557078352471</v>
      </c>
      <c r="AJ15" s="14">
        <f t="shared" si="58"/>
        <v>38833.761379381314</v>
      </c>
      <c r="AK15" s="122">
        <f>'A6-Chin (NEW2+Khutz)'!AK15-'A6b-Chin (LN&amp;CoastalCU)'!AL15</f>
        <v>1805.2605338550609</v>
      </c>
      <c r="AL15" s="14">
        <f t="shared" si="59"/>
        <v>40639.021913236378</v>
      </c>
      <c r="AM15" s="14"/>
      <c r="AN15" s="14">
        <f>'[1]Data-FW Catch Rates - new'!CE9</f>
        <v>23205.075000000001</v>
      </c>
      <c r="AO15" s="76">
        <f t="shared" si="31"/>
        <v>5.171282575040158E-3</v>
      </c>
      <c r="AP15" s="60">
        <f t="shared" si="32"/>
        <v>28</v>
      </c>
      <c r="AQ15" s="59"/>
      <c r="AR15" s="77">
        <f t="shared" si="33"/>
        <v>0.4183094445719322</v>
      </c>
      <c r="AS15" s="61">
        <f t="shared" si="60"/>
        <v>7.8417374625649058E-2</v>
      </c>
      <c r="AT15" s="61">
        <f t="shared" si="34"/>
        <v>3.3383177570093459E-2</v>
      </c>
      <c r="AU15" s="61">
        <f t="shared" si="35"/>
        <v>0.11628653350415373</v>
      </c>
      <c r="AV15" s="61"/>
      <c r="AW15" s="33"/>
      <c r="AX15" s="61">
        <f t="shared" si="36"/>
        <v>0.13773142608432501</v>
      </c>
      <c r="AY15" s="61">
        <f t="shared" si="37"/>
        <v>0.13310790682736207</v>
      </c>
      <c r="AZ15" s="61">
        <f t="shared" si="38"/>
        <v>0.10009543473112359</v>
      </c>
      <c r="BA15" s="61">
        <f t="shared" si="39"/>
        <v>2.9528269714807105E-3</v>
      </c>
      <c r="BB15" s="61">
        <f t="shared" si="61"/>
        <v>0.37388759461429139</v>
      </c>
      <c r="BC15" s="61">
        <f t="shared" si="62"/>
        <v>4.4421849957640751E-2</v>
      </c>
      <c r="BD15" s="78">
        <f t="shared" si="40"/>
        <v>0.4183094445719322</v>
      </c>
      <c r="BE15" s="17"/>
      <c r="BF15" s="17"/>
      <c r="BG15" s="22">
        <f>'[1]Data-PSC CH Tables'!C9</f>
        <v>21169</v>
      </c>
      <c r="BH15" s="22">
        <f>'[1]Data-PSC CH Tables'!AG9</f>
        <v>42779.776135958484</v>
      </c>
      <c r="BI15" s="22">
        <f>'[1]Data-PSC CH Tables'!AI9</f>
        <v>44979.776135958484</v>
      </c>
      <c r="BJ15" s="17"/>
      <c r="BK15" s="22">
        <f t="shared" si="63"/>
        <v>-2470.3352287638882</v>
      </c>
      <c r="BL15" s="22">
        <f t="shared" si="64"/>
        <v>3946.0147565771695</v>
      </c>
      <c r="BM15" s="22">
        <f t="shared" si="65"/>
        <v>4340.7542227221056</v>
      </c>
      <c r="BO15" s="33"/>
      <c r="BP15" s="33"/>
      <c r="BQ15" s="33"/>
      <c r="BS15" s="62">
        <f t="shared" si="66"/>
        <v>5409.3751423821932</v>
      </c>
      <c r="BT15" s="62">
        <f t="shared" si="10"/>
        <v>5597.2704427821809</v>
      </c>
      <c r="BU15" s="62">
        <f t="shared" si="11"/>
        <v>120</v>
      </c>
      <c r="BV15" s="62">
        <f t="shared" si="12"/>
        <v>3174.7805654530534</v>
      </c>
      <c r="BW15" s="62">
        <f t="shared" si="13"/>
        <v>893</v>
      </c>
      <c r="BX15" s="62">
        <f t="shared" si="67"/>
        <v>15194.426150617426</v>
      </c>
      <c r="BY15" s="62">
        <f t="shared" si="15"/>
        <v>38833.761379381314</v>
      </c>
      <c r="BZ15" s="79">
        <f t="shared" si="68"/>
        <v>0.39126846359737039</v>
      </c>
      <c r="CA15" s="79">
        <f t="shared" si="69"/>
        <v>0.56495425511587549</v>
      </c>
      <c r="CB15" s="79">
        <f t="shared" si="70"/>
        <v>0.43504574488412467</v>
      </c>
      <c r="CC15" s="79">
        <f t="shared" si="19"/>
        <v>0.10619375329452312</v>
      </c>
      <c r="CD15" s="33"/>
      <c r="CF15" s="36">
        <v>44621.509403792777</v>
      </c>
      <c r="CG15" s="36">
        <v>46921.509403792777</v>
      </c>
      <c r="CH15" s="81">
        <f t="shared" si="71"/>
        <v>5787.7480244114631</v>
      </c>
      <c r="CI15" s="36">
        <f t="shared" si="72"/>
        <v>6282.4874905563993</v>
      </c>
      <c r="CJ15" s="36">
        <v>26713.315369803149</v>
      </c>
      <c r="CK15" s="81">
        <f t="shared" si="73"/>
        <v>-3073.9801410392611</v>
      </c>
      <c r="CM15" s="33"/>
      <c r="CN15" s="82"/>
      <c r="CO15" s="82"/>
      <c r="CP15" s="82"/>
      <c r="CQ15" s="33"/>
      <c r="CR15" s="33"/>
      <c r="CS15" s="33"/>
      <c r="CT15" s="83"/>
      <c r="CU15" s="33"/>
      <c r="CV15" s="33"/>
      <c r="CW15" s="33"/>
      <c r="CX15" s="84"/>
      <c r="CY15" s="84"/>
      <c r="CZ15" s="33"/>
      <c r="DA15" s="33"/>
      <c r="DB15" s="33"/>
      <c r="DC15" s="33"/>
      <c r="DD15" s="33"/>
      <c r="DE15" s="33"/>
      <c r="DF15" s="33"/>
      <c r="DH15" s="66">
        <f t="shared" si="20"/>
        <v>0</v>
      </c>
      <c r="DK15" s="90">
        <f t="shared" si="41"/>
        <v>30249.605671546069</v>
      </c>
      <c r="DN15" s="3">
        <f t="shared" si="74"/>
        <v>2770.9279330093723</v>
      </c>
      <c r="DO15" s="86">
        <f t="shared" si="75"/>
        <v>9.1602117498536931E-2</v>
      </c>
      <c r="DP15" s="3">
        <f t="shared" si="42"/>
        <v>1112.217314803011</v>
      </c>
      <c r="DQ15" s="86">
        <f t="shared" si="76"/>
        <v>3.6767993833691691E-2</v>
      </c>
      <c r="DS15" s="14">
        <f t="shared" si="43"/>
        <v>23639.335228763888</v>
      </c>
      <c r="DT15" s="14">
        <v>24871.582101968863</v>
      </c>
      <c r="DU15" s="14">
        <f t="shared" si="77"/>
        <v>1232.2468732049747</v>
      </c>
      <c r="DW15" s="14">
        <f t="shared" si="44"/>
        <v>38833.761379381314</v>
      </c>
      <c r="DX15" s="14">
        <v>42728.776135958484</v>
      </c>
      <c r="DY15" s="14">
        <f t="shared" si="78"/>
        <v>3895.0147565771695</v>
      </c>
      <c r="EA15" s="3">
        <v>10682.194033989621</v>
      </c>
      <c r="EC15" s="91">
        <f t="shared" si="45"/>
        <v>6904</v>
      </c>
      <c r="ED15" s="92">
        <f t="shared" si="79"/>
        <v>3778.1940339896209</v>
      </c>
      <c r="EE15" s="3">
        <f t="shared" si="80"/>
        <v>10682.194033989621</v>
      </c>
      <c r="EG15" s="14">
        <f t="shared" si="46"/>
        <v>9597.1557078352471</v>
      </c>
      <c r="EI15" s="89">
        <f t="shared" si="81"/>
        <v>0</v>
      </c>
      <c r="EJ15" s="89">
        <f t="shared" si="47"/>
        <v>0</v>
      </c>
      <c r="EL15" s="67"/>
      <c r="EM15" s="67">
        <f t="shared" si="48"/>
        <v>23.639335228763887</v>
      </c>
      <c r="EN15" s="67">
        <f t="shared" si="22"/>
        <v>5.5972704427821807</v>
      </c>
      <c r="EO15" s="67">
        <f t="shared" si="23"/>
        <v>9.5971557078352472</v>
      </c>
      <c r="EP15" s="67">
        <f t="shared" si="24"/>
        <v>1.8052605338550609</v>
      </c>
      <c r="ET15" s="66">
        <f t="shared" si="25"/>
        <v>0.11628653350415373</v>
      </c>
      <c r="EW15" s="14">
        <f t="shared" si="27"/>
        <v>9597.1557078352453</v>
      </c>
      <c r="EY15" s="14">
        <f t="shared" si="49"/>
        <v>1013</v>
      </c>
      <c r="EZ15" s="14" t="e">
        <f t="shared" si="50"/>
        <v>#VALUE!</v>
      </c>
      <c r="FB15" s="14">
        <f t="shared" si="51"/>
        <v>40639.021913236378</v>
      </c>
      <c r="FC15" s="66">
        <f t="shared" si="52"/>
        <v>1</v>
      </c>
      <c r="FE15" s="14">
        <f t="shared" si="26"/>
        <v>27000</v>
      </c>
    </row>
    <row r="16" spans="1:161" x14ac:dyDescent="0.2">
      <c r="B16" s="4">
        <v>1995</v>
      </c>
      <c r="C16" s="71">
        <f t="shared" si="53"/>
        <v>9184.6096579476871</v>
      </c>
      <c r="D16" s="71">
        <f t="shared" si="82"/>
        <v>7465.6096579476871</v>
      </c>
      <c r="E16" s="71">
        <f>'Bayesian Sum (10Feb26)'!H11</f>
        <v>1719</v>
      </c>
      <c r="G16" s="14">
        <f>'[1]Data-Nisgaa &amp; Other FN Catch'!BI8</f>
        <v>72</v>
      </c>
      <c r="H16" s="14">
        <v>695</v>
      </c>
      <c r="I16" s="14">
        <f>'Data-Chin-Nisga''a'!N10</f>
        <v>1812.3903420523138</v>
      </c>
      <c r="J16" s="14">
        <f t="shared" si="54"/>
        <v>2579.3903420523138</v>
      </c>
      <c r="L16" s="72">
        <f>'Bayesian Sum (10Feb26)'!K11</f>
        <v>11764</v>
      </c>
      <c r="M16" s="73">
        <f t="shared" si="28"/>
        <v>5.9078544712682764E-2</v>
      </c>
      <c r="N16" s="56">
        <f>'Data-Coastal-Chin-Esc (new)'!J23</f>
        <v>624.49855064251199</v>
      </c>
      <c r="O16" s="74">
        <f t="shared" si="55"/>
        <v>0</v>
      </c>
      <c r="P16" s="14"/>
      <c r="R16" s="18" t="s">
        <v>106</v>
      </c>
      <c r="S16" s="5">
        <f>'A6-Chin (NEW2+Khutz)'!S16-'A6b-Chin (LN&amp;CoastalCU)'!S16</f>
        <v>4723.4522262872752</v>
      </c>
      <c r="T16" s="14">
        <f t="shared" si="56"/>
        <v>4723.4522262872752</v>
      </c>
      <c r="U16" s="73"/>
      <c r="V16" s="14">
        <f t="shared" si="3"/>
        <v>9184.6096579476871</v>
      </c>
      <c r="X16" s="14">
        <f t="shared" si="29"/>
        <v>72</v>
      </c>
      <c r="Y16" s="14">
        <f t="shared" si="30"/>
        <v>695</v>
      </c>
      <c r="Z16" s="14">
        <f t="shared" si="30"/>
        <v>6535.842568339589</v>
      </c>
      <c r="AA16" s="14">
        <f t="shared" si="4"/>
        <v>7302.842568339589</v>
      </c>
      <c r="AC16" s="14">
        <f>'A6-Chin (NEW2+Khutz)'!AC16-'A6b-Chin (LN&amp;CoastalCU)'!AC16</f>
        <v>2878.8807686198315</v>
      </c>
      <c r="AD16" s="14">
        <f>'A6-Chin (NEW2+Khutz)'!AD16-'A6b-Chin (LN&amp;CoastalCU)'!AD16</f>
        <v>1689.624859415052</v>
      </c>
      <c r="AE16" s="14">
        <f t="shared" si="57"/>
        <v>4568.5056280348836</v>
      </c>
      <c r="AJ16" s="14">
        <f t="shared" si="58"/>
        <v>21055.957854322161</v>
      </c>
      <c r="AK16" s="122">
        <f>'A6-Chin (NEW2+Khutz)'!AK16-'A6b-Chin (LN&amp;CoastalCU)'!AL16</f>
        <v>974.50633084182948</v>
      </c>
      <c r="AL16" s="14">
        <f t="shared" si="59"/>
        <v>22030.46418516399</v>
      </c>
      <c r="AM16" s="14"/>
      <c r="AN16" s="14">
        <f>'[1]Data-FW Catch Rates - new'!CE10</f>
        <v>9910.0909090909081</v>
      </c>
      <c r="AO16" s="76">
        <f t="shared" si="31"/>
        <v>7.2653218482538464E-3</v>
      </c>
      <c r="AP16" s="60">
        <f t="shared" si="32"/>
        <v>5</v>
      </c>
      <c r="AQ16" s="59"/>
      <c r="AR16" s="77">
        <f t="shared" si="33"/>
        <v>0.58309504598941253</v>
      </c>
      <c r="AS16" s="61">
        <f t="shared" si="60"/>
        <v>0.15406242281981586</v>
      </c>
      <c r="AT16" s="61">
        <f t="shared" si="34"/>
        <v>5.9078544712682764E-2</v>
      </c>
      <c r="AU16" s="61">
        <f t="shared" si="35"/>
        <v>0.21926133475453194</v>
      </c>
      <c r="AV16" s="61"/>
      <c r="AW16" s="33"/>
      <c r="AX16" s="61">
        <f t="shared" si="36"/>
        <v>0.29667293949897938</v>
      </c>
      <c r="AY16" s="61">
        <f t="shared" si="37"/>
        <v>0.13067726328519944</v>
      </c>
      <c r="AZ16" s="61">
        <f t="shared" si="38"/>
        <v>0.10824215229295685</v>
      </c>
      <c r="BA16" s="61">
        <f t="shared" si="39"/>
        <v>3.2682016772250795E-3</v>
      </c>
      <c r="BB16" s="61">
        <f t="shared" si="61"/>
        <v>0.53886055675436073</v>
      </c>
      <c r="BC16" s="61">
        <f t="shared" si="62"/>
        <v>4.4234489235051744E-2</v>
      </c>
      <c r="BD16" s="78">
        <f t="shared" si="40"/>
        <v>0.58309504598941253</v>
      </c>
      <c r="BE16" s="17"/>
      <c r="BF16" s="17"/>
      <c r="BG16" s="22">
        <f>'[1]Data-PSC CH Tables'!C10</f>
        <v>7844</v>
      </c>
      <c r="BH16" s="22">
        <f>'[1]Data-PSC CH Tables'!AG10</f>
        <v>21709.48603573268</v>
      </c>
      <c r="BI16" s="22">
        <f>'[1]Data-PSC CH Tables'!AI10</f>
        <v>22809.48603573268</v>
      </c>
      <c r="BJ16" s="17"/>
      <c r="BK16" s="22">
        <f t="shared" si="63"/>
        <v>-1340.6096579476871</v>
      </c>
      <c r="BL16" s="22">
        <f t="shared" si="64"/>
        <v>653.5281814105183</v>
      </c>
      <c r="BM16" s="22">
        <f t="shared" si="65"/>
        <v>779.02185056868984</v>
      </c>
      <c r="BO16" s="33"/>
      <c r="BP16" s="33"/>
      <c r="BQ16" s="33"/>
      <c r="BS16" s="62">
        <f t="shared" si="66"/>
        <v>2878.8807686198315</v>
      </c>
      <c r="BT16" s="62">
        <f t="shared" si="10"/>
        <v>6535.842568339589</v>
      </c>
      <c r="BU16" s="62">
        <f t="shared" si="11"/>
        <v>72</v>
      </c>
      <c r="BV16" s="62">
        <f t="shared" si="12"/>
        <v>1689.624859415052</v>
      </c>
      <c r="BW16" s="62">
        <f t="shared" si="13"/>
        <v>695</v>
      </c>
      <c r="BX16" s="62">
        <f t="shared" si="67"/>
        <v>11871.348196374474</v>
      </c>
      <c r="BY16" s="62">
        <f t="shared" si="15"/>
        <v>21055.957854322161</v>
      </c>
      <c r="BZ16" s="79">
        <f t="shared" si="68"/>
        <v>0.56379996001643018</v>
      </c>
      <c r="CA16" s="79">
        <f t="shared" si="69"/>
        <v>0.3848346078695688</v>
      </c>
      <c r="CB16" s="79">
        <f t="shared" si="70"/>
        <v>0.61516539213043109</v>
      </c>
      <c r="CC16" s="79">
        <f t="shared" si="19"/>
        <v>7.5861541852054973E-2</v>
      </c>
      <c r="CD16" s="33"/>
      <c r="CF16" s="36">
        <v>22193.531317663485</v>
      </c>
      <c r="CG16" s="36">
        <v>23293.531317663485</v>
      </c>
      <c r="CH16" s="81">
        <f t="shared" si="71"/>
        <v>1137.5734633413231</v>
      </c>
      <c r="CI16" s="36">
        <f t="shared" si="72"/>
        <v>1263.0671324994946</v>
      </c>
      <c r="CJ16" s="36">
        <v>9301.1598087303137</v>
      </c>
      <c r="CK16" s="81">
        <f t="shared" si="73"/>
        <v>-116.55015078262659</v>
      </c>
      <c r="CM16" s="33"/>
      <c r="CN16" s="82"/>
      <c r="CO16" s="82"/>
      <c r="CP16" s="82"/>
      <c r="CQ16" s="33"/>
      <c r="CR16" s="33"/>
      <c r="CS16" s="33"/>
      <c r="CT16" s="83"/>
      <c r="CU16" s="33"/>
      <c r="CV16" s="33"/>
      <c r="CW16" s="33"/>
      <c r="CX16" s="84"/>
      <c r="CY16" s="84"/>
      <c r="CZ16" s="33"/>
      <c r="DA16" s="33"/>
      <c r="DB16" s="33"/>
      <c r="DC16" s="33"/>
      <c r="DD16" s="33"/>
      <c r="DE16" s="33"/>
      <c r="DF16" s="33"/>
      <c r="DH16" s="66">
        <f t="shared" si="20"/>
        <v>0</v>
      </c>
      <c r="DK16" s="90">
        <f t="shared" si="41"/>
        <v>16487.452226287278</v>
      </c>
      <c r="DN16" s="3">
        <f t="shared" si="74"/>
        <v>1510.2855360838814</v>
      </c>
      <c r="DO16" s="86">
        <f t="shared" si="75"/>
        <v>9.1602117498536931E-2</v>
      </c>
      <c r="DP16" s="3">
        <f t="shared" si="42"/>
        <v>606.21054178941699</v>
      </c>
      <c r="DQ16" s="86">
        <f t="shared" si="76"/>
        <v>3.6767993833691691E-2</v>
      </c>
      <c r="DS16" s="14">
        <f t="shared" si="43"/>
        <v>9184.6096579476871</v>
      </c>
      <c r="DT16" s="14">
        <v>8817.1145267995089</v>
      </c>
      <c r="DU16" s="14">
        <f t="shared" si="77"/>
        <v>-367.49513114817819</v>
      </c>
      <c r="DW16" s="14">
        <f t="shared" si="44"/>
        <v>21055.957854322161</v>
      </c>
      <c r="DX16" s="14">
        <v>21637.48603573268</v>
      </c>
      <c r="DY16" s="14">
        <f t="shared" si="78"/>
        <v>581.5281814105183</v>
      </c>
      <c r="EA16" s="3">
        <v>5409.3715089331708</v>
      </c>
      <c r="EC16" s="91">
        <f t="shared" si="45"/>
        <v>3496</v>
      </c>
      <c r="ED16" s="92">
        <f t="shared" si="79"/>
        <v>1913.3715089331708</v>
      </c>
      <c r="EE16" s="3">
        <f t="shared" si="80"/>
        <v>5409.3715089331708</v>
      </c>
      <c r="EG16" s="14">
        <f t="shared" si="46"/>
        <v>5335.5056280348836</v>
      </c>
      <c r="EI16" s="89">
        <f t="shared" si="81"/>
        <v>0</v>
      </c>
      <c r="EJ16" s="89">
        <f t="shared" si="47"/>
        <v>0</v>
      </c>
      <c r="EL16" s="67"/>
      <c r="EM16" s="67">
        <f t="shared" si="48"/>
        <v>9.1846096579476875</v>
      </c>
      <c r="EN16" s="67">
        <f t="shared" si="22"/>
        <v>6.5358425683395893</v>
      </c>
      <c r="EO16" s="67">
        <f t="shared" si="23"/>
        <v>5.3355056280348832</v>
      </c>
      <c r="EP16" s="67">
        <f t="shared" si="24"/>
        <v>0.97450633084182947</v>
      </c>
      <c r="ET16" s="66">
        <f t="shared" si="25"/>
        <v>0.21926133475453194</v>
      </c>
      <c r="EW16" s="14">
        <f t="shared" si="27"/>
        <v>5335.5056280348854</v>
      </c>
      <c r="EY16" s="14">
        <f t="shared" si="49"/>
        <v>767</v>
      </c>
      <c r="EZ16" s="14" t="e">
        <f t="shared" si="50"/>
        <v>#VALUE!</v>
      </c>
      <c r="FB16" s="14">
        <f t="shared" si="51"/>
        <v>22030.46418516399</v>
      </c>
      <c r="FC16" s="66">
        <f t="shared" si="52"/>
        <v>1</v>
      </c>
      <c r="FE16" s="14">
        <f t="shared" si="26"/>
        <v>12000</v>
      </c>
    </row>
    <row r="17" spans="2:161" x14ac:dyDescent="0.2">
      <c r="B17" s="4">
        <v>1996</v>
      </c>
      <c r="C17" s="71">
        <f t="shared" si="53"/>
        <v>21721.665471087395</v>
      </c>
      <c r="D17" s="71">
        <f t="shared" si="82"/>
        <v>18211.665471087395</v>
      </c>
      <c r="E17" s="71">
        <f>'Bayesian Sum (10Feb26)'!H12</f>
        <v>3510</v>
      </c>
      <c r="G17" s="14">
        <f>'[1]Data-Nisgaa &amp; Other FN Catch'!BI9</f>
        <v>49</v>
      </c>
      <c r="H17" s="14">
        <v>477</v>
      </c>
      <c r="I17" s="14">
        <f>'Data-Chin-Nisga''a'!N11</f>
        <v>1834.3345289126059</v>
      </c>
      <c r="J17" s="14">
        <f t="shared" si="54"/>
        <v>2360.3345289126059</v>
      </c>
      <c r="L17" s="72">
        <f>'Bayesian Sum (10Feb26)'!K12</f>
        <v>24082</v>
      </c>
      <c r="M17" s="73">
        <f t="shared" si="28"/>
        <v>1.9807324973008886E-2</v>
      </c>
      <c r="N17" s="56">
        <f>'Data-Coastal-Chin-Esc (new)'!J24</f>
        <v>710.81135845489166</v>
      </c>
      <c r="O17" s="74">
        <f t="shared" si="55"/>
        <v>0</v>
      </c>
      <c r="P17" s="14"/>
      <c r="R17" s="18" t="s">
        <v>106</v>
      </c>
      <c r="S17" s="5">
        <f>'A6-Chin (NEW2+Khutz)'!S17-'A6b-Chin (LN&amp;CoastalCU)'!S17</f>
        <v>5639.2441389868818</v>
      </c>
      <c r="T17" s="14">
        <f t="shared" si="56"/>
        <v>5639.2441389868818</v>
      </c>
      <c r="U17" s="73"/>
      <c r="V17" s="14">
        <f t="shared" si="3"/>
        <v>21721.665471087395</v>
      </c>
      <c r="X17" s="14">
        <f t="shared" si="29"/>
        <v>49</v>
      </c>
      <c r="Y17" s="14">
        <f t="shared" si="30"/>
        <v>477</v>
      </c>
      <c r="Z17" s="14">
        <f t="shared" si="30"/>
        <v>7473.5786678994882</v>
      </c>
      <c r="AA17" s="14">
        <f t="shared" si="4"/>
        <v>7999.5786678994882</v>
      </c>
      <c r="AC17" s="14">
        <f>'A6-Chin (NEW2+Khutz)'!AC17-'A6b-Chin (LN&amp;CoastalCU)'!AC17</f>
        <v>5955.6987076703726</v>
      </c>
      <c r="AD17" s="14">
        <f>'A6-Chin (NEW2+Khutz)'!AD17-'A6b-Chin (LN&amp;CoastalCU)'!AD17</f>
        <v>3495.4197135750878</v>
      </c>
      <c r="AE17" s="14">
        <f t="shared" si="57"/>
        <v>9451.1184212454609</v>
      </c>
      <c r="AJ17" s="14">
        <f t="shared" si="58"/>
        <v>39172.362560232345</v>
      </c>
      <c r="AK17" s="122">
        <f>'A6-Chin (NEW2+Khutz)'!AK17-'A6b-Chin (LN&amp;CoastalCU)'!AL17</f>
        <v>1845.6718569152927</v>
      </c>
      <c r="AL17" s="14">
        <f t="shared" si="59"/>
        <v>41018.034417147639</v>
      </c>
      <c r="AM17" s="14"/>
      <c r="AN17" s="14">
        <f>'[1]Data-FW Catch Rates - new'!CE11</f>
        <v>21794.384615384617</v>
      </c>
      <c r="AO17" s="76">
        <f t="shared" si="31"/>
        <v>2.248285549912292E-3</v>
      </c>
      <c r="AP17" s="60">
        <f t="shared" si="32"/>
        <v>26</v>
      </c>
      <c r="AQ17" s="59"/>
      <c r="AR17" s="77">
        <f t="shared" si="33"/>
        <v>0.47043621714826417</v>
      </c>
      <c r="AS17" s="61">
        <f t="shared" si="60"/>
        <v>7.6170356652794868E-2</v>
      </c>
      <c r="AT17" s="61">
        <f t="shared" si="34"/>
        <v>1.9807324973008886E-2</v>
      </c>
      <c r="AU17" s="61">
        <f t="shared" si="35"/>
        <v>9.8012396350494385E-2</v>
      </c>
      <c r="AV17" s="61"/>
      <c r="AW17" s="33"/>
      <c r="AX17" s="61">
        <f t="shared" si="36"/>
        <v>0.18220226234865972</v>
      </c>
      <c r="AY17" s="61">
        <f t="shared" si="37"/>
        <v>0.14519707714664615</v>
      </c>
      <c r="AZ17" s="61">
        <f t="shared" si="38"/>
        <v>9.6845686781968587E-2</v>
      </c>
      <c r="BA17" s="61">
        <f t="shared" si="39"/>
        <v>1.1945964914280606E-3</v>
      </c>
      <c r="BB17" s="61">
        <f t="shared" si="61"/>
        <v>0.42543962276870256</v>
      </c>
      <c r="BC17" s="61">
        <f t="shared" si="62"/>
        <v>4.4996594379561675E-2</v>
      </c>
      <c r="BD17" s="78">
        <f t="shared" si="40"/>
        <v>0.47043621714826417</v>
      </c>
      <c r="BE17" s="17"/>
      <c r="BF17" s="17"/>
      <c r="BG17" s="22">
        <f>'[1]Data-PSC CH Tables'!C11</f>
        <v>21842</v>
      </c>
      <c r="BH17" s="22">
        <f>'[1]Data-PSC CH Tables'!AG11</f>
        <v>41551.146707338012</v>
      </c>
      <c r="BI17" s="22">
        <f>'[1]Data-PSC CH Tables'!AI11</f>
        <v>43651.146707338012</v>
      </c>
      <c r="BJ17" s="17"/>
      <c r="BK17" s="22">
        <f t="shared" si="63"/>
        <v>120.33452891260458</v>
      </c>
      <c r="BL17" s="22">
        <f t="shared" si="64"/>
        <v>2378.7841471056672</v>
      </c>
      <c r="BM17" s="22">
        <f t="shared" si="65"/>
        <v>2633.1122901903727</v>
      </c>
      <c r="BO17" s="33"/>
      <c r="BP17" s="33"/>
      <c r="BQ17" s="33"/>
      <c r="BS17" s="62">
        <f t="shared" si="66"/>
        <v>5955.6987076703726</v>
      </c>
      <c r="BT17" s="62">
        <f t="shared" si="10"/>
        <v>7473.5786678994882</v>
      </c>
      <c r="BU17" s="62">
        <f t="shared" si="11"/>
        <v>49</v>
      </c>
      <c r="BV17" s="62">
        <f t="shared" si="12"/>
        <v>3495.4197135750878</v>
      </c>
      <c r="BW17" s="62">
        <f t="shared" si="13"/>
        <v>477</v>
      </c>
      <c r="BX17" s="62">
        <f t="shared" si="67"/>
        <v>17450.697089144949</v>
      </c>
      <c r="BY17" s="62">
        <f t="shared" si="15"/>
        <v>39172.362560232345</v>
      </c>
      <c r="BZ17" s="79">
        <f t="shared" si="68"/>
        <v>0.44548492734673195</v>
      </c>
      <c r="CA17" s="79">
        <f t="shared" si="69"/>
        <v>0.54158973552549061</v>
      </c>
      <c r="CB17" s="79">
        <f t="shared" si="70"/>
        <v>0.45841026447450944</v>
      </c>
      <c r="CC17" s="79">
        <f t="shared" si="19"/>
        <v>9.5648661262362808E-2</v>
      </c>
      <c r="CD17" s="33"/>
      <c r="CF17" s="36">
        <v>42102.092556690142</v>
      </c>
      <c r="CG17" s="36">
        <v>44202.092556690142</v>
      </c>
      <c r="CH17" s="81">
        <f t="shared" si="71"/>
        <v>2929.7299964577978</v>
      </c>
      <c r="CI17" s="36">
        <f t="shared" si="72"/>
        <v>3184.0581395425033</v>
      </c>
      <c r="CJ17" s="36">
        <v>23500.555879855641</v>
      </c>
      <c r="CK17" s="81">
        <f t="shared" si="73"/>
        <v>-1778.8904087682458</v>
      </c>
      <c r="CM17" s="33"/>
      <c r="CN17" s="82"/>
      <c r="CO17" s="82"/>
      <c r="CP17" s="82"/>
      <c r="CQ17" s="33"/>
      <c r="CR17" s="33"/>
      <c r="CS17" s="33"/>
      <c r="CT17" s="83"/>
      <c r="CU17" s="33"/>
      <c r="CV17" s="33"/>
      <c r="CW17" s="33"/>
      <c r="CX17" s="84"/>
      <c r="CY17" s="84"/>
      <c r="CZ17" s="33"/>
      <c r="DA17" s="33"/>
      <c r="DB17" s="33"/>
      <c r="DC17" s="33"/>
      <c r="DD17" s="33"/>
      <c r="DE17" s="33"/>
      <c r="DF17" s="33"/>
      <c r="DH17" s="66">
        <f t="shared" si="20"/>
        <v>0</v>
      </c>
      <c r="DK17" s="90">
        <f t="shared" si="41"/>
        <v>29721.244138986884</v>
      </c>
      <c r="DN17" s="3">
        <f t="shared" si="74"/>
        <v>2722.5288978221788</v>
      </c>
      <c r="DO17" s="86">
        <f t="shared" si="75"/>
        <v>9.1602117498536931E-2</v>
      </c>
      <c r="DP17" s="3">
        <f t="shared" si="42"/>
        <v>1092.7905212319151</v>
      </c>
      <c r="DQ17" s="86">
        <f t="shared" si="76"/>
        <v>3.6767993833691691E-2</v>
      </c>
      <c r="DS17" s="14">
        <f t="shared" si="43"/>
        <v>21721.665471087395</v>
      </c>
      <c r="DT17" s="14">
        <v>22949.610030503507</v>
      </c>
      <c r="DU17" s="14">
        <f t="shared" si="77"/>
        <v>1227.9445594161116</v>
      </c>
      <c r="DW17" s="14">
        <f t="shared" si="44"/>
        <v>39172.362560232345</v>
      </c>
      <c r="DX17" s="14">
        <v>41502.146707338012</v>
      </c>
      <c r="DY17" s="14">
        <f t="shared" si="78"/>
        <v>2329.7841471056672</v>
      </c>
      <c r="EA17" s="3">
        <v>10375.536676834505</v>
      </c>
      <c r="EC17" s="91">
        <f t="shared" si="45"/>
        <v>6706</v>
      </c>
      <c r="ED17" s="92">
        <f t="shared" si="79"/>
        <v>3669.5366768345048</v>
      </c>
      <c r="EE17" s="3">
        <f t="shared" si="80"/>
        <v>10375.536676834505</v>
      </c>
      <c r="EG17" s="14">
        <f t="shared" si="46"/>
        <v>9977.1184212454609</v>
      </c>
      <c r="EI17" s="89">
        <f t="shared" si="81"/>
        <v>0</v>
      </c>
      <c r="EJ17" s="89">
        <f t="shared" si="47"/>
        <v>0</v>
      </c>
      <c r="EL17" s="67"/>
      <c r="EM17" s="67">
        <f t="shared" si="48"/>
        <v>21.721665471087395</v>
      </c>
      <c r="EN17" s="67">
        <f t="shared" si="22"/>
        <v>7.4735786678994884</v>
      </c>
      <c r="EO17" s="67">
        <f t="shared" si="23"/>
        <v>9.9771184212454607</v>
      </c>
      <c r="EP17" s="67">
        <f t="shared" si="24"/>
        <v>1.8456718569152926</v>
      </c>
      <c r="ET17" s="66">
        <f t="shared" si="25"/>
        <v>9.8012396350494385E-2</v>
      </c>
      <c r="EW17" s="14">
        <f t="shared" si="27"/>
        <v>9977.1184212454609</v>
      </c>
      <c r="EY17" s="14">
        <f t="shared" si="49"/>
        <v>526</v>
      </c>
      <c r="EZ17" s="14" t="e">
        <f t="shared" si="50"/>
        <v>#VALUE!</v>
      </c>
      <c r="FB17" s="14">
        <f t="shared" si="51"/>
        <v>41018.034417147632</v>
      </c>
      <c r="FC17" s="66">
        <f t="shared" si="52"/>
        <v>1</v>
      </c>
      <c r="FE17" s="14">
        <f t="shared" si="26"/>
        <v>24000</v>
      </c>
    </row>
    <row r="18" spans="2:161" x14ac:dyDescent="0.2">
      <c r="B18" s="4">
        <v>1997</v>
      </c>
      <c r="C18" s="71">
        <f t="shared" si="53"/>
        <v>21372.273291925467</v>
      </c>
      <c r="D18" s="71">
        <f t="shared" si="82"/>
        <v>17879.273291925467</v>
      </c>
      <c r="E18" s="71">
        <f>'Bayesian Sum (10Feb26)'!H13</f>
        <v>3493</v>
      </c>
      <c r="G18" s="14">
        <f>'[1]Data-Nisgaa &amp; Other FN Catch'!BI10</f>
        <v>41</v>
      </c>
      <c r="H18" s="14">
        <v>203</v>
      </c>
      <c r="I18" s="14">
        <f>'Data-Chin-Nisga''a'!N12</f>
        <v>1876.7267080745341</v>
      </c>
      <c r="J18" s="14">
        <f t="shared" si="54"/>
        <v>2120.7267080745341</v>
      </c>
      <c r="L18" s="72">
        <f>'Bayesian Sum (10Feb26)'!K13</f>
        <v>23493</v>
      </c>
      <c r="M18" s="73">
        <f t="shared" si="28"/>
        <v>8.6408717490316263E-3</v>
      </c>
      <c r="N18" s="56">
        <f>'Data-Coastal-Chin-Esc (new)'!J25</f>
        <v>688.34560801498151</v>
      </c>
      <c r="O18" s="74">
        <f t="shared" si="55"/>
        <v>0</v>
      </c>
      <c r="P18" s="14"/>
      <c r="R18" s="18" t="s">
        <v>106</v>
      </c>
      <c r="S18" s="5">
        <f>'A6-Chin (NEW2+Khutz)'!S18-'A6b-Chin (LN&amp;CoastalCU)'!S18</f>
        <v>4508.8873040088256</v>
      </c>
      <c r="T18" s="14">
        <f t="shared" si="56"/>
        <v>4508.8873040088256</v>
      </c>
      <c r="U18" s="73"/>
      <c r="V18" s="14">
        <f t="shared" si="3"/>
        <v>21372.273291925467</v>
      </c>
      <c r="X18" s="14">
        <f t="shared" si="29"/>
        <v>41</v>
      </c>
      <c r="Y18" s="14">
        <f t="shared" si="30"/>
        <v>203</v>
      </c>
      <c r="Z18" s="14">
        <f t="shared" si="30"/>
        <v>6385.6140120833597</v>
      </c>
      <c r="AA18" s="14">
        <f t="shared" si="4"/>
        <v>6629.6140120833597</v>
      </c>
      <c r="AC18" s="14">
        <f>'A6-Chin (NEW2+Khutz)'!AC18-'A6b-Chin (LN&amp;CoastalCU)'!AC18</f>
        <v>4967.8024990784334</v>
      </c>
      <c r="AD18" s="14">
        <f>'A6-Chin (NEW2+Khutz)'!AD18-'A6b-Chin (LN&amp;CoastalCU)'!AD18</f>
        <v>2915.6200877090118</v>
      </c>
      <c r="AE18" s="14">
        <f t="shared" si="57"/>
        <v>7883.4225867874447</v>
      </c>
      <c r="AJ18" s="14">
        <f t="shared" si="58"/>
        <v>35885.30989079627</v>
      </c>
      <c r="AK18" s="122">
        <f>'A6-Chin (NEW2+Khutz)'!AK18-'A6b-Chin (LN&amp;CoastalCU)'!AL18</f>
        <v>1691.5659329150374</v>
      </c>
      <c r="AL18" s="14">
        <f t="shared" si="59"/>
        <v>37576.875823711307</v>
      </c>
      <c r="AM18" s="14"/>
      <c r="AN18" s="14">
        <f>'[1]Data-FW Catch Rates - new'!CE12</f>
        <v>18702</v>
      </c>
      <c r="AO18" s="76">
        <f t="shared" si="31"/>
        <v>2.1922789006523368E-3</v>
      </c>
      <c r="AP18" s="60">
        <f t="shared" si="32"/>
        <v>24</v>
      </c>
      <c r="AQ18" s="59"/>
      <c r="AR18" s="77">
        <f t="shared" si="33"/>
        <v>0.43123868540344718</v>
      </c>
      <c r="AS18" s="61">
        <f t="shared" si="60"/>
        <v>7.9884506366770275E-2</v>
      </c>
      <c r="AT18" s="61">
        <f t="shared" si="34"/>
        <v>8.6408717490316263E-3</v>
      </c>
      <c r="AU18" s="61">
        <f t="shared" si="35"/>
        <v>9.0270578813882188E-2</v>
      </c>
      <c r="AV18" s="61"/>
      <c r="AW18" s="33"/>
      <c r="AX18" s="61">
        <f t="shared" si="36"/>
        <v>0.16993467051494437</v>
      </c>
      <c r="AY18" s="61">
        <f t="shared" si="37"/>
        <v>0.13220371279359289</v>
      </c>
      <c r="AZ18" s="61">
        <f t="shared" si="38"/>
        <v>8.2993064733208555E-2</v>
      </c>
      <c r="BA18" s="61">
        <f t="shared" si="39"/>
        <v>1.0910965614158023E-3</v>
      </c>
      <c r="BB18" s="61">
        <f t="shared" si="61"/>
        <v>0.38622254460316158</v>
      </c>
      <c r="BC18" s="61">
        <f t="shared" si="62"/>
        <v>4.5016140800285633E-2</v>
      </c>
      <c r="BD18" s="78">
        <f t="shared" si="40"/>
        <v>0.43123868540344718</v>
      </c>
      <c r="BE18" s="17"/>
      <c r="BF18" s="17"/>
      <c r="BG18" s="22">
        <f>'[1]Data-PSC CH Tables'!C12</f>
        <v>18702</v>
      </c>
      <c r="BH18" s="22">
        <f>'[1]Data-PSC CH Tables'!AG12</f>
        <v>36275.172460346294</v>
      </c>
      <c r="BI18" s="22">
        <f>'[1]Data-PSC CH Tables'!AI12</f>
        <v>38075.172460346294</v>
      </c>
      <c r="BJ18" s="17"/>
      <c r="BK18" s="22">
        <f t="shared" si="63"/>
        <v>-2670.2732919254668</v>
      </c>
      <c r="BL18" s="22">
        <f t="shared" si="64"/>
        <v>389.86256955002318</v>
      </c>
      <c r="BM18" s="22">
        <f t="shared" si="65"/>
        <v>498.2966366349865</v>
      </c>
      <c r="BO18" s="33"/>
      <c r="BP18" s="33"/>
      <c r="BQ18" s="33"/>
      <c r="BS18" s="62">
        <f t="shared" si="66"/>
        <v>4967.8024990784334</v>
      </c>
      <c r="BT18" s="62">
        <f t="shared" si="10"/>
        <v>6385.6140120833597</v>
      </c>
      <c r="BU18" s="62">
        <f t="shared" si="11"/>
        <v>41</v>
      </c>
      <c r="BV18" s="62">
        <f t="shared" si="12"/>
        <v>2915.6200877090118</v>
      </c>
      <c r="BW18" s="62">
        <f t="shared" si="13"/>
        <v>203</v>
      </c>
      <c r="BX18" s="62">
        <f t="shared" si="67"/>
        <v>14513.036598870805</v>
      </c>
      <c r="BY18" s="62">
        <f t="shared" si="15"/>
        <v>35885.30989079627</v>
      </c>
      <c r="BZ18" s="79">
        <f t="shared" si="68"/>
        <v>0.4044283480632016</v>
      </c>
      <c r="CA18" s="79">
        <f t="shared" si="69"/>
        <v>0.54319594201263288</v>
      </c>
      <c r="CB18" s="79">
        <f t="shared" si="70"/>
        <v>0.45680405798736706</v>
      </c>
      <c r="CC18" s="79">
        <f t="shared" si="19"/>
        <v>0.10438799283086253</v>
      </c>
      <c r="CD18" s="33"/>
      <c r="CF18" s="36">
        <v>37145.537539580298</v>
      </c>
      <c r="CG18" s="36">
        <v>39045.537539580298</v>
      </c>
      <c r="CH18" s="81">
        <f t="shared" si="71"/>
        <v>1260.2276487840281</v>
      </c>
      <c r="CI18" s="36">
        <f t="shared" si="72"/>
        <v>1468.6617158689915</v>
      </c>
      <c r="CJ18" s="36">
        <v>21207.660036087051</v>
      </c>
      <c r="CK18" s="81">
        <f t="shared" si="73"/>
        <v>164.61325583841608</v>
      </c>
      <c r="CM18" s="33"/>
      <c r="CN18" s="82"/>
      <c r="CO18" s="82"/>
      <c r="CP18" s="82"/>
      <c r="CQ18" s="33"/>
      <c r="CR18" s="33"/>
      <c r="CS18" s="33"/>
      <c r="CT18" s="83"/>
      <c r="CU18" s="33"/>
      <c r="CV18" s="33"/>
      <c r="CW18" s="33"/>
      <c r="CX18" s="84"/>
      <c r="CY18" s="84"/>
      <c r="CZ18" s="33"/>
      <c r="DA18" s="33"/>
      <c r="DB18" s="33"/>
      <c r="DC18" s="33"/>
      <c r="DD18" s="33"/>
      <c r="DE18" s="33"/>
      <c r="DF18" s="33"/>
      <c r="DH18" s="66">
        <f t="shared" si="20"/>
        <v>0</v>
      </c>
      <c r="DK18" s="90">
        <f t="shared" si="41"/>
        <v>28001.887304008826</v>
      </c>
      <c r="DN18" s="3">
        <f t="shared" si="74"/>
        <v>2565.032171002606</v>
      </c>
      <c r="DO18" s="86">
        <f t="shared" si="75"/>
        <v>9.1602117498536931E-2</v>
      </c>
      <c r="DP18" s="3">
        <f t="shared" si="42"/>
        <v>1029.5732197255261</v>
      </c>
      <c r="DQ18" s="86">
        <f t="shared" si="76"/>
        <v>3.6767993833691691E-2</v>
      </c>
      <c r="DS18" s="14">
        <f t="shared" si="43"/>
        <v>21372.273291925467</v>
      </c>
      <c r="DT18" s="14">
        <v>19892.63251047974</v>
      </c>
      <c r="DU18" s="14">
        <f t="shared" si="77"/>
        <v>-1479.640781445727</v>
      </c>
      <c r="DW18" s="14">
        <f t="shared" si="44"/>
        <v>35885.30989079627</v>
      </c>
      <c r="DX18" s="14">
        <v>35955.510013972984</v>
      </c>
      <c r="DY18" s="14">
        <f t="shared" si="78"/>
        <v>70.200123176713532</v>
      </c>
      <c r="EA18" s="3">
        <v>8988.8775034932441</v>
      </c>
      <c r="EC18" s="91">
        <f t="shared" si="45"/>
        <v>5810</v>
      </c>
      <c r="ED18" s="92">
        <f t="shared" si="79"/>
        <v>3178.8775034932441</v>
      </c>
      <c r="EE18" s="3">
        <f t="shared" si="80"/>
        <v>8988.8775034932441</v>
      </c>
      <c r="EG18" s="14">
        <f t="shared" si="46"/>
        <v>8127.4225867874447</v>
      </c>
      <c r="EI18" s="89">
        <f t="shared" si="81"/>
        <v>0</v>
      </c>
      <c r="EJ18" s="89">
        <f t="shared" si="47"/>
        <v>0</v>
      </c>
      <c r="EL18" s="67"/>
      <c r="EM18" s="67">
        <f t="shared" si="48"/>
        <v>21.372273291925467</v>
      </c>
      <c r="EN18" s="67">
        <f t="shared" si="22"/>
        <v>6.3856140120833595</v>
      </c>
      <c r="EO18" s="67">
        <f t="shared" si="23"/>
        <v>8.1274225867874446</v>
      </c>
      <c r="EP18" s="67">
        <f t="shared" si="24"/>
        <v>1.6915659329150374</v>
      </c>
      <c r="ET18" s="66">
        <f t="shared" si="25"/>
        <v>9.0270578813882188E-2</v>
      </c>
      <c r="EW18" s="14">
        <f t="shared" si="27"/>
        <v>8127.4225867874457</v>
      </c>
      <c r="EY18" s="14">
        <f t="shared" si="49"/>
        <v>244</v>
      </c>
      <c r="EZ18" s="14" t="e">
        <f t="shared" si="50"/>
        <v>#VALUE!</v>
      </c>
      <c r="FB18" s="14">
        <f t="shared" si="51"/>
        <v>37576.875823711307</v>
      </c>
      <c r="FC18" s="66">
        <f t="shared" si="52"/>
        <v>1</v>
      </c>
      <c r="FE18" s="14">
        <f t="shared" si="26"/>
        <v>23000</v>
      </c>
    </row>
    <row r="19" spans="2:161" x14ac:dyDescent="0.2">
      <c r="B19" s="4">
        <v>1998</v>
      </c>
      <c r="C19" s="71">
        <f t="shared" si="53"/>
        <v>24908</v>
      </c>
      <c r="D19" s="71">
        <f t="shared" si="82"/>
        <v>20875</v>
      </c>
      <c r="E19" s="71">
        <f>'Bayesian Sum (10Feb26)'!H14</f>
        <v>4033</v>
      </c>
      <c r="G19" s="14">
        <f>'[1]Data-Nisgaa &amp; Other FN Catch'!BI11</f>
        <v>345</v>
      </c>
      <c r="H19" s="14">
        <v>196</v>
      </c>
      <c r="I19" s="14">
        <f>'Data-Chin-Nisga''a'!N13</f>
        <v>1595</v>
      </c>
      <c r="J19" s="14">
        <f t="shared" si="54"/>
        <v>2136</v>
      </c>
      <c r="L19" s="72">
        <f>'Bayesian Sum (10Feb26)'!K14</f>
        <v>27044</v>
      </c>
      <c r="M19" s="73">
        <f t="shared" si="28"/>
        <v>7.2474486022777694E-3</v>
      </c>
      <c r="N19" s="56">
        <f>'Data-Coastal-Chin-Esc (new)'!J26</f>
        <v>1101.879590817676</v>
      </c>
      <c r="O19" s="74">
        <f t="shared" si="55"/>
        <v>0</v>
      </c>
      <c r="P19" s="14"/>
      <c r="R19" s="18" t="s">
        <v>106</v>
      </c>
      <c r="S19" s="5">
        <f>'A6-Chin (NEW2+Khutz)'!S19-'A6b-Chin (LN&amp;CoastalCU)'!S19</f>
        <v>7171.1346122711311</v>
      </c>
      <c r="T19" s="14">
        <f t="shared" si="56"/>
        <v>7171.1346122711311</v>
      </c>
      <c r="U19" s="73"/>
      <c r="V19" s="14">
        <f t="shared" si="3"/>
        <v>24908</v>
      </c>
      <c r="X19" s="14">
        <f t="shared" si="29"/>
        <v>345</v>
      </c>
      <c r="Y19" s="14">
        <f t="shared" si="30"/>
        <v>196</v>
      </c>
      <c r="Z19" s="14">
        <f t="shared" si="30"/>
        <v>8766.1346122711311</v>
      </c>
      <c r="AA19" s="14">
        <f t="shared" si="4"/>
        <v>9307.1346122711311</v>
      </c>
      <c r="AC19" s="14">
        <f>'A6-Chin (NEW2+Khutz)'!AC19-'A6b-Chin (LN&amp;CoastalCU)'!AC19</f>
        <v>6463.6493404588655</v>
      </c>
      <c r="AD19" s="14">
        <f>'A6-Chin (NEW2+Khutz)'!AD19-'A6b-Chin (LN&amp;CoastalCU)'!AD19</f>
        <v>3793.5376578366345</v>
      </c>
      <c r="AE19" s="14">
        <f t="shared" si="57"/>
        <v>10257.1869982955</v>
      </c>
      <c r="AJ19" s="14">
        <f t="shared" si="58"/>
        <v>44472.321610566636</v>
      </c>
      <c r="AK19" s="122">
        <f>'A6-Chin (NEW2+Khutz)'!AK19-'A6b-Chin (LN&amp;CoastalCU)'!AL19</f>
        <v>2099.0244903218954</v>
      </c>
      <c r="AL19" s="14">
        <f t="shared" si="59"/>
        <v>46571.346100888535</v>
      </c>
      <c r="AM19" s="14"/>
      <c r="AN19" s="14">
        <f>'[1]Data-FW Catch Rates - new'!CE13</f>
        <v>23511.997674418606</v>
      </c>
      <c r="AO19" s="76">
        <f t="shared" si="31"/>
        <v>1.4673359736478922E-2</v>
      </c>
      <c r="AP19" s="60">
        <f t="shared" si="32"/>
        <v>29</v>
      </c>
      <c r="AQ19" s="59"/>
      <c r="AR19" s="77">
        <f t="shared" si="33"/>
        <v>0.46516469706412905</v>
      </c>
      <c r="AS19" s="61">
        <f t="shared" si="60"/>
        <v>5.8977961839964503E-2</v>
      </c>
      <c r="AT19" s="61">
        <f t="shared" si="34"/>
        <v>7.2474486022777694E-3</v>
      </c>
      <c r="AU19" s="61">
        <f t="shared" si="35"/>
        <v>7.8982399053394464E-2</v>
      </c>
      <c r="AV19" s="61"/>
      <c r="AW19" s="33"/>
      <c r="AX19" s="61">
        <f t="shared" si="36"/>
        <v>0.18823021763813441</v>
      </c>
      <c r="AY19" s="61">
        <f t="shared" si="37"/>
        <v>0.13879026228824307</v>
      </c>
      <c r="AZ19" s="61">
        <f t="shared" si="38"/>
        <v>8.566507073242012E-2</v>
      </c>
      <c r="BA19" s="61">
        <f t="shared" si="39"/>
        <v>7.4079885784838363E-3</v>
      </c>
      <c r="BB19" s="61">
        <f t="shared" si="61"/>
        <v>0.42009353923728138</v>
      </c>
      <c r="BC19" s="61">
        <f t="shared" si="62"/>
        <v>4.5071157826847702E-2</v>
      </c>
      <c r="BD19" s="78">
        <f t="shared" si="40"/>
        <v>0.46516469706412905</v>
      </c>
      <c r="BE19" s="17"/>
      <c r="BF19" s="17"/>
      <c r="BG19" s="22">
        <f>'[1]Data-PSC CH Tables'!C13</f>
        <v>23212.997674418606</v>
      </c>
      <c r="BH19" s="22">
        <f>'[1]Data-PSC CH Tables'!AG13</f>
        <v>45693.153813391888</v>
      </c>
      <c r="BI19" s="22">
        <f>'[1]Data-PSC CH Tables'!AI13</f>
        <v>47993.153813391888</v>
      </c>
      <c r="BJ19" s="17"/>
      <c r="BK19" s="22">
        <f t="shared" si="63"/>
        <v>-1695.002325581394</v>
      </c>
      <c r="BL19" s="22">
        <f t="shared" si="64"/>
        <v>1220.8322028252514</v>
      </c>
      <c r="BM19" s="22">
        <f t="shared" si="65"/>
        <v>1421.8077125033524</v>
      </c>
      <c r="BO19" s="33"/>
      <c r="BP19" s="33"/>
      <c r="BQ19" s="33"/>
      <c r="BS19" s="62">
        <f t="shared" si="66"/>
        <v>6463.6493404588655</v>
      </c>
      <c r="BT19" s="62">
        <f t="shared" si="10"/>
        <v>8766.1346122711311</v>
      </c>
      <c r="BU19" s="62">
        <f t="shared" si="11"/>
        <v>345</v>
      </c>
      <c r="BV19" s="62">
        <f t="shared" si="12"/>
        <v>3793.5376578366345</v>
      </c>
      <c r="BW19" s="62">
        <f t="shared" si="13"/>
        <v>196</v>
      </c>
      <c r="BX19" s="62">
        <f t="shared" si="67"/>
        <v>19564.321610566632</v>
      </c>
      <c r="BY19" s="62">
        <f t="shared" si="15"/>
        <v>44472.321610566636</v>
      </c>
      <c r="BZ19" s="79">
        <f t="shared" si="68"/>
        <v>0.43992130165559301</v>
      </c>
      <c r="CA19" s="79">
        <f t="shared" si="69"/>
        <v>0.52428022818617048</v>
      </c>
      <c r="CB19" s="79">
        <f t="shared" si="70"/>
        <v>0.47571977181382946</v>
      </c>
      <c r="CC19" s="79">
        <f t="shared" si="19"/>
        <v>9.6892902903665631E-2</v>
      </c>
      <c r="CD19" s="33"/>
      <c r="CF19" s="36">
        <v>46802.082373026547</v>
      </c>
      <c r="CG19" s="36">
        <v>49202.082373026547</v>
      </c>
      <c r="CH19" s="81">
        <f t="shared" si="71"/>
        <v>2329.7607624599113</v>
      </c>
      <c r="CI19" s="36">
        <f t="shared" si="72"/>
        <v>2630.7362721380123</v>
      </c>
      <c r="CJ19" s="36">
        <v>25784.043919678574</v>
      </c>
      <c r="CK19" s="81">
        <f t="shared" si="73"/>
        <v>-876.04391967857373</v>
      </c>
      <c r="CM19" s="33"/>
      <c r="CN19" s="82"/>
      <c r="CO19" s="82"/>
      <c r="CP19" s="82"/>
      <c r="CQ19" s="33"/>
      <c r="CR19" s="33"/>
      <c r="CS19" s="33"/>
      <c r="CT19" s="83"/>
      <c r="CU19" s="33"/>
      <c r="CV19" s="33"/>
      <c r="CW19" s="33"/>
      <c r="CX19" s="84"/>
      <c r="CY19" s="84"/>
      <c r="CZ19" s="33"/>
      <c r="DA19" s="33"/>
      <c r="DB19" s="33"/>
      <c r="DC19" s="33"/>
      <c r="DD19" s="33"/>
      <c r="DE19" s="33"/>
      <c r="DF19" s="33"/>
      <c r="DH19" s="66">
        <f t="shared" si="20"/>
        <v>0</v>
      </c>
      <c r="DK19" s="90">
        <f t="shared" si="41"/>
        <v>34215.134612271133</v>
      </c>
      <c r="DN19" s="3">
        <f t="shared" si="74"/>
        <v>3134.1787809815182</v>
      </c>
      <c r="DO19" s="86">
        <f t="shared" si="75"/>
        <v>9.1602117498536931E-2</v>
      </c>
      <c r="DP19" s="3">
        <f t="shared" si="42"/>
        <v>1258.0218584429163</v>
      </c>
      <c r="DQ19" s="86">
        <f t="shared" si="76"/>
        <v>3.6767993833691691E-2</v>
      </c>
      <c r="DS19" s="14">
        <f t="shared" si="43"/>
        <v>24908</v>
      </c>
      <c r="DT19" s="14">
        <v>24675.115360043914</v>
      </c>
      <c r="DU19" s="14">
        <f t="shared" si="77"/>
        <v>-232.88463995608618</v>
      </c>
      <c r="DW19" s="14">
        <f t="shared" si="44"/>
        <v>44472.321610566636</v>
      </c>
      <c r="DX19" s="14">
        <v>45648.153813391888</v>
      </c>
      <c r="DY19" s="14">
        <f t="shared" si="78"/>
        <v>1175.8322028252514</v>
      </c>
      <c r="EA19" s="3">
        <v>11412.038453347974</v>
      </c>
      <c r="EC19" s="91">
        <f t="shared" si="45"/>
        <v>7376</v>
      </c>
      <c r="ED19" s="92">
        <f t="shared" si="79"/>
        <v>4036.0384533479737</v>
      </c>
      <c r="EE19" s="3">
        <f t="shared" si="80"/>
        <v>11412.038453347974</v>
      </c>
      <c r="EG19" s="14">
        <f t="shared" si="46"/>
        <v>10798.1869982955</v>
      </c>
      <c r="EI19" s="89">
        <f t="shared" si="81"/>
        <v>0</v>
      </c>
      <c r="EJ19" s="89">
        <f t="shared" si="47"/>
        <v>0</v>
      </c>
      <c r="EL19" s="67"/>
      <c r="EM19" s="67">
        <f t="shared" si="48"/>
        <v>24.908000000000001</v>
      </c>
      <c r="EN19" s="67">
        <f t="shared" si="22"/>
        <v>8.7661346122711308</v>
      </c>
      <c r="EO19" s="67">
        <f t="shared" si="23"/>
        <v>10.798186998295499</v>
      </c>
      <c r="EP19" s="67">
        <f t="shared" si="24"/>
        <v>2.0990244903218955</v>
      </c>
      <c r="ET19" s="66">
        <f t="shared" si="25"/>
        <v>7.8982399053394464E-2</v>
      </c>
      <c r="EW19" s="14">
        <f t="shared" si="27"/>
        <v>10798.186998295501</v>
      </c>
      <c r="EY19" s="14">
        <f t="shared" si="49"/>
        <v>541</v>
      </c>
      <c r="EZ19" s="14" t="e">
        <f t="shared" si="50"/>
        <v>#VALUE!</v>
      </c>
      <c r="FB19" s="14">
        <f t="shared" si="51"/>
        <v>46571.346100888521</v>
      </c>
      <c r="FC19" s="66">
        <f t="shared" si="52"/>
        <v>1</v>
      </c>
      <c r="FE19" s="14">
        <f t="shared" si="26"/>
        <v>27000</v>
      </c>
    </row>
    <row r="20" spans="2:161" ht="13.5" thickBot="1" x14ac:dyDescent="0.25">
      <c r="B20" s="4">
        <v>1999</v>
      </c>
      <c r="C20" s="71">
        <f t="shared" si="53"/>
        <v>13069</v>
      </c>
      <c r="D20" s="71">
        <f t="shared" si="82"/>
        <v>10844</v>
      </c>
      <c r="E20" s="71">
        <f>'Bayesian Sum (10Feb26)'!H15</f>
        <v>2225</v>
      </c>
      <c r="G20" s="14">
        <f>'[1]Data-Nisgaa &amp; Other FN Catch'!BI12</f>
        <v>193</v>
      </c>
      <c r="H20" s="14">
        <v>82</v>
      </c>
      <c r="I20" s="14">
        <f>'Data-Chin-Nisga''a'!N14</f>
        <v>1608</v>
      </c>
      <c r="J20" s="14">
        <f t="shared" si="54"/>
        <v>1883</v>
      </c>
      <c r="L20" s="72">
        <f>'Bayesian Sum (10Feb26)'!K15</f>
        <v>14952</v>
      </c>
      <c r="M20" s="73">
        <f t="shared" si="28"/>
        <v>5.484216158373462E-3</v>
      </c>
      <c r="N20" s="56">
        <f>'Data-Coastal-Chin-Esc (new)'!J27</f>
        <v>740.06838189246889</v>
      </c>
      <c r="O20" s="74">
        <f t="shared" si="55"/>
        <v>0</v>
      </c>
      <c r="P20" s="14"/>
      <c r="R20" s="18" t="s">
        <v>106</v>
      </c>
      <c r="S20" s="5">
        <f>'A6-Chin (NEW2+Khutz)'!S20-'A6b-Chin (LN&amp;CoastalCU)'!S20</f>
        <v>7100.104396321226</v>
      </c>
      <c r="T20" s="14">
        <f t="shared" si="56"/>
        <v>7100.104396321226</v>
      </c>
      <c r="U20" s="73"/>
      <c r="V20" s="14">
        <f t="shared" si="3"/>
        <v>13069</v>
      </c>
      <c r="X20" s="14">
        <f t="shared" si="29"/>
        <v>193</v>
      </c>
      <c r="Y20" s="14">
        <f t="shared" si="30"/>
        <v>82</v>
      </c>
      <c r="Z20" s="14">
        <f t="shared" si="30"/>
        <v>8708.1043963212251</v>
      </c>
      <c r="AA20" s="14">
        <f t="shared" si="4"/>
        <v>8983.1043963212251</v>
      </c>
      <c r="AC20" s="14">
        <f>'A6-Chin (NEW2+Khutz)'!AC20-'A6b-Chin (LN&amp;CoastalCU)'!AC20</f>
        <v>3966.9458570516126</v>
      </c>
      <c r="AD20" s="14">
        <f>'A6-Chin (NEW2+Khutz)'!AD20-'A6b-Chin (LN&amp;CoastalCU)'!AD20</f>
        <v>2328.2139396281013</v>
      </c>
      <c r="AE20" s="14">
        <f t="shared" si="57"/>
        <v>6295.1597966797144</v>
      </c>
      <c r="AJ20" s="14">
        <f t="shared" si="58"/>
        <v>28347.264193000941</v>
      </c>
      <c r="AK20" s="122">
        <f>'A6-Chin (NEW2+Khutz)'!AK20-'A6b-Chin (LN&amp;CoastalCU)'!AL20</f>
        <v>1351.5647718256073</v>
      </c>
      <c r="AL20" s="14">
        <f t="shared" si="59"/>
        <v>29698.828964826549</v>
      </c>
      <c r="AM20" s="14"/>
      <c r="AN20" s="14">
        <f>'[1]Data-FW Catch Rates - new'!CE14</f>
        <v>11730.176923076924</v>
      </c>
      <c r="AO20" s="76">
        <f t="shared" si="31"/>
        <v>1.6453289772663929E-2</v>
      </c>
      <c r="AP20" s="60">
        <f t="shared" si="32"/>
        <v>11</v>
      </c>
      <c r="AQ20" s="59"/>
      <c r="AR20" s="77">
        <f t="shared" si="33"/>
        <v>0.55994897928540832</v>
      </c>
      <c r="AS20" s="61">
        <f t="shared" si="60"/>
        <v>0.10754414125200643</v>
      </c>
      <c r="AT20" s="61">
        <f t="shared" si="34"/>
        <v>5.484216158373462E-3</v>
      </c>
      <c r="AU20" s="61">
        <f t="shared" si="35"/>
        <v>0.12593632958801498</v>
      </c>
      <c r="AV20" s="61"/>
      <c r="AW20" s="33"/>
      <c r="AX20" s="61">
        <f t="shared" si="36"/>
        <v>0.2932137292899516</v>
      </c>
      <c r="AY20" s="61">
        <f t="shared" si="37"/>
        <v>0.13357246717538315</v>
      </c>
      <c r="AZ20" s="61">
        <f t="shared" si="38"/>
        <v>8.1155184350285639E-2</v>
      </c>
      <c r="BA20" s="61">
        <f t="shared" si="39"/>
        <v>6.498572729200105E-3</v>
      </c>
      <c r="BB20" s="61">
        <f t="shared" si="61"/>
        <v>0.51443995354482053</v>
      </c>
      <c r="BC20" s="61">
        <f t="shared" si="62"/>
        <v>4.5509025740587843E-2</v>
      </c>
      <c r="BD20" s="78">
        <f t="shared" si="40"/>
        <v>0.55994897928540832</v>
      </c>
      <c r="BE20" s="17"/>
      <c r="BF20" s="17"/>
      <c r="BG20" s="22">
        <f>'[1]Data-PSC CH Tables'!C14</f>
        <v>11544</v>
      </c>
      <c r="BH20" s="22">
        <f>'[1]Data-PSC CH Tables'!AG14</f>
        <v>28957.359121455502</v>
      </c>
      <c r="BI20" s="22">
        <f>'[1]Data-PSC CH Tables'!AI14</f>
        <v>30457.359121455502</v>
      </c>
      <c r="BJ20" s="17"/>
      <c r="BK20" s="22">
        <f t="shared" si="63"/>
        <v>-1525</v>
      </c>
      <c r="BL20" s="22">
        <f t="shared" si="64"/>
        <v>610.09492845456043</v>
      </c>
      <c r="BM20" s="22">
        <f t="shared" si="65"/>
        <v>758.53015662895268</v>
      </c>
      <c r="BO20" s="33"/>
      <c r="BP20" s="33"/>
      <c r="BQ20" s="33"/>
      <c r="BS20" s="62">
        <f t="shared" si="66"/>
        <v>3966.9458570516126</v>
      </c>
      <c r="BT20" s="62">
        <f t="shared" si="10"/>
        <v>8708.1043963212251</v>
      </c>
      <c r="BU20" s="62">
        <f t="shared" si="11"/>
        <v>193</v>
      </c>
      <c r="BV20" s="62">
        <f t="shared" si="12"/>
        <v>2328.2139396281013</v>
      </c>
      <c r="BW20" s="62">
        <f t="shared" si="13"/>
        <v>82</v>
      </c>
      <c r="BX20" s="62">
        <f t="shared" si="67"/>
        <v>15278.264193000939</v>
      </c>
      <c r="BY20" s="62">
        <f t="shared" si="15"/>
        <v>28347.264193000941</v>
      </c>
      <c r="BZ20" s="79">
        <f t="shared" si="68"/>
        <v>0.53896785555669979</v>
      </c>
      <c r="CA20" s="79">
        <f t="shared" si="69"/>
        <v>0.41203370469032491</v>
      </c>
      <c r="CB20" s="79">
        <f t="shared" si="70"/>
        <v>0.58796629530967504</v>
      </c>
      <c r="CC20" s="79">
        <f t="shared" si="19"/>
        <v>8.127352209600458E-2</v>
      </c>
      <c r="CD20" s="33"/>
      <c r="CF20" s="36">
        <v>29702.161885389225</v>
      </c>
      <c r="CG20" s="36">
        <v>31202.161885389225</v>
      </c>
      <c r="CH20" s="81">
        <f t="shared" si="71"/>
        <v>1354.8976923882838</v>
      </c>
      <c r="CI20" s="36">
        <f t="shared" si="72"/>
        <v>1503.332920562676</v>
      </c>
      <c r="CJ20" s="36">
        <v>13270.822105025351</v>
      </c>
      <c r="CK20" s="81">
        <f t="shared" si="73"/>
        <v>-201.82210502535054</v>
      </c>
      <c r="CM20" s="33"/>
      <c r="CN20" s="82"/>
      <c r="CO20" s="82"/>
      <c r="CP20" s="82"/>
      <c r="CQ20" s="33"/>
      <c r="CR20" s="33"/>
      <c r="CS20" s="33"/>
      <c r="CT20" s="83"/>
      <c r="CU20" s="33"/>
      <c r="CV20" s="33"/>
      <c r="CW20" s="33"/>
      <c r="CX20" s="84"/>
      <c r="CY20" s="84"/>
      <c r="CZ20" s="33"/>
      <c r="DA20" s="33"/>
      <c r="DB20" s="33"/>
      <c r="DC20" s="33"/>
      <c r="DD20" s="33"/>
      <c r="DE20" s="33"/>
      <c r="DF20" s="33"/>
      <c r="DH20" s="66">
        <f t="shared" si="20"/>
        <v>0</v>
      </c>
      <c r="DK20" s="93">
        <f t="shared" si="41"/>
        <v>22052.104396321225</v>
      </c>
      <c r="DN20" s="3">
        <f t="shared" si="74"/>
        <v>2020.0194580018197</v>
      </c>
      <c r="DO20" s="86">
        <f t="shared" si="75"/>
        <v>9.1602117498536931E-2</v>
      </c>
      <c r="DP20" s="3">
        <f t="shared" si="42"/>
        <v>810.81163846386426</v>
      </c>
      <c r="DQ20" s="86">
        <f t="shared" si="76"/>
        <v>3.6767993833691691E-2</v>
      </c>
      <c r="DS20" s="14">
        <f t="shared" si="43"/>
        <v>13069</v>
      </c>
      <c r="DT20" s="14">
        <v>12526.019341091624</v>
      </c>
      <c r="DU20" s="14">
        <f t="shared" si="77"/>
        <v>-542.98065890837643</v>
      </c>
      <c r="DW20" s="14">
        <f t="shared" si="44"/>
        <v>28347.264193000941</v>
      </c>
      <c r="DX20" s="14">
        <v>28957.359121455502</v>
      </c>
      <c r="DY20" s="14">
        <f t="shared" si="78"/>
        <v>610.09492845456043</v>
      </c>
      <c r="EA20" s="3">
        <v>7239.3397803638763</v>
      </c>
      <c r="EC20" s="94">
        <f t="shared" si="45"/>
        <v>4679</v>
      </c>
      <c r="ED20" s="95">
        <f t="shared" si="79"/>
        <v>2560.3397803638763</v>
      </c>
      <c r="EE20" s="3">
        <f t="shared" si="80"/>
        <v>7239.3397803638763</v>
      </c>
      <c r="EG20" s="14">
        <f t="shared" si="46"/>
        <v>6570.1597966797144</v>
      </c>
      <c r="EI20" s="89">
        <f t="shared" si="81"/>
        <v>0</v>
      </c>
      <c r="EJ20" s="89">
        <f t="shared" si="47"/>
        <v>0</v>
      </c>
      <c r="EL20" s="67"/>
      <c r="EM20" s="67">
        <f t="shared" si="48"/>
        <v>13.069000000000001</v>
      </c>
      <c r="EN20" s="67">
        <f t="shared" si="22"/>
        <v>8.7081043963212252</v>
      </c>
      <c r="EO20" s="67">
        <f t="shared" si="23"/>
        <v>6.5701597966797145</v>
      </c>
      <c r="EP20" s="67">
        <f t="shared" si="24"/>
        <v>1.3515647718256072</v>
      </c>
      <c r="ET20" s="66">
        <f t="shared" si="25"/>
        <v>0.12593632958801498</v>
      </c>
      <c r="EW20" s="14">
        <f t="shared" si="27"/>
        <v>6570.1597966797144</v>
      </c>
      <c r="EY20" s="14">
        <f t="shared" si="49"/>
        <v>275</v>
      </c>
      <c r="EZ20" s="14" t="e">
        <f t="shared" si="50"/>
        <v>#VALUE!</v>
      </c>
      <c r="FB20" s="14">
        <f t="shared" si="51"/>
        <v>29698.828964826549</v>
      </c>
      <c r="FC20" s="66">
        <f t="shared" si="52"/>
        <v>1</v>
      </c>
      <c r="FE20" s="14">
        <f t="shared" si="26"/>
        <v>15000</v>
      </c>
    </row>
    <row r="21" spans="2:161" x14ac:dyDescent="0.2">
      <c r="B21" s="4">
        <v>2000</v>
      </c>
      <c r="C21" s="71">
        <f t="shared" si="53"/>
        <v>18085</v>
      </c>
      <c r="D21" s="71">
        <f t="shared" si="82"/>
        <v>14915</v>
      </c>
      <c r="E21" s="71">
        <f>'Bayesian Sum (10Feb26)'!H16</f>
        <v>3170</v>
      </c>
      <c r="G21" s="14">
        <f>'[1]Data-Nisgaa &amp; Other FN Catch'!BI13</f>
        <v>49</v>
      </c>
      <c r="H21" s="14">
        <f>'[1]Data-SF-FW'!U4</f>
        <v>1023</v>
      </c>
      <c r="I21" s="14">
        <f>'Data-Chin-Nisga''a'!N15</f>
        <v>2498</v>
      </c>
      <c r="J21" s="14">
        <f t="shared" si="54"/>
        <v>3570</v>
      </c>
      <c r="L21" s="72">
        <f>'Bayesian Sum (10Feb26)'!K16</f>
        <v>21655</v>
      </c>
      <c r="M21" s="73">
        <f t="shared" si="28"/>
        <v>4.724082198106673E-2</v>
      </c>
      <c r="N21" s="56">
        <f>'Data-Coastal-Chin-Esc (new)'!J28</f>
        <v>822.75788234449112</v>
      </c>
      <c r="O21" s="74">
        <f t="shared" si="55"/>
        <v>0</v>
      </c>
      <c r="P21" s="14"/>
      <c r="R21" s="5">
        <f>'A6-Chin (NEW2+Khutz)'!R21-'A6b-Chin (LN&amp;CoastalCU)'!R21</f>
        <v>187.33087311170232</v>
      </c>
      <c r="S21" s="5">
        <f>'A6-Chin (NEW2+Khutz)'!S21-'A6b-Chin (LN&amp;CoastalCU)'!S21</f>
        <v>6505</v>
      </c>
      <c r="T21" s="14">
        <f t="shared" si="56"/>
        <v>6692.3308731117022</v>
      </c>
      <c r="U21" s="73">
        <f t="shared" ref="U21:U43" si="83">R21/SUM(T21,P21)</f>
        <v>2.7991872587226092E-2</v>
      </c>
      <c r="V21" s="14">
        <f t="shared" si="3"/>
        <v>18085</v>
      </c>
      <c r="X21" s="14">
        <f t="shared" si="29"/>
        <v>49</v>
      </c>
      <c r="Y21" s="14">
        <f t="shared" si="30"/>
        <v>1210.3308731117022</v>
      </c>
      <c r="Z21" s="14">
        <f t="shared" si="30"/>
        <v>9003</v>
      </c>
      <c r="AA21" s="14">
        <f t="shared" si="4"/>
        <v>10262.330873111703</v>
      </c>
      <c r="AC21" s="14">
        <f>'A6-Chin (NEW2+Khutz)'!AC21-'A6b-Chin (LN&amp;CoastalCU)'!AC21</f>
        <v>1594.9572263880389</v>
      </c>
      <c r="AD21" s="14">
        <f>'A6-Chin (NEW2+Khutz)'!AD21-'A6b-Chin (LN&amp;CoastalCU)'!AD21</f>
        <v>861.24196342749531</v>
      </c>
      <c r="AE21" s="14">
        <f t="shared" si="57"/>
        <v>2456.1991898155343</v>
      </c>
      <c r="AJ21" s="14">
        <f t="shared" si="58"/>
        <v>30803.530062927239</v>
      </c>
      <c r="AK21" s="122">
        <f>'A6-Chin (NEW2+Khutz)'!AK21-'A6b-Chin (LN&amp;CoastalCU)'!AL21</f>
        <v>1444.0890961112618</v>
      </c>
      <c r="AL21" s="14">
        <f t="shared" si="59"/>
        <v>32247.619159038499</v>
      </c>
      <c r="AM21" s="14"/>
      <c r="AN21" s="14">
        <f>'[1]Data-FW Catch Rates - new'!CE15</f>
        <v>18488.665343866141</v>
      </c>
      <c r="AO21" s="76">
        <f t="shared" si="31"/>
        <v>2.6502724284669038E-3</v>
      </c>
      <c r="AP21" s="60">
        <f t="shared" si="32"/>
        <v>22</v>
      </c>
      <c r="AQ21" s="59"/>
      <c r="AR21" s="77">
        <f t="shared" si="33"/>
        <v>0.43918340418222596</v>
      </c>
      <c r="AS21" s="61">
        <f t="shared" si="60"/>
        <v>0.11535442161163703</v>
      </c>
      <c r="AT21" s="61">
        <f t="shared" si="34"/>
        <v>4.724082198106673E-2</v>
      </c>
      <c r="AU21" s="61">
        <f t="shared" si="35"/>
        <v>0.16485800046178711</v>
      </c>
      <c r="AV21" s="61"/>
      <c r="AW21" s="33"/>
      <c r="AX21" s="61">
        <f t="shared" si="36"/>
        <v>0.27918340127992369</v>
      </c>
      <c r="AY21" s="61">
        <f t="shared" si="37"/>
        <v>4.9459689365656548E-2</v>
      </c>
      <c r="AZ21" s="61">
        <f t="shared" si="38"/>
        <v>6.4239559091870763E-2</v>
      </c>
      <c r="BA21" s="61">
        <f t="shared" si="39"/>
        <v>1.5194920207393381E-3</v>
      </c>
      <c r="BB21" s="61">
        <f t="shared" si="61"/>
        <v>0.39440214175819033</v>
      </c>
      <c r="BC21" s="61">
        <f t="shared" si="62"/>
        <v>4.4781262424035621E-2</v>
      </c>
      <c r="BD21" s="78">
        <f t="shared" si="40"/>
        <v>0.43918340418222596</v>
      </c>
      <c r="BE21" s="17"/>
      <c r="BF21" s="17"/>
      <c r="BG21" s="22">
        <f>'[1]Data-PSC CH Tables'!C15</f>
        <v>18046.703991143764</v>
      </c>
      <c r="BH21" s="22">
        <f>'[1]Data-PSC CH Tables'!AG15</f>
        <v>32772.911392876646</v>
      </c>
      <c r="BI21" s="22">
        <f>'[1]Data-PSC CH Tables'!AI15</f>
        <v>34472.911392876646</v>
      </c>
      <c r="BJ21" s="17"/>
      <c r="BK21" s="22">
        <f t="shared" si="63"/>
        <v>-38.296008856235858</v>
      </c>
      <c r="BL21" s="22">
        <f t="shared" si="64"/>
        <v>1969.3813299494068</v>
      </c>
      <c r="BM21" s="22">
        <f t="shared" si="65"/>
        <v>2225.2922338381468</v>
      </c>
      <c r="BO21" s="33"/>
      <c r="BP21" s="33"/>
      <c r="BQ21" s="33"/>
      <c r="BS21" s="62">
        <f t="shared" si="66"/>
        <v>1594.9572263880389</v>
      </c>
      <c r="BT21" s="62">
        <f t="shared" si="10"/>
        <v>9003</v>
      </c>
      <c r="BU21" s="62">
        <f t="shared" si="11"/>
        <v>49</v>
      </c>
      <c r="BV21" s="62">
        <f t="shared" si="12"/>
        <v>861.24196342749531</v>
      </c>
      <c r="BW21" s="62">
        <f t="shared" si="13"/>
        <v>1210.3308731117022</v>
      </c>
      <c r="BX21" s="62">
        <f t="shared" si="67"/>
        <v>12718.530062927235</v>
      </c>
      <c r="BY21" s="62">
        <f t="shared" si="15"/>
        <v>30803.530062927239</v>
      </c>
      <c r="BZ21" s="79">
        <f t="shared" si="68"/>
        <v>0.41289196520480231</v>
      </c>
      <c r="CA21" s="79">
        <f t="shared" si="69"/>
        <v>0.19311973771049351</v>
      </c>
      <c r="CB21" s="79">
        <f t="shared" si="70"/>
        <v>0.80688026228950671</v>
      </c>
      <c r="CC21" s="79">
        <f t="shared" si="19"/>
        <v>0.10196483290943066</v>
      </c>
      <c r="CD21" s="33"/>
      <c r="CF21" s="36">
        <v>33390.935106344754</v>
      </c>
      <c r="CG21" s="36">
        <v>35090.935106344754</v>
      </c>
      <c r="CH21" s="81">
        <f t="shared" si="71"/>
        <v>2587.4050434175151</v>
      </c>
      <c r="CI21" s="36">
        <f t="shared" si="72"/>
        <v>2843.3159473062551</v>
      </c>
      <c r="CJ21" s="36">
        <v>19966.46780362177</v>
      </c>
      <c r="CK21" s="81">
        <f t="shared" si="73"/>
        <v>-1881.4678036217701</v>
      </c>
      <c r="CM21" s="33">
        <f t="shared" ref="CM21:CM46" si="84">B21</f>
        <v>2000</v>
      </c>
      <c r="CN21" s="96">
        <f>AJ21</f>
        <v>30803.530062927239</v>
      </c>
      <c r="CO21" s="97">
        <f>IF((CN21-DE$2-CT21)&gt;0, (CN21-DE$2-CT21),0)</f>
        <v>9334.7887497125193</v>
      </c>
      <c r="CP21" s="97">
        <f>CO21+CT21</f>
        <v>15803.530062927239</v>
      </c>
      <c r="CQ21" s="62">
        <f>V21</f>
        <v>18085</v>
      </c>
      <c r="CR21" s="98" t="str">
        <f t="shared" ref="CR21:CR44" si="85">IF(ROUND(CQ21,-3)&gt;=DE$3,"Y","N")</f>
        <v>Y</v>
      </c>
      <c r="CS21" s="98" t="str">
        <f>IF(CQ21&gt;DE$2,"Y","N")</f>
        <v>Y</v>
      </c>
      <c r="CT21" s="99">
        <f>IF(CN21*DB$1&gt;12600,12600,CN21*DB$1)</f>
        <v>6468.7413132147203</v>
      </c>
      <c r="CU21" s="100">
        <f>IF(CS21="N",(BX21-BT21)+CT21,CT21)</f>
        <v>6468.7413132147203</v>
      </c>
      <c r="CV21" s="100"/>
      <c r="CW21" s="100"/>
      <c r="CX21" s="101">
        <f>BT21</f>
        <v>9003</v>
      </c>
      <c r="CY21" s="102">
        <f t="shared" ref="CY21:CY42" si="86">CX21-CU21</f>
        <v>2534.2586867852797</v>
      </c>
      <c r="CZ21" s="79">
        <v>1</v>
      </c>
      <c r="DA21" s="103">
        <f>IF(CZ21=100%,CY21,CZ21*CT21*-1)</f>
        <v>2534.2586867852797</v>
      </c>
      <c r="DB21" s="103">
        <f t="shared" ref="DB21:DB39" si="87">IF(CX21&gt;CT21,CY21,(IF(CY21*-1&gt;(CT21*CZ21),CT21*CZ21*-1,CY21)))</f>
        <v>2534.2586867852797</v>
      </c>
      <c r="DC21" s="104">
        <v>2391</v>
      </c>
      <c r="DD21" s="104">
        <f>DC21+DD20</f>
        <v>2391</v>
      </c>
      <c r="DE21" s="105">
        <f>DB21</f>
        <v>2534.2586867852797</v>
      </c>
      <c r="DF21" s="105">
        <f>IF($DB21&gt;0,$DB21,$DB21*-1)</f>
        <v>2534.2586867852797</v>
      </c>
      <c r="DH21" s="66">
        <f t="shared" si="20"/>
        <v>0</v>
      </c>
      <c r="DK21" s="106">
        <f t="shared" ref="DK21:DK31" si="88">AC21/AJ21</f>
        <v>5.177839108471554E-2</v>
      </c>
      <c r="DL21" s="106">
        <f t="shared" ref="DL21:DL31" si="89">AD21/AJ21</f>
        <v>2.7959196938406095E-2</v>
      </c>
      <c r="DS21" s="14">
        <f t="shared" si="43"/>
        <v>18085</v>
      </c>
      <c r="DT21" s="14">
        <v>19348.444090153665</v>
      </c>
      <c r="DU21" s="14">
        <f t="shared" si="77"/>
        <v>1263.4440901536655</v>
      </c>
      <c r="DW21" s="14">
        <f t="shared" si="44"/>
        <v>30803.530062927239</v>
      </c>
      <c r="DX21" s="14">
        <v>32617.444090153662</v>
      </c>
      <c r="DY21" s="14">
        <f t="shared" si="78"/>
        <v>1813.9140272264231</v>
      </c>
      <c r="EC21" s="3">
        <f t="shared" ref="EC21:ED31" si="90">AC21/$AE21</f>
        <v>0.64935988620199137</v>
      </c>
      <c r="ED21" s="3">
        <f t="shared" si="90"/>
        <v>0.35064011379800852</v>
      </c>
      <c r="EG21" s="14">
        <f t="shared" si="46"/>
        <v>3715.5300629272365</v>
      </c>
      <c r="EI21" s="89">
        <f t="shared" si="81"/>
        <v>0</v>
      </c>
      <c r="EJ21" s="89">
        <f t="shared" si="47"/>
        <v>0</v>
      </c>
      <c r="EL21" s="67"/>
      <c r="EM21" s="67">
        <f t="shared" si="48"/>
        <v>18.085000000000001</v>
      </c>
      <c r="EN21" s="67">
        <f t="shared" si="22"/>
        <v>9.0030000000000001</v>
      </c>
      <c r="EO21" s="67">
        <f t="shared" si="23"/>
        <v>3.7155300629272365</v>
      </c>
      <c r="EP21" s="67">
        <f t="shared" si="24"/>
        <v>1.4440890961112618</v>
      </c>
      <c r="ET21" s="66">
        <f t="shared" si="25"/>
        <v>0.16485800046178711</v>
      </c>
      <c r="EW21" s="14">
        <f t="shared" si="27"/>
        <v>3715.5300629272351</v>
      </c>
      <c r="EY21" s="14">
        <f t="shared" si="49"/>
        <v>1072</v>
      </c>
      <c r="EZ21" s="14">
        <f t="shared" si="50"/>
        <v>1259.3308731117022</v>
      </c>
      <c r="FB21" s="14">
        <f t="shared" si="51"/>
        <v>32060.288285926796</v>
      </c>
      <c r="FC21" s="66">
        <f t="shared" si="52"/>
        <v>1</v>
      </c>
      <c r="FE21" s="14">
        <f t="shared" si="26"/>
        <v>22000</v>
      </c>
    </row>
    <row r="22" spans="2:161" x14ac:dyDescent="0.2">
      <c r="B22" s="4">
        <v>2001</v>
      </c>
      <c r="C22" s="71">
        <f t="shared" si="53"/>
        <v>29341</v>
      </c>
      <c r="D22" s="71">
        <f t="shared" si="82"/>
        <v>24024</v>
      </c>
      <c r="E22" s="71">
        <f>'Bayesian Sum (10Feb26)'!H17</f>
        <v>5317</v>
      </c>
      <c r="G22" s="14">
        <f>'[1]Data-Nisgaa &amp; Other FN Catch'!BI14</f>
        <v>195</v>
      </c>
      <c r="H22" s="14">
        <f>'[1]Data-SF-FW'!U5</f>
        <v>722</v>
      </c>
      <c r="I22" s="14">
        <f>'Data-Chin-Nisga''a'!N16</f>
        <v>5457</v>
      </c>
      <c r="J22" s="14">
        <f t="shared" si="54"/>
        <v>6374</v>
      </c>
      <c r="L22" s="72">
        <f>'Bayesian Sum (10Feb26)'!K17</f>
        <v>35715</v>
      </c>
      <c r="M22" s="73">
        <f t="shared" si="28"/>
        <v>2.0215595688086237E-2</v>
      </c>
      <c r="N22" s="56">
        <f>'Data-Coastal-Chin-Esc (new)'!J29</f>
        <v>1514.9352638133296</v>
      </c>
      <c r="O22" s="74">
        <f t="shared" si="55"/>
        <v>0</v>
      </c>
      <c r="P22" s="14"/>
      <c r="R22" s="5">
        <f>'A6-Chin (NEW2+Khutz)'!R22-'A6b-Chin (LN&amp;CoastalCU)'!R22</f>
        <v>280.7840000689352</v>
      </c>
      <c r="S22" s="5">
        <f>'A6-Chin (NEW2+Khutz)'!S22-'A6b-Chin (LN&amp;CoastalCU)'!S22</f>
        <v>5813</v>
      </c>
      <c r="T22" s="14">
        <f t="shared" si="56"/>
        <v>6093.7840000689348</v>
      </c>
      <c r="U22" s="73">
        <f t="shared" si="83"/>
        <v>4.6077117283080414E-2</v>
      </c>
      <c r="V22" s="14">
        <f t="shared" si="3"/>
        <v>29341</v>
      </c>
      <c r="X22" s="14">
        <f t="shared" si="29"/>
        <v>195</v>
      </c>
      <c r="Y22" s="14">
        <f t="shared" si="30"/>
        <v>1002.7840000689353</v>
      </c>
      <c r="Z22" s="14">
        <f t="shared" si="30"/>
        <v>11270</v>
      </c>
      <c r="AA22" s="14">
        <f t="shared" si="4"/>
        <v>12467.784000068936</v>
      </c>
      <c r="AC22" s="14">
        <f>'A6-Chin (NEW2+Khutz)'!AC22-'A6b-Chin (LN&amp;CoastalCU)'!AC22</f>
        <v>794.39191695434215</v>
      </c>
      <c r="AD22" s="14">
        <f>'A6-Chin (NEW2+Khutz)'!AD22-'A6b-Chin (LN&amp;CoastalCU)'!AD22</f>
        <v>1459.5239422490877</v>
      </c>
      <c r="AE22" s="14">
        <f t="shared" si="57"/>
        <v>2253.91585920343</v>
      </c>
      <c r="AJ22" s="14">
        <f t="shared" si="58"/>
        <v>44062.699859272361</v>
      </c>
      <c r="AK22" s="122">
        <f>'A6-Chin (NEW2+Khutz)'!AK22-'A6b-Chin (LN&amp;CoastalCU)'!AL22</f>
        <v>2030.2200077167886</v>
      </c>
      <c r="AL22" s="14">
        <f t="shared" si="59"/>
        <v>46092.919866989148</v>
      </c>
      <c r="AM22" s="14"/>
      <c r="AN22" s="14">
        <f>'[1]Data-FW Catch Rates - new'!CE16</f>
        <v>28924.479431156342</v>
      </c>
      <c r="AO22" s="76">
        <f t="shared" si="31"/>
        <v>6.7416943652909263E-3</v>
      </c>
      <c r="AP22" s="60">
        <f t="shared" si="32"/>
        <v>34</v>
      </c>
      <c r="AQ22" s="59"/>
      <c r="AR22" s="77">
        <f t="shared" si="33"/>
        <v>0.36343802725733915</v>
      </c>
      <c r="AS22" s="61">
        <f t="shared" si="60"/>
        <v>0.15279294414111719</v>
      </c>
      <c r="AT22" s="61">
        <f t="shared" si="34"/>
        <v>2.0215595688086237E-2</v>
      </c>
      <c r="AU22" s="61">
        <f t="shared" si="35"/>
        <v>0.17846843063138737</v>
      </c>
      <c r="AV22" s="61"/>
      <c r="AW22" s="33"/>
      <c r="AX22" s="61">
        <f t="shared" si="36"/>
        <v>0.24450609838825496</v>
      </c>
      <c r="AY22" s="61">
        <f t="shared" si="37"/>
        <v>1.7234575705915956E-2</v>
      </c>
      <c r="AZ22" s="61">
        <f t="shared" si="38"/>
        <v>5.3420524224187409E-2</v>
      </c>
      <c r="BA22" s="61">
        <f t="shared" si="39"/>
        <v>4.2305846659902143E-3</v>
      </c>
      <c r="BB22" s="61">
        <f t="shared" si="61"/>
        <v>0.3193917829843485</v>
      </c>
      <c r="BC22" s="61">
        <f t="shared" si="62"/>
        <v>4.404624427299067E-2</v>
      </c>
      <c r="BD22" s="78">
        <f t="shared" si="40"/>
        <v>0.36343802725733915</v>
      </c>
      <c r="BE22" s="17"/>
      <c r="BF22" s="17"/>
      <c r="BG22" s="22">
        <f>'[1]Data-PSC CH Tables'!C16</f>
        <v>28329</v>
      </c>
      <c r="BH22" s="22">
        <f>'[1]Data-PSC CH Tables'!AG16</f>
        <v>47898.318267833471</v>
      </c>
      <c r="BI22" s="22">
        <f>'[1]Data-PSC CH Tables'!AI16</f>
        <v>50298.318267833471</v>
      </c>
      <c r="BJ22" s="17"/>
      <c r="BK22" s="22">
        <f t="shared" si="63"/>
        <v>-1012</v>
      </c>
      <c r="BL22" s="22">
        <f t="shared" si="64"/>
        <v>3835.6184085611094</v>
      </c>
      <c r="BM22" s="22">
        <f t="shared" si="65"/>
        <v>4205.3984008443222</v>
      </c>
      <c r="BO22" s="33"/>
      <c r="BP22" s="33"/>
      <c r="BQ22" s="33"/>
      <c r="BS22" s="62">
        <f t="shared" si="66"/>
        <v>794.39191695434215</v>
      </c>
      <c r="BT22" s="62">
        <f t="shared" si="10"/>
        <v>11270</v>
      </c>
      <c r="BU22" s="62">
        <f t="shared" si="11"/>
        <v>195</v>
      </c>
      <c r="BV22" s="62">
        <f t="shared" si="12"/>
        <v>1459.5239422490877</v>
      </c>
      <c r="BW22" s="62">
        <f t="shared" si="13"/>
        <v>1002.7840000689353</v>
      </c>
      <c r="BX22" s="62">
        <f t="shared" si="67"/>
        <v>14721.699859272365</v>
      </c>
      <c r="BY22" s="62">
        <f t="shared" si="15"/>
        <v>44062.699859272361</v>
      </c>
      <c r="BZ22" s="79">
        <f t="shared" si="68"/>
        <v>0.33410798490084792</v>
      </c>
      <c r="CA22" s="79">
        <f t="shared" si="69"/>
        <v>0.15310160380588225</v>
      </c>
      <c r="CB22" s="79">
        <f t="shared" si="70"/>
        <v>0.84689839619411778</v>
      </c>
      <c r="CC22" s="79">
        <f t="shared" si="19"/>
        <v>0.12119327359710461</v>
      </c>
      <c r="CD22" s="33"/>
      <c r="CF22" s="36">
        <v>47505.849332349782</v>
      </c>
      <c r="CG22" s="36">
        <v>49905.849332349782</v>
      </c>
      <c r="CH22" s="81">
        <f>AJ22-CF22</f>
        <v>-3443.1494730774211</v>
      </c>
      <c r="CI22" s="36">
        <f>AL22-CG22</f>
        <v>-3812.9294653606339</v>
      </c>
      <c r="CJ22" s="36">
        <v>31863.840516420514</v>
      </c>
      <c r="CK22" s="81">
        <f t="shared" si="73"/>
        <v>-2522.8405164205142</v>
      </c>
      <c r="CM22" s="33">
        <f t="shared" si="84"/>
        <v>2001</v>
      </c>
      <c r="CN22" s="96">
        <f t="shared" ref="CN22:CN46" si="91">AJ22</f>
        <v>44062.699859272361</v>
      </c>
      <c r="CO22" s="97">
        <f t="shared" ref="CO22:CO39" si="92">IF((CN22-DE$2-CT22)&gt;0, (CN22-DE$2-CT22),0)</f>
        <v>19809.532888825168</v>
      </c>
      <c r="CP22" s="97">
        <f t="shared" ref="CP22:CP46" si="93">CO22+CT22</f>
        <v>29062.699859272361</v>
      </c>
      <c r="CQ22" s="62">
        <f t="shared" ref="CQ22:CQ39" si="94">V22</f>
        <v>29341</v>
      </c>
      <c r="CR22" s="98" t="str">
        <f t="shared" si="85"/>
        <v>Y</v>
      </c>
      <c r="CS22" s="98" t="str">
        <f t="shared" ref="CS22:CS44" si="95">IF(CQ22&gt;DE$2,"Y","N")</f>
        <v>Y</v>
      </c>
      <c r="CT22" s="99">
        <f>IF(CN22*DB$1&gt;12600,12600,CN22*DB$1)</f>
        <v>9253.1669704471951</v>
      </c>
      <c r="CU22" s="100">
        <f>IF(CR22="N",0,IF(CS22="N",(BX22-BT22)+CT22,CT22))</f>
        <v>9253.1669704471951</v>
      </c>
      <c r="CV22" s="100"/>
      <c r="CW22" s="100"/>
      <c r="CX22" s="101">
        <f t="shared" ref="CX22:CX44" si="96">BT22</f>
        <v>11270</v>
      </c>
      <c r="CY22" s="102">
        <f t="shared" si="86"/>
        <v>2016.8330295528049</v>
      </c>
      <c r="CZ22" s="79">
        <v>1</v>
      </c>
      <c r="DA22" s="103">
        <f t="shared" ref="DA22:DA46" si="97">IF(CZ22=100%,CY22,CZ22*CT22*-1)</f>
        <v>2016.8330295528049</v>
      </c>
      <c r="DB22" s="103">
        <f t="shared" si="87"/>
        <v>2016.8330295528049</v>
      </c>
      <c r="DC22" s="104">
        <v>1317</v>
      </c>
      <c r="DD22" s="104">
        <f>DC22+DD21</f>
        <v>3708</v>
      </c>
      <c r="DE22" s="105">
        <f t="shared" ref="DE22:DE46" si="98">DB22</f>
        <v>2016.8330295528049</v>
      </c>
      <c r="DF22" s="105">
        <f t="shared" ref="DF22:DF46" si="99">IF($DB22&gt;0,$DB22,$DB22*-1)</f>
        <v>2016.8330295528049</v>
      </c>
      <c r="DH22" s="66">
        <f t="shared" si="20"/>
        <v>0</v>
      </c>
      <c r="DK22" s="106">
        <f t="shared" si="88"/>
        <v>1.8028670950519927E-2</v>
      </c>
      <c r="DL22" s="106">
        <f t="shared" si="89"/>
        <v>3.3123797382151376E-2</v>
      </c>
      <c r="DS22" s="14">
        <f t="shared" si="43"/>
        <v>29341</v>
      </c>
      <c r="DT22" s="14">
        <v>32952.32699619772</v>
      </c>
      <c r="DU22" s="14">
        <f t="shared" si="77"/>
        <v>3611.3269961977203</v>
      </c>
      <c r="DW22" s="14">
        <f t="shared" si="44"/>
        <v>44062.699859272361</v>
      </c>
      <c r="DX22" s="14">
        <v>48266.32699619772</v>
      </c>
      <c r="DY22" s="14">
        <f t="shared" si="78"/>
        <v>4203.6271369253591</v>
      </c>
      <c r="EC22" s="3">
        <f t="shared" si="90"/>
        <v>0.35244967717432585</v>
      </c>
      <c r="ED22" s="3">
        <f t="shared" si="90"/>
        <v>0.64755032282567404</v>
      </c>
      <c r="EG22" s="14">
        <f t="shared" si="46"/>
        <v>3451.6998592723653</v>
      </c>
      <c r="EI22" s="89">
        <f t="shared" si="81"/>
        <v>0</v>
      </c>
      <c r="EJ22" s="89">
        <f t="shared" si="47"/>
        <v>0</v>
      </c>
      <c r="EL22" s="67"/>
      <c r="EM22" s="67">
        <f t="shared" si="48"/>
        <v>29.341000000000001</v>
      </c>
      <c r="EN22" s="67">
        <f t="shared" si="22"/>
        <v>11.27</v>
      </c>
      <c r="EO22" s="67">
        <f t="shared" si="23"/>
        <v>3.4516998592723653</v>
      </c>
      <c r="EP22" s="67">
        <f t="shared" si="24"/>
        <v>2.0302200077167885</v>
      </c>
      <c r="ET22" s="66">
        <f t="shared" si="25"/>
        <v>0.17846843063138737</v>
      </c>
      <c r="EW22" s="14">
        <f t="shared" si="27"/>
        <v>3451.6998592723648</v>
      </c>
      <c r="EY22" s="14">
        <f t="shared" si="49"/>
        <v>917</v>
      </c>
      <c r="EZ22" s="14">
        <f t="shared" si="50"/>
        <v>1197.7840000689353</v>
      </c>
      <c r="FB22" s="14">
        <f t="shared" si="51"/>
        <v>45812.135866920216</v>
      </c>
      <c r="FC22" s="66">
        <f t="shared" si="52"/>
        <v>1</v>
      </c>
      <c r="FE22" s="14">
        <f t="shared" si="26"/>
        <v>36000</v>
      </c>
    </row>
    <row r="23" spans="2:161" x14ac:dyDescent="0.2">
      <c r="B23" s="4">
        <v>2002</v>
      </c>
      <c r="C23" s="71">
        <f t="shared" si="53"/>
        <v>14360</v>
      </c>
      <c r="D23" s="71">
        <f t="shared" si="82"/>
        <v>11839</v>
      </c>
      <c r="E23" s="71">
        <f>'Bayesian Sum (10Feb26)'!H18</f>
        <v>2521</v>
      </c>
      <c r="G23" s="14">
        <f>'[1]Data-Nisgaa &amp; Other FN Catch'!BI15</f>
        <v>151</v>
      </c>
      <c r="H23" s="14">
        <f>'[1]Data-SF-FW'!U6</f>
        <v>703</v>
      </c>
      <c r="I23" s="14">
        <f>'Data-Chin-Nisga''a'!N17</f>
        <v>1875</v>
      </c>
      <c r="J23" s="14">
        <f t="shared" si="54"/>
        <v>2729</v>
      </c>
      <c r="L23" s="72">
        <f>'Bayesian Sum (10Feb26)'!K18</f>
        <v>17089</v>
      </c>
      <c r="M23" s="73">
        <f t="shared" si="28"/>
        <v>4.1137573877933174E-2</v>
      </c>
      <c r="N23" s="56">
        <f>'Data-Coastal-Chin-Esc (new)'!J30</f>
        <v>1399.6101396678414</v>
      </c>
      <c r="O23" s="74">
        <f t="shared" si="55"/>
        <v>0</v>
      </c>
      <c r="P23" s="14"/>
      <c r="R23" s="5">
        <f>'A6-Chin (NEW2+Khutz)'!R23-'A6b-Chin (LN&amp;CoastalCU)'!R23</f>
        <v>145.70950317107389</v>
      </c>
      <c r="S23" s="5">
        <f>'A6-Chin (NEW2+Khutz)'!S23-'A6b-Chin (LN&amp;CoastalCU)'!S23</f>
        <v>3304.8882595702994</v>
      </c>
      <c r="T23" s="14">
        <f t="shared" si="56"/>
        <v>3450.5977627413731</v>
      </c>
      <c r="U23" s="73">
        <f t="shared" si="83"/>
        <v>4.2227322101812598E-2</v>
      </c>
      <c r="V23" s="14">
        <f t="shared" si="3"/>
        <v>14360</v>
      </c>
      <c r="X23" s="14">
        <f t="shared" si="29"/>
        <v>151</v>
      </c>
      <c r="Y23" s="14">
        <f t="shared" si="30"/>
        <v>848.70950317107395</v>
      </c>
      <c r="Z23" s="14">
        <f t="shared" si="30"/>
        <v>5179.8882595702999</v>
      </c>
      <c r="AA23" s="14">
        <f t="shared" si="4"/>
        <v>6179.597762741374</v>
      </c>
      <c r="AC23" s="14">
        <f>'A6-Chin (NEW2+Khutz)'!AC23-'A6b-Chin (LN&amp;CoastalCU)'!AC23</f>
        <v>5228.2551311091383</v>
      </c>
      <c r="AD23" s="14">
        <f>'A6-Chin (NEW2+Khutz)'!AD23-'A6b-Chin (LN&amp;CoastalCU)'!AD23</f>
        <v>975.70781376551815</v>
      </c>
      <c r="AE23" s="14">
        <f t="shared" si="57"/>
        <v>6203.9629448746564</v>
      </c>
      <c r="AJ23" s="14">
        <f t="shared" si="58"/>
        <v>26743.56070761603</v>
      </c>
      <c r="AK23" s="122">
        <f>'A6-Chin (NEW2+Khutz)'!AK23-'A6b-Chin (LN&amp;CoastalCU)'!AL23</f>
        <v>1249.1861744692619</v>
      </c>
      <c r="AL23" s="14">
        <f t="shared" si="59"/>
        <v>27992.746882085292</v>
      </c>
      <c r="AM23" s="14"/>
      <c r="AN23" s="14">
        <f>'[1]Data-FW Catch Rates - new'!CE17</f>
        <v>13909.456177650904</v>
      </c>
      <c r="AO23" s="76">
        <f t="shared" si="31"/>
        <v>1.0855924061403644E-2</v>
      </c>
      <c r="AP23" s="60">
        <f t="shared" si="32"/>
        <v>18</v>
      </c>
      <c r="AQ23" s="59"/>
      <c r="AR23" s="77">
        <f t="shared" si="33"/>
        <v>0.48700997224427206</v>
      </c>
      <c r="AS23" s="61">
        <f t="shared" si="60"/>
        <v>0.10971970273275207</v>
      </c>
      <c r="AT23" s="61">
        <f t="shared" si="34"/>
        <v>4.1137573877933174E-2</v>
      </c>
      <c r="AU23" s="61">
        <f t="shared" si="35"/>
        <v>0.1596933700040962</v>
      </c>
      <c r="AV23" s="61"/>
      <c r="AW23" s="33"/>
      <c r="AX23" s="61">
        <f t="shared" si="36"/>
        <v>0.18504394303959174</v>
      </c>
      <c r="AY23" s="61">
        <f t="shared" si="37"/>
        <v>0.18677177888730528</v>
      </c>
      <c r="AZ23" s="61">
        <f t="shared" si="38"/>
        <v>6.5174644154131836E-2</v>
      </c>
      <c r="BA23" s="61">
        <f t="shared" si="39"/>
        <v>5.3942544701333509E-3</v>
      </c>
      <c r="BB23" s="61">
        <f t="shared" si="61"/>
        <v>0.44238462055116218</v>
      </c>
      <c r="BC23" s="61">
        <f t="shared" si="62"/>
        <v>4.4625351693109903E-2</v>
      </c>
      <c r="BD23" s="78">
        <f t="shared" si="40"/>
        <v>0.48700997224427206</v>
      </c>
      <c r="BE23" s="17"/>
      <c r="BF23" s="17"/>
      <c r="BG23" s="22">
        <f>'[1]Data-PSC CH Tables'!C17</f>
        <v>13352</v>
      </c>
      <c r="BH23" s="22">
        <f>'[1]Data-PSC CH Tables'!AG17</f>
        <v>28352.032162114476</v>
      </c>
      <c r="BI23" s="22">
        <f>'[1]Data-PSC CH Tables'!AI17</f>
        <v>29752.032162114476</v>
      </c>
      <c r="BJ23" s="17"/>
      <c r="BK23" s="22">
        <f t="shared" si="63"/>
        <v>-1008</v>
      </c>
      <c r="BL23" s="22">
        <f t="shared" si="64"/>
        <v>1608.4714544984454</v>
      </c>
      <c r="BM23" s="22">
        <f t="shared" si="65"/>
        <v>1759.2852800291839</v>
      </c>
      <c r="BO23" s="33"/>
      <c r="BP23" s="33"/>
      <c r="BQ23" s="33"/>
      <c r="BS23" s="62">
        <f t="shared" si="66"/>
        <v>5228.2551311091383</v>
      </c>
      <c r="BT23" s="62">
        <f t="shared" si="10"/>
        <v>5179.8882595702999</v>
      </c>
      <c r="BU23" s="62">
        <f t="shared" si="11"/>
        <v>151</v>
      </c>
      <c r="BV23" s="62">
        <f t="shared" si="12"/>
        <v>975.70781376551815</v>
      </c>
      <c r="BW23" s="62">
        <f t="shared" si="13"/>
        <v>848.70950317107395</v>
      </c>
      <c r="BX23" s="62">
        <f t="shared" si="67"/>
        <v>12383.56070761603</v>
      </c>
      <c r="BY23" s="62">
        <f t="shared" si="15"/>
        <v>26743.56070761603</v>
      </c>
      <c r="BZ23" s="79">
        <f t="shared" si="68"/>
        <v>0.46304831443366629</v>
      </c>
      <c r="CA23" s="79">
        <f t="shared" si="69"/>
        <v>0.50098377125564131</v>
      </c>
      <c r="CB23" s="79">
        <f t="shared" si="70"/>
        <v>0.49901622874435875</v>
      </c>
      <c r="CC23" s="79">
        <f t="shared" si="19"/>
        <v>9.1631289370655719E-2</v>
      </c>
      <c r="CD23" s="33"/>
      <c r="CF23" s="36">
        <v>28366.035519699588</v>
      </c>
      <c r="CG23" s="36">
        <v>29766.035519699588</v>
      </c>
      <c r="CH23" s="81">
        <f t="shared" ref="CH23:CH46" si="100">AJ23-CF23</f>
        <v>-1622.4748120835575</v>
      </c>
      <c r="CI23" s="36">
        <f t="shared" ref="CI23:CI46" si="101">AL23-CG23</f>
        <v>-1773.288637614296</v>
      </c>
      <c r="CJ23" s="36">
        <v>14818.486910335268</v>
      </c>
      <c r="CK23" s="81">
        <f t="shared" si="73"/>
        <v>-458.48691033526848</v>
      </c>
      <c r="CM23" s="33">
        <f t="shared" si="84"/>
        <v>2002</v>
      </c>
      <c r="CN23" s="96">
        <f t="shared" si="91"/>
        <v>26743.56070761603</v>
      </c>
      <c r="CO23" s="97">
        <f t="shared" si="92"/>
        <v>6127.412959016664</v>
      </c>
      <c r="CP23" s="97">
        <f t="shared" si="93"/>
        <v>11743.56070761603</v>
      </c>
      <c r="CQ23" s="62">
        <f t="shared" si="94"/>
        <v>14360</v>
      </c>
      <c r="CR23" s="98" t="str">
        <f t="shared" si="85"/>
        <v>Y</v>
      </c>
      <c r="CS23" s="98" t="str">
        <f t="shared" si="95"/>
        <v>N</v>
      </c>
      <c r="CT23" s="99">
        <f t="shared" ref="CT23:CT46" si="102">IF(CN23*DB$1&gt;12600,12600,CN23*DB$1)</f>
        <v>5616.1477485993664</v>
      </c>
      <c r="CU23" s="100">
        <f t="shared" ref="CU23:CU39" si="103">IF(CR23="N",0,IF(CS23="N",(BX23-BT23)+CT23,CT23))</f>
        <v>12819.820196645098</v>
      </c>
      <c r="CV23" s="100"/>
      <c r="CW23" s="100"/>
      <c r="CX23" s="101">
        <f t="shared" si="96"/>
        <v>5179.8882595702999</v>
      </c>
      <c r="CY23" s="102">
        <f t="shared" si="86"/>
        <v>-7639.931937074798</v>
      </c>
      <c r="CZ23" s="79">
        <v>1</v>
      </c>
      <c r="DA23" s="103">
        <f t="shared" si="97"/>
        <v>-7639.931937074798</v>
      </c>
      <c r="DB23" s="103">
        <f t="shared" si="87"/>
        <v>-5616.1477485993664</v>
      </c>
      <c r="DC23" s="104">
        <v>-884</v>
      </c>
      <c r="DD23" s="104">
        <f>DC23+DD22</f>
        <v>2824</v>
      </c>
      <c r="DE23" s="105">
        <f t="shared" si="98"/>
        <v>-5616.1477485993664</v>
      </c>
      <c r="DF23" s="105">
        <f t="shared" si="99"/>
        <v>5616.1477485993664</v>
      </c>
      <c r="DH23" s="66">
        <f t="shared" si="20"/>
        <v>0</v>
      </c>
      <c r="DK23" s="106">
        <f t="shared" si="88"/>
        <v>0.19549584994567443</v>
      </c>
      <c r="DL23" s="106">
        <f t="shared" si="89"/>
        <v>3.6483840892871683E-2</v>
      </c>
      <c r="DS23" s="14">
        <f t="shared" si="43"/>
        <v>14360</v>
      </c>
      <c r="DT23" s="14">
        <v>17162.387825418129</v>
      </c>
      <c r="DU23" s="14">
        <f t="shared" si="77"/>
        <v>2802.3878254181291</v>
      </c>
      <c r="DW23" s="14">
        <f t="shared" si="44"/>
        <v>26743.56070761603</v>
      </c>
      <c r="DX23" s="14">
        <v>30543.276084988433</v>
      </c>
      <c r="DY23" s="14">
        <f t="shared" si="78"/>
        <v>3799.7153773724021</v>
      </c>
      <c r="EC23" s="3">
        <f t="shared" si="90"/>
        <v>0.84272829763246904</v>
      </c>
      <c r="ED23" s="3">
        <f t="shared" si="90"/>
        <v>0.15727170236753102</v>
      </c>
      <c r="EG23" s="14">
        <f t="shared" si="46"/>
        <v>7203.6724480457306</v>
      </c>
      <c r="EI23" s="89">
        <f t="shared" si="81"/>
        <v>0</v>
      </c>
      <c r="EJ23" s="89">
        <f t="shared" si="47"/>
        <v>0</v>
      </c>
      <c r="EL23" s="67"/>
      <c r="EM23" s="67">
        <f t="shared" si="48"/>
        <v>14.36</v>
      </c>
      <c r="EN23" s="67">
        <f t="shared" si="22"/>
        <v>5.1798882595702995</v>
      </c>
      <c r="EO23" s="67">
        <f t="shared" si="23"/>
        <v>7.2036724480457304</v>
      </c>
      <c r="EP23" s="67">
        <f t="shared" si="24"/>
        <v>1.2491861744692618</v>
      </c>
      <c r="ET23" s="66">
        <f t="shared" si="25"/>
        <v>0.1596933700040962</v>
      </c>
      <c r="EW23" s="14">
        <f t="shared" si="27"/>
        <v>7203.6724480457306</v>
      </c>
      <c r="EY23" s="14">
        <f t="shared" si="49"/>
        <v>854</v>
      </c>
      <c r="EZ23" s="14">
        <f t="shared" si="50"/>
        <v>999.70950317107395</v>
      </c>
      <c r="FB23" s="14">
        <f t="shared" si="51"/>
        <v>27847.037378914218</v>
      </c>
      <c r="FC23" s="66">
        <f t="shared" si="52"/>
        <v>1</v>
      </c>
      <c r="FE23" s="14">
        <f t="shared" si="26"/>
        <v>17000</v>
      </c>
    </row>
    <row r="24" spans="2:161" x14ac:dyDescent="0.2">
      <c r="B24" s="4">
        <v>2003</v>
      </c>
      <c r="C24" s="71">
        <f t="shared" si="53"/>
        <v>30740</v>
      </c>
      <c r="D24" s="71">
        <f t="shared" si="82"/>
        <v>25724</v>
      </c>
      <c r="E24" s="71">
        <f>'Bayesian Sum (10Feb26)'!H19</f>
        <v>5016</v>
      </c>
      <c r="G24" s="14">
        <f>'[1]Data-Nisgaa &amp; Other FN Catch'!BI16</f>
        <v>181</v>
      </c>
      <c r="H24" s="14">
        <f>'[1]Data-SF-FW'!U7</f>
        <v>1030</v>
      </c>
      <c r="I24" s="14">
        <f>'Data-Chin-Nisga''a'!N18</f>
        <v>2403</v>
      </c>
      <c r="J24" s="14">
        <f t="shared" si="54"/>
        <v>3614</v>
      </c>
      <c r="L24" s="72">
        <f>'Bayesian Sum (10Feb26)'!K19</f>
        <v>34354</v>
      </c>
      <c r="M24" s="73">
        <f t="shared" si="28"/>
        <v>2.9981952611049658E-2</v>
      </c>
      <c r="N24" s="56">
        <f>'Data-Coastal-Chin-Esc (new)'!J31</f>
        <v>1145.1355688191429</v>
      </c>
      <c r="O24" s="74">
        <f t="shared" si="55"/>
        <v>0</v>
      </c>
      <c r="P24" s="14"/>
      <c r="R24" s="5">
        <f>'A6-Chin (NEW2+Khutz)'!R24-'A6b-Chin (LN&amp;CoastalCU)'!R24</f>
        <v>145.92657679191007</v>
      </c>
      <c r="S24" s="5">
        <f>'A6-Chin (NEW2+Khutz)'!S24-'A6b-Chin (LN&amp;CoastalCU)'!S24</f>
        <v>4065</v>
      </c>
      <c r="T24" s="14">
        <f t="shared" si="56"/>
        <v>4210.9265767919096</v>
      </c>
      <c r="U24" s="73">
        <f t="shared" si="83"/>
        <v>3.4654267684497149E-2</v>
      </c>
      <c r="V24" s="14">
        <f t="shared" si="3"/>
        <v>30740</v>
      </c>
      <c r="X24" s="14">
        <f t="shared" si="29"/>
        <v>181</v>
      </c>
      <c r="Y24" s="14">
        <f t="shared" si="30"/>
        <v>1175.9265767919101</v>
      </c>
      <c r="Z24" s="14">
        <f t="shared" si="30"/>
        <v>6468</v>
      </c>
      <c r="AA24" s="14">
        <f t="shared" si="4"/>
        <v>7824.9265767919096</v>
      </c>
      <c r="AC24" s="14">
        <f>'A6-Chin (NEW2+Khutz)'!AC24-'A6b-Chin (LN&amp;CoastalCU)'!AC24</f>
        <v>5540.8519975244481</v>
      </c>
      <c r="AD24" s="14">
        <f>'A6-Chin (NEW2+Khutz)'!AD24-'A6b-Chin (LN&amp;CoastalCU)'!AD24</f>
        <v>1064.2156486357851</v>
      </c>
      <c r="AE24" s="14">
        <f t="shared" si="57"/>
        <v>6605.0676461602334</v>
      </c>
      <c r="AJ24" s="14">
        <f t="shared" si="58"/>
        <v>45169.994222952148</v>
      </c>
      <c r="AK24" s="122">
        <f>'A6-Chin (NEW2+Khutz)'!AK24-'A6b-Chin (LN&amp;CoastalCU)'!AL24</f>
        <v>2118.8422519578617</v>
      </c>
      <c r="AL24" s="14">
        <f t="shared" si="59"/>
        <v>47288.836474910007</v>
      </c>
      <c r="AM24" s="14"/>
      <c r="AN24" s="14">
        <f>'[1]Data-FW Catch Rates - new'!CE18</f>
        <v>26658.367611499238</v>
      </c>
      <c r="AO24" s="76">
        <f t="shared" si="31"/>
        <v>6.7896130264902127E-3</v>
      </c>
      <c r="AP24" s="60">
        <f t="shared" si="32"/>
        <v>33</v>
      </c>
      <c r="AQ24" s="59"/>
      <c r="AR24" s="77">
        <f t="shared" si="33"/>
        <v>0.34995228702000963</v>
      </c>
      <c r="AS24" s="61">
        <f t="shared" si="60"/>
        <v>6.9948186528497408E-2</v>
      </c>
      <c r="AT24" s="61">
        <f t="shared" si="34"/>
        <v>2.9981952611049658E-2</v>
      </c>
      <c r="AU24" s="61">
        <f t="shared" si="35"/>
        <v>0.1051988123653723</v>
      </c>
      <c r="AV24" s="61"/>
      <c r="AW24" s="33"/>
      <c r="AX24" s="61">
        <f t="shared" si="36"/>
        <v>0.13677646738954385</v>
      </c>
      <c r="AY24" s="61">
        <f t="shared" si="37"/>
        <v>0.11717040237317432</v>
      </c>
      <c r="AZ24" s="61">
        <f t="shared" si="38"/>
        <v>4.7371481144735821E-2</v>
      </c>
      <c r="BA24" s="61">
        <f t="shared" si="39"/>
        <v>3.8275418363493251E-3</v>
      </c>
      <c r="BB24" s="61">
        <f t="shared" si="61"/>
        <v>0.30514589274380333</v>
      </c>
      <c r="BC24" s="61">
        <f t="shared" si="62"/>
        <v>4.4806394276206259E-2</v>
      </c>
      <c r="BD24" s="78">
        <f t="shared" si="40"/>
        <v>0.34995228702000963</v>
      </c>
      <c r="BE24" s="17"/>
      <c r="BF24" s="17"/>
      <c r="BG24" s="22">
        <f>'[1]Data-PSC CH Tables'!C18</f>
        <v>25848.367611499238</v>
      </c>
      <c r="BH24" s="22">
        <f>'[1]Data-PSC CH Tables'!AG18</f>
        <v>43596.832974513345</v>
      </c>
      <c r="BI24" s="22">
        <f>'[1]Data-PSC CH Tables'!AI18</f>
        <v>45796.832974513345</v>
      </c>
      <c r="BJ24" s="17"/>
      <c r="BK24" s="22">
        <f t="shared" si="63"/>
        <v>-4891.6323885007623</v>
      </c>
      <c r="BL24" s="22">
        <f t="shared" si="64"/>
        <v>-1573.1612484388024</v>
      </c>
      <c r="BM24" s="22">
        <f t="shared" si="65"/>
        <v>-1492.0035003966623</v>
      </c>
      <c r="BO24" s="33"/>
      <c r="BP24" s="33"/>
      <c r="BQ24" s="33"/>
      <c r="BS24" s="62">
        <f t="shared" si="66"/>
        <v>5540.8519975244481</v>
      </c>
      <c r="BT24" s="62">
        <f t="shared" si="10"/>
        <v>6468</v>
      </c>
      <c r="BU24" s="62">
        <f t="shared" si="11"/>
        <v>181</v>
      </c>
      <c r="BV24" s="62">
        <f t="shared" si="12"/>
        <v>1064.2156486357851</v>
      </c>
      <c r="BW24" s="62">
        <f t="shared" si="13"/>
        <v>1175.9265767919101</v>
      </c>
      <c r="BX24" s="62">
        <f t="shared" si="67"/>
        <v>14429.994222952144</v>
      </c>
      <c r="BY24" s="62">
        <f t="shared" si="15"/>
        <v>45169.994222952148</v>
      </c>
      <c r="BZ24" s="79">
        <f t="shared" si="68"/>
        <v>0.31945973142542172</v>
      </c>
      <c r="CA24" s="79">
        <f t="shared" si="69"/>
        <v>0.45773182886340358</v>
      </c>
      <c r="CB24" s="79">
        <f t="shared" si="70"/>
        <v>0.54226817113659631</v>
      </c>
      <c r="CC24" s="79">
        <f t="shared" si="19"/>
        <v>0.12803572354892001</v>
      </c>
      <c r="CD24" s="33"/>
      <c r="CF24" s="36">
        <v>43620.216627789407</v>
      </c>
      <c r="CG24" s="36">
        <v>45820.216627789407</v>
      </c>
      <c r="CH24" s="81">
        <f t="shared" si="100"/>
        <v>1549.7775951627409</v>
      </c>
      <c r="CI24" s="36">
        <f t="shared" si="101"/>
        <v>1468.6198471206008</v>
      </c>
      <c r="CJ24" s="36">
        <v>28297.196132568853</v>
      </c>
      <c r="CK24" s="81">
        <f t="shared" si="73"/>
        <v>2442.8038674311465</v>
      </c>
      <c r="CM24" s="33">
        <f t="shared" si="84"/>
        <v>2003</v>
      </c>
      <c r="CN24" s="96">
        <f t="shared" si="91"/>
        <v>45169.994222952148</v>
      </c>
      <c r="CO24" s="97">
        <f t="shared" si="92"/>
        <v>20684.295436132197</v>
      </c>
      <c r="CP24" s="97">
        <f t="shared" si="93"/>
        <v>30169.994222952148</v>
      </c>
      <c r="CQ24" s="62">
        <f t="shared" si="94"/>
        <v>30740</v>
      </c>
      <c r="CR24" s="98" t="str">
        <f t="shared" si="85"/>
        <v>Y</v>
      </c>
      <c r="CS24" s="98" t="str">
        <f t="shared" si="95"/>
        <v>Y</v>
      </c>
      <c r="CT24" s="99">
        <f t="shared" si="102"/>
        <v>9485.6987868199503</v>
      </c>
      <c r="CU24" s="100">
        <f>IF(CR24="N",0,IF(CS24="N",(BX24-BT24)+CT24,CT24))</f>
        <v>9485.6987868199503</v>
      </c>
      <c r="CV24" s="100"/>
      <c r="CW24" s="100"/>
      <c r="CX24" s="101">
        <f t="shared" si="96"/>
        <v>6468</v>
      </c>
      <c r="CY24" s="102">
        <f>CX24-CU24</f>
        <v>-3017.6987868199503</v>
      </c>
      <c r="CZ24" s="79">
        <v>0.1</v>
      </c>
      <c r="DA24" s="103">
        <f t="shared" si="97"/>
        <v>-948.56987868199508</v>
      </c>
      <c r="DB24" s="107">
        <f t="shared" si="87"/>
        <v>-948.56987868199508</v>
      </c>
      <c r="DC24" s="33"/>
      <c r="DD24" s="107">
        <f>DB24+DD23</f>
        <v>1875.4301213180049</v>
      </c>
      <c r="DE24" s="105">
        <f t="shared" si="98"/>
        <v>-948.56987868199508</v>
      </c>
      <c r="DF24" s="105">
        <f t="shared" si="99"/>
        <v>948.56987868199508</v>
      </c>
      <c r="DH24" s="66">
        <f t="shared" si="20"/>
        <v>0</v>
      </c>
      <c r="DK24" s="106">
        <f t="shared" si="88"/>
        <v>0.12266665278227963</v>
      </c>
      <c r="DL24" s="106">
        <f t="shared" si="89"/>
        <v>2.3560234331290376E-2</v>
      </c>
      <c r="DS24" s="14">
        <f t="shared" si="43"/>
        <v>30740</v>
      </c>
      <c r="DT24" s="14">
        <v>28477.624273975463</v>
      </c>
      <c r="DU24" s="14">
        <f t="shared" si="77"/>
        <v>-2262.3757260245366</v>
      </c>
      <c r="DW24" s="14">
        <f t="shared" si="44"/>
        <v>45169.994222952148</v>
      </c>
      <c r="DX24" s="14">
        <v>43690.62427397546</v>
      </c>
      <c r="DY24" s="14">
        <f t="shared" si="78"/>
        <v>-1479.3699489766877</v>
      </c>
      <c r="EC24" s="3">
        <f t="shared" si="90"/>
        <v>0.83887891757559019</v>
      </c>
      <c r="ED24" s="3">
        <f t="shared" si="90"/>
        <v>0.16112108242440976</v>
      </c>
      <c r="EG24" s="14">
        <f t="shared" si="46"/>
        <v>7961.9942229521439</v>
      </c>
      <c r="EI24" s="89">
        <f t="shared" si="81"/>
        <v>0</v>
      </c>
      <c r="EJ24" s="89">
        <f t="shared" si="47"/>
        <v>0</v>
      </c>
      <c r="EL24" s="67"/>
      <c r="EM24" s="67">
        <f t="shared" si="48"/>
        <v>30.74</v>
      </c>
      <c r="EN24" s="67">
        <f t="shared" si="22"/>
        <v>6.468</v>
      </c>
      <c r="EO24" s="67">
        <f t="shared" si="23"/>
        <v>7.9619942229521437</v>
      </c>
      <c r="EP24" s="67">
        <f t="shared" si="24"/>
        <v>2.1188422519578616</v>
      </c>
      <c r="ET24" s="66">
        <f t="shared" si="25"/>
        <v>0.1051988123653723</v>
      </c>
      <c r="EW24" s="14">
        <f t="shared" si="27"/>
        <v>7961.9942229521439</v>
      </c>
      <c r="EY24" s="14">
        <f t="shared" si="49"/>
        <v>1211</v>
      </c>
      <c r="EZ24" s="14">
        <f t="shared" si="50"/>
        <v>1356.9265767919101</v>
      </c>
      <c r="FB24" s="14">
        <f t="shared" si="51"/>
        <v>47142.909898118094</v>
      </c>
      <c r="FC24" s="66">
        <f t="shared" si="52"/>
        <v>1</v>
      </c>
      <c r="FE24" s="14">
        <f t="shared" si="26"/>
        <v>34000</v>
      </c>
    </row>
    <row r="25" spans="2:161" x14ac:dyDescent="0.2">
      <c r="B25" s="4">
        <v>2004</v>
      </c>
      <c r="C25" s="71">
        <f t="shared" si="53"/>
        <v>13736.6</v>
      </c>
      <c r="D25" s="71">
        <f t="shared" si="82"/>
        <v>11335.6</v>
      </c>
      <c r="E25" s="71">
        <f>'Bayesian Sum (10Feb26)'!H20</f>
        <v>2401</v>
      </c>
      <c r="G25" s="14">
        <f>'[1]Data-Nisgaa &amp; Other FN Catch'!BI17</f>
        <v>230</v>
      </c>
      <c r="H25" s="14">
        <f>'[1]Data-SF-FW'!U8</f>
        <v>643</v>
      </c>
      <c r="I25" s="14">
        <f>'Data-Chin-Nisga''a'!N19</f>
        <v>1994.4</v>
      </c>
      <c r="J25" s="14">
        <f t="shared" si="54"/>
        <v>2867.4</v>
      </c>
      <c r="L25" s="72">
        <f>'Bayesian Sum (10Feb26)'!K20</f>
        <v>16604</v>
      </c>
      <c r="M25" s="73">
        <f t="shared" si="28"/>
        <v>3.8725608287159721E-2</v>
      </c>
      <c r="N25" s="56">
        <f>'Data-Coastal-Chin-Esc (new)'!J32</f>
        <v>801.5948981734</v>
      </c>
      <c r="O25" s="74">
        <f t="shared" si="55"/>
        <v>0</v>
      </c>
      <c r="P25" s="14"/>
      <c r="R25" s="5">
        <f>'A6-Chin (NEW2+Khutz)'!R25-'A6b-Chin (LN&amp;CoastalCU)'!R25</f>
        <v>253.15798602561807</v>
      </c>
      <c r="S25" s="5">
        <f>'A6-Chin (NEW2+Khutz)'!S25-'A6b-Chin (LN&amp;CoastalCU)'!S25</f>
        <v>3558.2</v>
      </c>
      <c r="T25" s="14">
        <f t="shared" si="56"/>
        <v>3811.3579860256177</v>
      </c>
      <c r="U25" s="73">
        <f t="shared" si="83"/>
        <v>6.642199104723942E-2</v>
      </c>
      <c r="V25" s="14">
        <f t="shared" si="3"/>
        <v>13736.6</v>
      </c>
      <c r="X25" s="14">
        <f t="shared" si="29"/>
        <v>230</v>
      </c>
      <c r="Y25" s="14">
        <f t="shared" si="30"/>
        <v>896.15798602561813</v>
      </c>
      <c r="Z25" s="14">
        <f t="shared" si="30"/>
        <v>5552.6</v>
      </c>
      <c r="AA25" s="14">
        <f t="shared" si="4"/>
        <v>6678.7579860256183</v>
      </c>
      <c r="AC25" s="14">
        <f>'A6-Chin (NEW2+Khutz)'!AC25-'A6b-Chin (LN&amp;CoastalCU)'!AC25</f>
        <v>6335.9307777495906</v>
      </c>
      <c r="AD25" s="14">
        <f>'A6-Chin (NEW2+Khutz)'!AD25-'A6b-Chin (LN&amp;CoastalCU)'!AD25</f>
        <v>1697.3970326913327</v>
      </c>
      <c r="AE25" s="14">
        <f t="shared" si="57"/>
        <v>8033.3278104409237</v>
      </c>
      <c r="AJ25" s="14">
        <f t="shared" si="58"/>
        <v>28448.68579646654</v>
      </c>
      <c r="AK25" s="122">
        <f>'A6-Chin (NEW2+Khutz)'!AK25-'A6b-Chin (LN&amp;CoastalCU)'!AL25</f>
        <v>534.41127636259068</v>
      </c>
      <c r="AL25" s="14">
        <f t="shared" si="59"/>
        <v>28983.097072829129</v>
      </c>
      <c r="AM25" s="14"/>
      <c r="AN25" s="14">
        <f>'[1]Data-FW Catch Rates - new'!CE19</f>
        <v>15736.751738356423</v>
      </c>
      <c r="AO25" s="76">
        <f t="shared" si="31"/>
        <v>1.4615468542939705E-2</v>
      </c>
      <c r="AP25" s="60">
        <f t="shared" si="32"/>
        <v>16</v>
      </c>
      <c r="AQ25" s="59"/>
      <c r="AR25" s="77">
        <f t="shared" si="33"/>
        <v>0.52604789041411004</v>
      </c>
      <c r="AS25" s="61">
        <f t="shared" si="60"/>
        <v>0.12011563478679836</v>
      </c>
      <c r="AT25" s="61">
        <f t="shared" si="34"/>
        <v>3.8725608287159721E-2</v>
      </c>
      <c r="AU25" s="61">
        <f t="shared" si="35"/>
        <v>0.17269332690917852</v>
      </c>
      <c r="AV25" s="61"/>
      <c r="AW25" s="33"/>
      <c r="AX25" s="61">
        <f t="shared" si="36"/>
        <v>0.19158063011856014</v>
      </c>
      <c r="AY25" s="61">
        <f t="shared" si="37"/>
        <v>0.21860778928589225</v>
      </c>
      <c r="AZ25" s="61">
        <f t="shared" si="38"/>
        <v>8.9485088919235581E-2</v>
      </c>
      <c r="BA25" s="61">
        <f t="shared" si="39"/>
        <v>7.9356598579528193E-3</v>
      </c>
      <c r="BB25" s="61">
        <f t="shared" si="61"/>
        <v>0.5076091681816407</v>
      </c>
      <c r="BC25" s="108">
        <f t="shared" si="62"/>
        <v>1.8438722232469312E-2</v>
      </c>
      <c r="BD25" s="78">
        <f t="shared" si="40"/>
        <v>0.52604789041411004</v>
      </c>
      <c r="BE25" s="17"/>
      <c r="BF25" s="17"/>
      <c r="BG25" s="22">
        <f>'[1]Data-PSC CH Tables'!C19</f>
        <v>15184.751738356423</v>
      </c>
      <c r="BH25" s="22">
        <f>'[1]Data-PSC CH Tables'!AG19</f>
        <v>33130.599955108351</v>
      </c>
      <c r="BI25" s="22">
        <f>'[1]Data-PSC CH Tables'!AI19</f>
        <v>33728.599955108351</v>
      </c>
      <c r="BJ25" s="17"/>
      <c r="BK25" s="22">
        <f t="shared" si="63"/>
        <v>1448.1517383564224</v>
      </c>
      <c r="BL25" s="22">
        <f t="shared" si="64"/>
        <v>4681.9141586418118</v>
      </c>
      <c r="BM25" s="22">
        <f t="shared" si="65"/>
        <v>4745.5028822792228</v>
      </c>
      <c r="BO25" s="33"/>
      <c r="BP25" s="33"/>
      <c r="BQ25" s="33"/>
      <c r="BS25" s="62">
        <f t="shared" si="66"/>
        <v>6335.9307777495906</v>
      </c>
      <c r="BT25" s="62">
        <f t="shared" si="10"/>
        <v>5552.6</v>
      </c>
      <c r="BU25" s="62">
        <f t="shared" si="11"/>
        <v>230</v>
      </c>
      <c r="BV25" s="62">
        <f t="shared" si="12"/>
        <v>1697.3970326913327</v>
      </c>
      <c r="BW25" s="62">
        <f t="shared" si="13"/>
        <v>896.15798602561813</v>
      </c>
      <c r="BX25" s="62">
        <f t="shared" si="67"/>
        <v>14712.085796466543</v>
      </c>
      <c r="BY25" s="62">
        <f t="shared" si="15"/>
        <v>28448.68579646654</v>
      </c>
      <c r="BZ25" s="79">
        <f t="shared" si="68"/>
        <v>0.51714465482598326</v>
      </c>
      <c r="CA25" s="79">
        <f t="shared" si="69"/>
        <v>0.54603595449194009</v>
      </c>
      <c r="CB25" s="79">
        <f t="shared" si="70"/>
        <v>0.4539640455080598</v>
      </c>
      <c r="CC25" s="79">
        <f t="shared" si="19"/>
        <v>3.5051413699148506E-2</v>
      </c>
      <c r="CD25" s="33"/>
      <c r="CF25" s="36">
        <v>33146.899300017598</v>
      </c>
      <c r="CG25" s="36">
        <v>33744.899300017598</v>
      </c>
      <c r="CH25" s="81">
        <f t="shared" si="100"/>
        <v>-4698.2135035510582</v>
      </c>
      <c r="CI25" s="36">
        <f t="shared" si="101"/>
        <v>-4761.8022271884693</v>
      </c>
      <c r="CJ25" s="36">
        <v>16891.683508910683</v>
      </c>
      <c r="CK25" s="81">
        <f t="shared" si="73"/>
        <v>-3155.0835089106822</v>
      </c>
      <c r="CM25" s="33">
        <f t="shared" si="84"/>
        <v>2004</v>
      </c>
      <c r="CN25" s="96">
        <f t="shared" si="91"/>
        <v>28448.68579646654</v>
      </c>
      <c r="CO25" s="97">
        <f t="shared" si="92"/>
        <v>7474.4617792085664</v>
      </c>
      <c r="CP25" s="97">
        <f t="shared" si="93"/>
        <v>13448.68579646654</v>
      </c>
      <c r="CQ25" s="62">
        <f t="shared" si="94"/>
        <v>13736.6</v>
      </c>
      <c r="CR25" s="98" t="str">
        <f t="shared" si="85"/>
        <v>Y</v>
      </c>
      <c r="CS25" s="98" t="str">
        <f t="shared" si="95"/>
        <v>N</v>
      </c>
      <c r="CT25" s="99">
        <f t="shared" si="102"/>
        <v>5974.2240172579732</v>
      </c>
      <c r="CU25" s="100">
        <f t="shared" si="103"/>
        <v>15133.709813724516</v>
      </c>
      <c r="CV25" s="100"/>
      <c r="CW25" s="100"/>
      <c r="CX25" s="101">
        <f t="shared" si="96"/>
        <v>5552.6</v>
      </c>
      <c r="CY25" s="102">
        <f t="shared" si="86"/>
        <v>-9581.1098137245153</v>
      </c>
      <c r="CZ25" s="79">
        <v>0.1</v>
      </c>
      <c r="DA25" s="103">
        <f t="shared" si="97"/>
        <v>-597.42240172579739</v>
      </c>
      <c r="DB25" s="107">
        <f t="shared" si="87"/>
        <v>-597.42240172579739</v>
      </c>
      <c r="DC25" s="33"/>
      <c r="DD25" s="107">
        <f t="shared" ref="DD25:DD46" si="104">DB25+DD24</f>
        <v>1278.0077195922076</v>
      </c>
      <c r="DE25" s="105">
        <f t="shared" si="98"/>
        <v>-597.42240172579739</v>
      </c>
      <c r="DF25" s="105">
        <f t="shared" si="99"/>
        <v>597.42240172579739</v>
      </c>
      <c r="DH25" s="66">
        <f t="shared" si="20"/>
        <v>0</v>
      </c>
      <c r="DK25" s="106">
        <f t="shared" si="88"/>
        <v>0.22271435746028531</v>
      </c>
      <c r="DL25" s="106">
        <f t="shared" si="89"/>
        <v>5.966521774802537E-2</v>
      </c>
      <c r="DS25" s="14">
        <f t="shared" si="43"/>
        <v>13736.6</v>
      </c>
      <c r="DT25" s="14">
        <v>17670.381390128794</v>
      </c>
      <c r="DU25" s="14">
        <f t="shared" si="77"/>
        <v>3933.7813901287936</v>
      </c>
      <c r="DW25" s="14">
        <f t="shared" si="44"/>
        <v>28448.68579646654</v>
      </c>
      <c r="DX25" s="14">
        <v>32875.501390128797</v>
      </c>
      <c r="DY25" s="14">
        <f t="shared" si="78"/>
        <v>4426.815593662257</v>
      </c>
      <c r="EC25" s="3">
        <f t="shared" si="90"/>
        <v>0.78870561830114483</v>
      </c>
      <c r="ED25" s="3">
        <f t="shared" si="90"/>
        <v>0.21129438169885514</v>
      </c>
      <c r="EG25" s="14">
        <f t="shared" si="46"/>
        <v>9159.4857964665425</v>
      </c>
      <c r="EI25" s="89">
        <f t="shared" si="81"/>
        <v>0</v>
      </c>
      <c r="EJ25" s="89">
        <f t="shared" si="47"/>
        <v>0</v>
      </c>
      <c r="EL25" s="67"/>
      <c r="EM25" s="67">
        <f t="shared" si="48"/>
        <v>13.736600000000001</v>
      </c>
      <c r="EN25" s="67">
        <f t="shared" si="22"/>
        <v>5.5526</v>
      </c>
      <c r="EO25" s="67">
        <f t="shared" si="23"/>
        <v>9.1594857964665426</v>
      </c>
      <c r="EP25" s="67">
        <f t="shared" si="24"/>
        <v>0.53441127636259067</v>
      </c>
      <c r="ET25" s="66">
        <f t="shared" si="25"/>
        <v>0.17269332690917852</v>
      </c>
      <c r="EW25" s="14">
        <f t="shared" si="27"/>
        <v>9159.4857964665425</v>
      </c>
      <c r="EY25" s="14">
        <f t="shared" si="49"/>
        <v>873</v>
      </c>
      <c r="EZ25" s="14">
        <f t="shared" si="50"/>
        <v>1126.1579860256181</v>
      </c>
      <c r="FB25" s="14">
        <f t="shared" si="51"/>
        <v>28729.939086803512</v>
      </c>
      <c r="FC25" s="66">
        <f t="shared" si="52"/>
        <v>1</v>
      </c>
      <c r="FE25" s="14">
        <f t="shared" si="26"/>
        <v>17000</v>
      </c>
    </row>
    <row r="26" spans="2:161" x14ac:dyDescent="0.2">
      <c r="B26" s="4">
        <v>2005</v>
      </c>
      <c r="C26" s="71">
        <f t="shared" si="53"/>
        <v>13109.8</v>
      </c>
      <c r="D26" s="71">
        <f t="shared" si="82"/>
        <v>10776.8</v>
      </c>
      <c r="E26" s="71">
        <f>'Bayesian Sum (10Feb26)'!H21</f>
        <v>2333</v>
      </c>
      <c r="G26" s="14">
        <f>'[1]Data-Nisgaa &amp; Other FN Catch'!BI18</f>
        <v>179</v>
      </c>
      <c r="H26" s="14">
        <f>'[1]Data-SF-FW'!U9</f>
        <v>600</v>
      </c>
      <c r="I26" s="14">
        <f>'Data-Chin-Nisga''a'!N20</f>
        <v>2290.1999999999998</v>
      </c>
      <c r="J26" s="14">
        <f t="shared" si="54"/>
        <v>3069.2</v>
      </c>
      <c r="L26" s="72">
        <f>'Bayesian Sum (10Feb26)'!K21</f>
        <v>16178.999999999998</v>
      </c>
      <c r="M26" s="73">
        <f t="shared" si="28"/>
        <v>3.7085110328203233E-2</v>
      </c>
      <c r="N26" s="56">
        <f>'Data-Coastal-Chin-Esc (new)'!J33</f>
        <v>996.39339008363618</v>
      </c>
      <c r="O26" s="74">
        <f t="shared" si="55"/>
        <v>0</v>
      </c>
      <c r="P26" s="14"/>
      <c r="R26" s="5">
        <f>'A6-Chin (NEW2+Khutz)'!R26-'A6b-Chin (LN&amp;CoastalCU)'!R26</f>
        <v>130.7398124981753</v>
      </c>
      <c r="S26" s="5">
        <f>'A6-Chin (NEW2+Khutz)'!S26-'A6b-Chin (LN&amp;CoastalCU)'!S26</f>
        <v>4076.2000000000007</v>
      </c>
      <c r="T26" s="14">
        <f t="shared" si="56"/>
        <v>4206.9398124981763</v>
      </c>
      <c r="U26" s="73">
        <f t="shared" si="83"/>
        <v>3.1077176837607058E-2</v>
      </c>
      <c r="V26" s="14">
        <f t="shared" si="3"/>
        <v>13109.8</v>
      </c>
      <c r="X26" s="14">
        <f t="shared" si="29"/>
        <v>179</v>
      </c>
      <c r="Y26" s="14">
        <f t="shared" si="30"/>
        <v>730.7398124981753</v>
      </c>
      <c r="Z26" s="14">
        <f t="shared" si="30"/>
        <v>6366.4000000000005</v>
      </c>
      <c r="AA26" s="14">
        <f t="shared" si="4"/>
        <v>7276.1398124981761</v>
      </c>
      <c r="AC26" s="14">
        <f>'A6-Chin (NEW2+Khutz)'!AC26-'A6b-Chin (LN&amp;CoastalCU)'!AC26</f>
        <v>2887.69803942095</v>
      </c>
      <c r="AD26" s="14">
        <f>'A6-Chin (NEW2+Khutz)'!AD26-'A6b-Chin (LN&amp;CoastalCU)'!AD26</f>
        <v>1291.1814649645614</v>
      </c>
      <c r="AE26" s="14">
        <f t="shared" si="57"/>
        <v>4178.8795043855116</v>
      </c>
      <c r="AJ26" s="14">
        <f t="shared" si="58"/>
        <v>24564.819316883688</v>
      </c>
      <c r="AK26" s="122">
        <f>'A6-Chin (NEW2+Khutz)'!AK26-'A6b-Chin (LN&amp;CoastalCU)'!AL26</f>
        <v>218.77131215675843</v>
      </c>
      <c r="AL26" s="14">
        <f t="shared" si="59"/>
        <v>24783.590629040445</v>
      </c>
      <c r="AM26" s="109">
        <v>622</v>
      </c>
      <c r="AN26" s="14">
        <f>'[1]Data-FW Catch Rates - new'!CE20</f>
        <v>14374.486895266944</v>
      </c>
      <c r="AO26" s="76">
        <f t="shared" si="31"/>
        <v>1.2452618399821905E-2</v>
      </c>
      <c r="AP26" s="60">
        <f t="shared" si="32"/>
        <v>15</v>
      </c>
      <c r="AQ26" s="59"/>
      <c r="AR26" s="77">
        <f t="shared" si="33"/>
        <v>0.47102902899636961</v>
      </c>
      <c r="AS26" s="61">
        <f t="shared" si="60"/>
        <v>0.14155386612275173</v>
      </c>
      <c r="AT26" s="61">
        <f t="shared" si="34"/>
        <v>3.7085110328203233E-2</v>
      </c>
      <c r="AU26" s="61">
        <f t="shared" si="35"/>
        <v>0.18970270103220224</v>
      </c>
      <c r="AV26" s="61"/>
      <c r="AW26" s="33"/>
      <c r="AX26" s="61">
        <f t="shared" si="36"/>
        <v>0.25687964650852896</v>
      </c>
      <c r="AY26" s="61">
        <f t="shared" si="37"/>
        <v>0.11651653235577809</v>
      </c>
      <c r="AZ26" s="61">
        <f t="shared" si="38"/>
        <v>8.1583064686903281E-2</v>
      </c>
      <c r="BA26" s="61">
        <f t="shared" si="39"/>
        <v>7.2225208477360329E-3</v>
      </c>
      <c r="BB26" s="61">
        <f t="shared" si="61"/>
        <v>0.46220176439894645</v>
      </c>
      <c r="BC26" s="108">
        <f t="shared" si="62"/>
        <v>8.8272645974232129E-3</v>
      </c>
      <c r="BD26" s="78">
        <f t="shared" si="40"/>
        <v>0.47102902899636961</v>
      </c>
      <c r="BE26" s="17"/>
      <c r="BF26" s="17"/>
      <c r="BG26" s="22">
        <f>'[1]Data-PSC CH Tables'!C20</f>
        <v>13706.486895266944</v>
      </c>
      <c r="BH26" s="22">
        <f>'[1]Data-PSC CH Tables'!AG20</f>
        <v>28115.467449808668</v>
      </c>
      <c r="BI26" s="22">
        <f>'[1]Data-PSC CH Tables'!AI20</f>
        <v>28366.467449808668</v>
      </c>
      <c r="BJ26" s="17"/>
      <c r="BK26" s="22">
        <f t="shared" si="63"/>
        <v>596.6868952669447</v>
      </c>
      <c r="BL26" s="22">
        <f t="shared" si="64"/>
        <v>3550.64813292498</v>
      </c>
      <c r="BM26" s="22">
        <f t="shared" si="65"/>
        <v>3582.8768207682224</v>
      </c>
      <c r="BO26" s="33"/>
      <c r="BP26" s="33"/>
      <c r="BQ26" s="33"/>
      <c r="BS26" s="62">
        <f t="shared" si="66"/>
        <v>2887.69803942095</v>
      </c>
      <c r="BT26" s="62">
        <f t="shared" si="10"/>
        <v>6366.4000000000005</v>
      </c>
      <c r="BU26" s="62">
        <f t="shared" si="11"/>
        <v>179</v>
      </c>
      <c r="BV26" s="62">
        <f t="shared" si="12"/>
        <v>1291.1814649645614</v>
      </c>
      <c r="BW26" s="62">
        <f t="shared" si="13"/>
        <v>730.7398124981753</v>
      </c>
      <c r="BX26" s="62">
        <f t="shared" si="67"/>
        <v>11455.019316883689</v>
      </c>
      <c r="BY26" s="62">
        <f t="shared" si="15"/>
        <v>24564.819316883688</v>
      </c>
      <c r="BZ26" s="79">
        <f t="shared" si="68"/>
        <v>0.4663180774552052</v>
      </c>
      <c r="CA26" s="79">
        <f t="shared" si="69"/>
        <v>0.36480772216823865</v>
      </c>
      <c r="CB26" s="79">
        <f t="shared" si="70"/>
        <v>0.63519227783176124</v>
      </c>
      <c r="CC26" s="79">
        <f t="shared" si="19"/>
        <v>1.8740383403187764E-2</v>
      </c>
      <c r="CD26" s="33"/>
      <c r="CF26" s="36">
        <v>28133.445900143179</v>
      </c>
      <c r="CG26" s="36">
        <v>28384.445900143179</v>
      </c>
      <c r="CH26" s="81">
        <f t="shared" si="100"/>
        <v>-3568.6265832594909</v>
      </c>
      <c r="CI26" s="36">
        <f t="shared" si="101"/>
        <v>-3600.8552711027332</v>
      </c>
      <c r="CJ26" s="36">
        <v>15589.261217312373</v>
      </c>
      <c r="CK26" s="81">
        <f t="shared" si="73"/>
        <v>-2479.4612173123733</v>
      </c>
      <c r="CM26" s="33">
        <f t="shared" si="84"/>
        <v>2005</v>
      </c>
      <c r="CN26" s="96">
        <f t="shared" si="91"/>
        <v>24564.819316883688</v>
      </c>
      <c r="CO26" s="97">
        <f t="shared" si="92"/>
        <v>4406.2072603381139</v>
      </c>
      <c r="CP26" s="97">
        <f t="shared" si="93"/>
        <v>9564.8193168836879</v>
      </c>
      <c r="CQ26" s="62">
        <f t="shared" si="94"/>
        <v>13109.8</v>
      </c>
      <c r="CR26" s="98" t="str">
        <f t="shared" si="85"/>
        <v>Y</v>
      </c>
      <c r="CS26" s="98" t="str">
        <f t="shared" si="95"/>
        <v>N</v>
      </c>
      <c r="CT26" s="99">
        <f t="shared" si="102"/>
        <v>5158.612056545574</v>
      </c>
      <c r="CU26" s="100">
        <f>IF(CR26="N",0,IF(CS26="N",(BX26-BT26)+CT26,CT26))</f>
        <v>10247.231373429262</v>
      </c>
      <c r="CV26" s="100"/>
      <c r="CW26" s="100"/>
      <c r="CX26" s="101">
        <f t="shared" si="96"/>
        <v>6366.4000000000005</v>
      </c>
      <c r="CY26" s="102">
        <f t="shared" si="86"/>
        <v>-3880.8313734292615</v>
      </c>
      <c r="CZ26" s="79">
        <v>0.1</v>
      </c>
      <c r="DA26" s="103">
        <f t="shared" si="97"/>
        <v>-515.86120565455747</v>
      </c>
      <c r="DB26" s="107">
        <f t="shared" si="87"/>
        <v>-3880.8313734292615</v>
      </c>
      <c r="DC26" s="33"/>
      <c r="DD26" s="107">
        <f t="shared" si="104"/>
        <v>-2602.8236538370538</v>
      </c>
      <c r="DE26" s="105">
        <f t="shared" si="98"/>
        <v>-3880.8313734292615</v>
      </c>
      <c r="DF26" s="105">
        <f t="shared" si="99"/>
        <v>3880.8313734292615</v>
      </c>
      <c r="DH26" s="66">
        <f t="shared" si="20"/>
        <v>0</v>
      </c>
      <c r="DK26" s="106">
        <f t="shared" si="88"/>
        <v>0.11755421451181615</v>
      </c>
      <c r="DL26" s="106">
        <f t="shared" si="89"/>
        <v>5.2562221130489542E-2</v>
      </c>
      <c r="DS26" s="14">
        <f t="shared" si="43"/>
        <v>13109.8</v>
      </c>
      <c r="DT26" s="14">
        <v>16663.306215128945</v>
      </c>
      <c r="DU26" s="14">
        <f t="shared" si="77"/>
        <v>3553.5062151289458</v>
      </c>
      <c r="DW26" s="14">
        <f t="shared" si="44"/>
        <v>24564.819316883688</v>
      </c>
      <c r="DX26" s="14">
        <v>28324.306215128945</v>
      </c>
      <c r="DY26" s="14">
        <f t="shared" si="78"/>
        <v>3759.4868982452572</v>
      </c>
      <c r="EC26" s="3">
        <f t="shared" si="90"/>
        <v>0.69102208771285811</v>
      </c>
      <c r="ED26" s="3">
        <f t="shared" si="90"/>
        <v>0.30897791228714183</v>
      </c>
      <c r="EG26" s="14">
        <f t="shared" si="46"/>
        <v>5088.6193168836871</v>
      </c>
      <c r="EI26" s="89">
        <f t="shared" si="81"/>
        <v>0</v>
      </c>
      <c r="EJ26" s="89">
        <f t="shared" si="47"/>
        <v>0</v>
      </c>
      <c r="EL26" s="67"/>
      <c r="EM26" s="67">
        <f t="shared" si="48"/>
        <v>13.1098</v>
      </c>
      <c r="EN26" s="67">
        <f t="shared" si="22"/>
        <v>6.3664000000000005</v>
      </c>
      <c r="EO26" s="67">
        <f t="shared" si="23"/>
        <v>5.0886193168836868</v>
      </c>
      <c r="EP26" s="67">
        <f t="shared" si="24"/>
        <v>0.21877131215675844</v>
      </c>
      <c r="ET26" s="66">
        <f t="shared" si="25"/>
        <v>0.18970270103220224</v>
      </c>
      <c r="EW26" s="14">
        <f t="shared" si="27"/>
        <v>5088.619316883688</v>
      </c>
      <c r="EY26" s="14">
        <f t="shared" si="49"/>
        <v>779</v>
      </c>
      <c r="EZ26" s="14">
        <f t="shared" si="50"/>
        <v>909.7398124981753</v>
      </c>
      <c r="FB26" s="14">
        <f t="shared" si="51"/>
        <v>24652.850816542268</v>
      </c>
      <c r="FC26" s="66">
        <f t="shared" si="52"/>
        <v>1</v>
      </c>
      <c r="FE26" s="14">
        <f t="shared" si="26"/>
        <v>16000</v>
      </c>
    </row>
    <row r="27" spans="2:161" x14ac:dyDescent="0.2">
      <c r="B27" s="4">
        <v>2006</v>
      </c>
      <c r="C27" s="71">
        <f t="shared" si="53"/>
        <v>22580.6</v>
      </c>
      <c r="D27" s="71">
        <f t="shared" si="82"/>
        <v>18518.599999999999</v>
      </c>
      <c r="E27" s="71">
        <f>'Bayesian Sum (10Feb26)'!H22</f>
        <v>4062</v>
      </c>
      <c r="G27" s="14">
        <f>'[1]Data-Nisgaa &amp; Other FN Catch'!BI19</f>
        <v>456</v>
      </c>
      <c r="H27" s="14">
        <f>'[1]Data-SF-FW'!U10</f>
        <v>1012</v>
      </c>
      <c r="I27" s="14">
        <f>'Data-Chin-Nisga''a'!N21</f>
        <v>3584.4</v>
      </c>
      <c r="J27" s="14">
        <f t="shared" si="54"/>
        <v>5052.3999999999996</v>
      </c>
      <c r="L27" s="72">
        <f>'Bayesian Sum (10Feb26)'!K22</f>
        <v>27633</v>
      </c>
      <c r="M27" s="73">
        <f t="shared" si="28"/>
        <v>3.6622878442442011E-2</v>
      </c>
      <c r="N27" s="56">
        <f>'Data-Coastal-Chin-Esc (new)'!J34</f>
        <v>964.39827963336984</v>
      </c>
      <c r="O27" s="74">
        <f t="shared" si="55"/>
        <v>0</v>
      </c>
      <c r="P27" s="14"/>
      <c r="R27" s="5">
        <f>'A6-Chin (NEW2+Khutz)'!R27-'A6b-Chin (LN&amp;CoastalCU)'!R27</f>
        <v>214.85673014525722</v>
      </c>
      <c r="S27" s="5">
        <f>'A6-Chin (NEW2+Khutz)'!S27-'A6b-Chin (LN&amp;CoastalCU)'!S27</f>
        <v>3822.3999999999996</v>
      </c>
      <c r="T27" s="14">
        <f t="shared" si="56"/>
        <v>4037.2567301452568</v>
      </c>
      <c r="U27" s="73">
        <f t="shared" si="83"/>
        <v>5.3218495752566833E-2</v>
      </c>
      <c r="V27" s="14">
        <f t="shared" si="3"/>
        <v>22580.6</v>
      </c>
      <c r="X27" s="14">
        <f t="shared" si="29"/>
        <v>456</v>
      </c>
      <c r="Y27" s="14">
        <f t="shared" si="30"/>
        <v>1226.8567301452572</v>
      </c>
      <c r="Z27" s="14">
        <f t="shared" si="30"/>
        <v>7406.7999999999993</v>
      </c>
      <c r="AA27" s="14">
        <f t="shared" si="4"/>
        <v>9089.656730145256</v>
      </c>
      <c r="AC27" s="14">
        <f>'A6-Chin (NEW2+Khutz)'!AC27-'A6b-Chin (LN&amp;CoastalCU)'!AC27</f>
        <v>3961.2084313155269</v>
      </c>
      <c r="AD27" s="14">
        <f>'A6-Chin (NEW2+Khutz)'!AD27-'A6b-Chin (LN&amp;CoastalCU)'!AD27</f>
        <v>788.34982053665544</v>
      </c>
      <c r="AE27" s="14">
        <f t="shared" si="57"/>
        <v>4749.5582518521824</v>
      </c>
      <c r="AJ27" s="14">
        <f t="shared" si="58"/>
        <v>36419.814981997435</v>
      </c>
      <c r="AK27" s="122">
        <f>'A6-Chin (NEW2+Khutz)'!AK27-'A6b-Chin (LN&amp;CoastalCU)'!AL27</f>
        <v>1461.0032911726178</v>
      </c>
      <c r="AL27" s="14">
        <f t="shared" si="59"/>
        <v>37880.818273170051</v>
      </c>
      <c r="AM27" s="109">
        <v>2741</v>
      </c>
      <c r="AN27" s="14">
        <f>'[1]Data-FW Catch Rates - new'!CE21</f>
        <v>24539.274081002797</v>
      </c>
      <c r="AO27" s="76">
        <f t="shared" si="31"/>
        <v>1.8582456779070524E-2</v>
      </c>
      <c r="AP27" s="60">
        <f t="shared" si="32"/>
        <v>30</v>
      </c>
      <c r="AQ27" s="59"/>
      <c r="AR27" s="77">
        <f t="shared" si="33"/>
        <v>0.40390411217718553</v>
      </c>
      <c r="AS27" s="61">
        <f t="shared" si="60"/>
        <v>0.12971447182716317</v>
      </c>
      <c r="AT27" s="61">
        <f t="shared" si="34"/>
        <v>3.6622878442442011E-2</v>
      </c>
      <c r="AU27" s="61">
        <f t="shared" si="35"/>
        <v>0.1828393587377411</v>
      </c>
      <c r="AV27" s="61"/>
      <c r="AW27" s="33"/>
      <c r="AX27" s="61">
        <f t="shared" si="36"/>
        <v>0.19552903917194506</v>
      </c>
      <c r="AY27" s="61">
        <f t="shared" si="37"/>
        <v>0.10457029736659999</v>
      </c>
      <c r="AZ27" s="61">
        <f t="shared" si="38"/>
        <v>5.3198601364670847E-2</v>
      </c>
      <c r="BA27" s="61">
        <f t="shared" si="39"/>
        <v>1.2037754747314219E-2</v>
      </c>
      <c r="BB27" s="61">
        <f t="shared" si="61"/>
        <v>0.36533569265053012</v>
      </c>
      <c r="BC27" s="61">
        <f t="shared" si="62"/>
        <v>3.8568419526655434E-2</v>
      </c>
      <c r="BD27" s="78">
        <f t="shared" si="40"/>
        <v>0.40390411217718553</v>
      </c>
      <c r="BE27" s="17"/>
      <c r="BF27" s="17"/>
      <c r="BG27" s="22">
        <f>'[1]Data-PSC CH Tables'!C21</f>
        <v>23594.274081002797</v>
      </c>
      <c r="BH27" s="22">
        <f>'[1]Data-PSC CH Tables'!AG21</f>
        <v>43559.187215170736</v>
      </c>
      <c r="BI27" s="22">
        <f>'[1]Data-PSC CH Tables'!AI21</f>
        <v>45309.187215170736</v>
      </c>
      <c r="BJ27" s="17"/>
      <c r="BK27" s="22">
        <f t="shared" si="63"/>
        <v>1013.6740810027986</v>
      </c>
      <c r="BL27" s="22">
        <f t="shared" si="64"/>
        <v>7139.3722331733006</v>
      </c>
      <c r="BM27" s="22">
        <f t="shared" si="65"/>
        <v>7428.3689420006849</v>
      </c>
      <c r="BO27" s="33"/>
      <c r="BP27" s="33"/>
      <c r="BQ27" s="33"/>
      <c r="BS27" s="62">
        <f t="shared" si="66"/>
        <v>3961.2084313155269</v>
      </c>
      <c r="BT27" s="62">
        <f t="shared" si="10"/>
        <v>7406.7999999999993</v>
      </c>
      <c r="BU27" s="62">
        <f t="shared" si="11"/>
        <v>456</v>
      </c>
      <c r="BV27" s="62">
        <f t="shared" si="12"/>
        <v>788.34982053665544</v>
      </c>
      <c r="BW27" s="62">
        <f t="shared" si="13"/>
        <v>1226.8567301452572</v>
      </c>
      <c r="BX27" s="62">
        <f t="shared" si="67"/>
        <v>13839.214981997438</v>
      </c>
      <c r="BY27" s="62">
        <f t="shared" si="15"/>
        <v>36419.814981997435</v>
      </c>
      <c r="BZ27" s="79">
        <f t="shared" si="68"/>
        <v>0.37999135879296086</v>
      </c>
      <c r="CA27" s="79">
        <f t="shared" si="69"/>
        <v>0.34319564065090274</v>
      </c>
      <c r="CB27" s="79">
        <f t="shared" si="70"/>
        <v>0.6568043593490972</v>
      </c>
      <c r="CC27" s="79">
        <f t="shared" si="19"/>
        <v>9.5489048919948E-2</v>
      </c>
      <c r="CD27" s="33"/>
      <c r="CF27" s="36">
        <v>43603.252895802958</v>
      </c>
      <c r="CG27" s="36">
        <v>45353.252895802958</v>
      </c>
      <c r="CH27" s="81">
        <f t="shared" si="100"/>
        <v>-7183.4379138055228</v>
      </c>
      <c r="CI27" s="36">
        <f t="shared" si="101"/>
        <v>-7472.4346226329071</v>
      </c>
      <c r="CJ27" s="36">
        <v>28104.282237830972</v>
      </c>
      <c r="CK27" s="81">
        <f t="shared" si="73"/>
        <v>-5523.6822378309735</v>
      </c>
      <c r="CM27" s="33">
        <f t="shared" si="84"/>
        <v>2006</v>
      </c>
      <c r="CN27" s="96">
        <f t="shared" si="91"/>
        <v>36419.814981997435</v>
      </c>
      <c r="CO27" s="97">
        <f t="shared" si="92"/>
        <v>13771.653835777974</v>
      </c>
      <c r="CP27" s="97">
        <f t="shared" si="93"/>
        <v>21419.814981997435</v>
      </c>
      <c r="CQ27" s="62">
        <f t="shared" si="94"/>
        <v>22580.6</v>
      </c>
      <c r="CR27" s="98" t="str">
        <f t="shared" si="85"/>
        <v>Y</v>
      </c>
      <c r="CS27" s="98" t="str">
        <f t="shared" si="95"/>
        <v>Y</v>
      </c>
      <c r="CT27" s="99">
        <f t="shared" si="102"/>
        <v>7648.1611462194614</v>
      </c>
      <c r="CU27" s="100">
        <f t="shared" si="103"/>
        <v>7648.1611462194614</v>
      </c>
      <c r="CV27" s="100"/>
      <c r="CW27" s="100"/>
      <c r="CX27" s="101">
        <f t="shared" si="96"/>
        <v>7406.7999999999993</v>
      </c>
      <c r="CY27" s="102">
        <f t="shared" si="86"/>
        <v>-241.36114621946217</v>
      </c>
      <c r="CZ27" s="79">
        <v>0.1</v>
      </c>
      <c r="DA27" s="103">
        <f t="shared" si="97"/>
        <v>-764.81611462194621</v>
      </c>
      <c r="DB27" s="107">
        <f t="shared" si="87"/>
        <v>-241.36114621946217</v>
      </c>
      <c r="DC27" s="33"/>
      <c r="DD27" s="107">
        <f t="shared" si="104"/>
        <v>-2844.184800056516</v>
      </c>
      <c r="DE27" s="105">
        <f t="shared" si="98"/>
        <v>-241.36114621946217</v>
      </c>
      <c r="DF27" s="105">
        <f t="shared" si="99"/>
        <v>241.36114621946217</v>
      </c>
      <c r="DH27" s="66">
        <f t="shared" si="20"/>
        <v>0</v>
      </c>
      <c r="DK27" s="106">
        <f t="shared" si="88"/>
        <v>0.10876519919921558</v>
      </c>
      <c r="DL27" s="106">
        <f t="shared" si="89"/>
        <v>2.1646178623541668E-2</v>
      </c>
      <c r="DS27" s="14">
        <f t="shared" si="43"/>
        <v>22580.6</v>
      </c>
      <c r="DT27" s="14">
        <v>28577.107523933752</v>
      </c>
      <c r="DU27" s="14">
        <f t="shared" si="77"/>
        <v>5996.507523933753</v>
      </c>
      <c r="DW27" s="14">
        <f t="shared" si="44"/>
        <v>36419.814981997435</v>
      </c>
      <c r="DX27" s="14">
        <v>42688.913623933746</v>
      </c>
      <c r="DY27" s="14">
        <f t="shared" si="78"/>
        <v>6269.0986419363107</v>
      </c>
      <c r="EC27" s="3">
        <f t="shared" si="90"/>
        <v>0.83401618029861557</v>
      </c>
      <c r="ED27" s="3">
        <f t="shared" si="90"/>
        <v>0.16598381970138446</v>
      </c>
      <c r="EG27" s="14">
        <f t="shared" si="46"/>
        <v>6432.4149819974391</v>
      </c>
      <c r="EI27" s="89">
        <f t="shared" si="81"/>
        <v>0</v>
      </c>
      <c r="EJ27" s="89">
        <f t="shared" si="47"/>
        <v>0</v>
      </c>
      <c r="EL27" s="67"/>
      <c r="EM27" s="67">
        <f t="shared" si="48"/>
        <v>22.580599999999997</v>
      </c>
      <c r="EN27" s="67">
        <f t="shared" si="22"/>
        <v>7.4067999999999996</v>
      </c>
      <c r="EO27" s="67">
        <f t="shared" si="23"/>
        <v>6.4324149819974394</v>
      </c>
      <c r="EP27" s="67">
        <f t="shared" si="24"/>
        <v>1.4610032911726178</v>
      </c>
      <c r="ET27" s="66">
        <f t="shared" si="25"/>
        <v>0.1828393587377411</v>
      </c>
      <c r="EW27" s="14">
        <f t="shared" si="27"/>
        <v>6432.4149819974391</v>
      </c>
      <c r="EY27" s="14">
        <f t="shared" si="49"/>
        <v>1468</v>
      </c>
      <c r="EZ27" s="14">
        <f t="shared" si="50"/>
        <v>1682.8567301452572</v>
      </c>
      <c r="FB27" s="14">
        <f t="shared" si="51"/>
        <v>37665.961543024801</v>
      </c>
      <c r="FC27" s="66">
        <f t="shared" si="52"/>
        <v>1</v>
      </c>
      <c r="FE27" s="14">
        <f t="shared" si="26"/>
        <v>28000</v>
      </c>
    </row>
    <row r="28" spans="2:161" x14ac:dyDescent="0.2">
      <c r="B28" s="4">
        <v>2007</v>
      </c>
      <c r="C28" s="71">
        <f t="shared" si="53"/>
        <v>20640.400000000001</v>
      </c>
      <c r="D28" s="71">
        <f t="shared" si="82"/>
        <v>16385.400000000001</v>
      </c>
      <c r="E28" s="71">
        <f>'Bayesian Sum (10Feb26)'!H23</f>
        <v>4255</v>
      </c>
      <c r="G28" s="14">
        <f>'[1]Data-Nisgaa &amp; Other FN Catch'!BI20</f>
        <v>24</v>
      </c>
      <c r="H28" s="14">
        <f>'[1]Data-SF-FW'!U11</f>
        <v>965</v>
      </c>
      <c r="I28" s="14">
        <f>'Data-Chin-Nisga''a'!N22</f>
        <v>4092.6</v>
      </c>
      <c r="J28" s="14">
        <f t="shared" si="54"/>
        <v>5081.6000000000004</v>
      </c>
      <c r="L28" s="72">
        <f>'Bayesian Sum (10Feb26)'!K23</f>
        <v>25722</v>
      </c>
      <c r="M28" s="73">
        <f t="shared" si="28"/>
        <v>3.75165228209315E-2</v>
      </c>
      <c r="N28" s="56">
        <f>'Data-Coastal-Chin-Esc (new)'!J35</f>
        <v>1912.5599223080219</v>
      </c>
      <c r="O28" s="74">
        <f t="shared" si="55"/>
        <v>0</v>
      </c>
      <c r="P28" s="14"/>
      <c r="R28" s="5">
        <f>'A6-Chin (NEW2+Khutz)'!R28-'A6b-Chin (LN&amp;CoastalCU)'!R28</f>
        <v>444.05720150919046</v>
      </c>
      <c r="S28" s="5">
        <f>'A6-Chin (NEW2+Khutz)'!S28-'A6b-Chin (LN&amp;CoastalCU)'!S28</f>
        <v>2381.4</v>
      </c>
      <c r="T28" s="14">
        <f t="shared" si="56"/>
        <v>2825.4572015091908</v>
      </c>
      <c r="U28" s="73">
        <f t="shared" si="83"/>
        <v>0.15716295446698028</v>
      </c>
      <c r="V28" s="14">
        <f t="shared" si="3"/>
        <v>20640.400000000001</v>
      </c>
      <c r="X28" s="14">
        <f t="shared" si="29"/>
        <v>24</v>
      </c>
      <c r="Y28" s="14">
        <f t="shared" si="30"/>
        <v>1409.0572015091905</v>
      </c>
      <c r="Z28" s="14">
        <f t="shared" si="30"/>
        <v>6474</v>
      </c>
      <c r="AA28" s="14">
        <f t="shared" si="4"/>
        <v>7907.0572015091902</v>
      </c>
      <c r="AC28" s="14">
        <f>'A6-Chin (NEW2+Khutz)'!AC28-'A6b-Chin (LN&amp;CoastalCU)'!AC28</f>
        <v>3785.0996028558088</v>
      </c>
      <c r="AD28" s="14">
        <f>'A6-Chin (NEW2+Khutz)'!AD28-'A6b-Chin (LN&amp;CoastalCU)'!AD28</f>
        <v>1530.9400661554948</v>
      </c>
      <c r="AE28" s="14">
        <f t="shared" si="57"/>
        <v>5316.0396690113039</v>
      </c>
      <c r="AJ28" s="14">
        <f t="shared" si="58"/>
        <v>33863.496870520496</v>
      </c>
      <c r="AK28" s="122">
        <f>'A6-Chin (NEW2+Khutz)'!AK28-'A6b-Chin (LN&amp;CoastalCU)'!AL28</f>
        <v>1147.4213759572112</v>
      </c>
      <c r="AL28" s="14">
        <f t="shared" si="59"/>
        <v>35010.918246477704</v>
      </c>
      <c r="AM28" s="109">
        <v>1141</v>
      </c>
      <c r="AN28" s="14">
        <f>'[1]Data-FW Catch Rates - new'!CE22</f>
        <v>22649.31290378391</v>
      </c>
      <c r="AO28" s="76">
        <f t="shared" si="31"/>
        <v>1.05963479342415E-3</v>
      </c>
      <c r="AP28" s="60">
        <f t="shared" si="32"/>
        <v>27</v>
      </c>
      <c r="AQ28" s="59"/>
      <c r="AR28" s="77">
        <f t="shared" si="33"/>
        <v>0.41045819322158056</v>
      </c>
      <c r="AS28" s="61">
        <f t="shared" si="60"/>
        <v>0.15910893398647072</v>
      </c>
      <c r="AT28" s="61">
        <f t="shared" si="34"/>
        <v>3.75165228209315E-2</v>
      </c>
      <c r="AU28" s="61">
        <f t="shared" si="35"/>
        <v>0.19755851022471038</v>
      </c>
      <c r="AV28" s="61"/>
      <c r="AW28" s="33"/>
      <c r="AX28" s="61">
        <f t="shared" si="36"/>
        <v>0.1849137447473638</v>
      </c>
      <c r="AY28" s="61">
        <f t="shared" si="37"/>
        <v>0.10811197741826184</v>
      </c>
      <c r="AZ28" s="61">
        <f t="shared" si="38"/>
        <v>8.3973726337796512E-2</v>
      </c>
      <c r="BA28" s="61">
        <f t="shared" si="39"/>
        <v>6.8550044391979168E-4</v>
      </c>
      <c r="BB28" s="61">
        <f t="shared" si="61"/>
        <v>0.37768494894734195</v>
      </c>
      <c r="BC28" s="61">
        <f>AK28/AL28</f>
        <v>3.2773244274238604E-2</v>
      </c>
      <c r="BD28" s="78">
        <f t="shared" si="40"/>
        <v>0.41045819322158056</v>
      </c>
      <c r="BE28" s="17"/>
      <c r="BF28" s="17"/>
      <c r="BG28" s="22">
        <f>'[1]Data-PSC CH Tables'!C22</f>
        <v>22136.31290378391</v>
      </c>
      <c r="BH28" s="22">
        <f>'[1]Data-PSC CH Tables'!AG22</f>
        <v>39605.233147075145</v>
      </c>
      <c r="BI28" s="22">
        <f>'[1]Data-PSC CH Tables'!AI22</f>
        <v>40927.233147075145</v>
      </c>
      <c r="BJ28" s="17"/>
      <c r="BK28" s="22">
        <f t="shared" si="63"/>
        <v>1495.9129037839084</v>
      </c>
      <c r="BL28" s="22">
        <f t="shared" si="64"/>
        <v>5741.7362765546495</v>
      </c>
      <c r="BM28" s="22">
        <f t="shared" si="65"/>
        <v>5916.314900597441</v>
      </c>
      <c r="BO28" s="33"/>
      <c r="BP28" s="33"/>
      <c r="BQ28" s="33"/>
      <c r="BS28" s="62">
        <f t="shared" si="66"/>
        <v>3785.0996028558088</v>
      </c>
      <c r="BT28" s="62">
        <f t="shared" si="10"/>
        <v>6474</v>
      </c>
      <c r="BU28" s="62">
        <f t="shared" si="11"/>
        <v>24</v>
      </c>
      <c r="BV28" s="62">
        <f t="shared" si="12"/>
        <v>1530.9400661554948</v>
      </c>
      <c r="BW28" s="62">
        <f t="shared" si="13"/>
        <v>1409.0572015091905</v>
      </c>
      <c r="BX28" s="62">
        <f t="shared" si="67"/>
        <v>13223.096870520496</v>
      </c>
      <c r="BY28" s="62">
        <f t="shared" si="15"/>
        <v>33863.496870520496</v>
      </c>
      <c r="BZ28" s="79">
        <f t="shared" si="68"/>
        <v>0.39048232145309603</v>
      </c>
      <c r="CA28" s="79">
        <f t="shared" si="69"/>
        <v>0.40202682632257314</v>
      </c>
      <c r="CB28" s="79">
        <f t="shared" si="70"/>
        <v>0.59797317367742675</v>
      </c>
      <c r="CC28" s="79">
        <f t="shared" si="19"/>
        <v>7.9845511224930985E-2</v>
      </c>
      <c r="CD28" s="33"/>
      <c r="CF28" s="36">
        <v>39632.49659260804</v>
      </c>
      <c r="CG28" s="36">
        <v>40954.49659260804</v>
      </c>
      <c r="CH28" s="81">
        <f t="shared" si="100"/>
        <v>-5768.9997220875448</v>
      </c>
      <c r="CI28" s="36">
        <f t="shared" si="101"/>
        <v>-5943.5783461303363</v>
      </c>
      <c r="CJ28" s="36">
        <v>24991.448592608034</v>
      </c>
      <c r="CK28" s="81">
        <f t="shared" si="73"/>
        <v>-4351.0485926080328</v>
      </c>
      <c r="CM28" s="33">
        <f t="shared" si="84"/>
        <v>2007</v>
      </c>
      <c r="CN28" s="96">
        <f t="shared" si="91"/>
        <v>33863.496870520496</v>
      </c>
      <c r="CO28" s="97">
        <f t="shared" si="92"/>
        <v>11752.162527711193</v>
      </c>
      <c r="CP28" s="97">
        <f t="shared" si="93"/>
        <v>18863.496870520496</v>
      </c>
      <c r="CQ28" s="62">
        <f t="shared" si="94"/>
        <v>20640.400000000001</v>
      </c>
      <c r="CR28" s="98" t="str">
        <f t="shared" si="85"/>
        <v>Y</v>
      </c>
      <c r="CS28" s="98" t="str">
        <f t="shared" si="95"/>
        <v>Y</v>
      </c>
      <c r="CT28" s="99">
        <f t="shared" si="102"/>
        <v>7111.334342809304</v>
      </c>
      <c r="CU28" s="100">
        <f t="shared" si="103"/>
        <v>7111.334342809304</v>
      </c>
      <c r="CV28" s="100"/>
      <c r="CW28" s="100"/>
      <c r="CX28" s="101">
        <f t="shared" si="96"/>
        <v>6474</v>
      </c>
      <c r="CY28" s="102">
        <f t="shared" si="86"/>
        <v>-637.33434280930396</v>
      </c>
      <c r="CZ28" s="79">
        <v>0.1</v>
      </c>
      <c r="DA28" s="103">
        <f t="shared" si="97"/>
        <v>-711.13343428093049</v>
      </c>
      <c r="DB28" s="107">
        <f t="shared" si="87"/>
        <v>-637.33434280930396</v>
      </c>
      <c r="DC28" s="33"/>
      <c r="DD28" s="107">
        <f t="shared" si="104"/>
        <v>-3481.51914286582</v>
      </c>
      <c r="DE28" s="105">
        <f t="shared" si="98"/>
        <v>-637.33434280930396</v>
      </c>
      <c r="DF28" s="105">
        <f t="shared" si="99"/>
        <v>637.33434280930396</v>
      </c>
      <c r="DH28" s="66">
        <f t="shared" si="20"/>
        <v>0</v>
      </c>
      <c r="DK28" s="106">
        <f t="shared" si="88"/>
        <v>0.11177521380406778</v>
      </c>
      <c r="DL28" s="106">
        <f t="shared" si="89"/>
        <v>4.5209154624791227E-2</v>
      </c>
      <c r="DS28" s="14">
        <f t="shared" si="43"/>
        <v>20640.400000000001</v>
      </c>
      <c r="DT28" s="14">
        <v>27841.629482244516</v>
      </c>
      <c r="DU28" s="14">
        <f t="shared" si="77"/>
        <v>7201.2294822445147</v>
      </c>
      <c r="DW28" s="14">
        <f t="shared" si="44"/>
        <v>33863.496870520496</v>
      </c>
      <c r="DX28" s="14">
        <v>41711.629482244512</v>
      </c>
      <c r="DY28" s="14">
        <f t="shared" si="78"/>
        <v>7848.1326117240169</v>
      </c>
      <c r="EC28" s="3">
        <f t="shared" si="90"/>
        <v>0.71201492812783607</v>
      </c>
      <c r="ED28" s="3">
        <f t="shared" si="90"/>
        <v>0.28798507187216393</v>
      </c>
      <c r="EG28" s="14">
        <f t="shared" si="46"/>
        <v>6749.0968705204941</v>
      </c>
      <c r="EI28" s="89">
        <f t="shared" si="81"/>
        <v>0</v>
      </c>
      <c r="EJ28" s="89">
        <f t="shared" si="47"/>
        <v>0</v>
      </c>
      <c r="EL28" s="67"/>
      <c r="EM28" s="67">
        <f t="shared" si="48"/>
        <v>20.640400000000003</v>
      </c>
      <c r="EN28" s="67">
        <f t="shared" si="22"/>
        <v>6.4740000000000002</v>
      </c>
      <c r="EO28" s="67">
        <f t="shared" si="23"/>
        <v>6.7490968705204946</v>
      </c>
      <c r="EP28" s="67">
        <f t="shared" si="24"/>
        <v>1.1474213759572112</v>
      </c>
      <c r="ET28" s="66">
        <f t="shared" si="25"/>
        <v>0.19755851022471038</v>
      </c>
      <c r="EW28" s="14">
        <f t="shared" si="27"/>
        <v>6749.0968705204959</v>
      </c>
      <c r="EY28" s="14">
        <f t="shared" si="49"/>
        <v>989</v>
      </c>
      <c r="EZ28" s="14">
        <f t="shared" si="50"/>
        <v>1433.0572015091905</v>
      </c>
      <c r="FB28" s="14">
        <f t="shared" si="51"/>
        <v>34566.861044968515</v>
      </c>
      <c r="FC28" s="66">
        <f t="shared" si="52"/>
        <v>1</v>
      </c>
      <c r="FE28" s="14">
        <f t="shared" si="26"/>
        <v>26000</v>
      </c>
    </row>
    <row r="29" spans="2:161" x14ac:dyDescent="0.2">
      <c r="B29" s="4">
        <v>2008</v>
      </c>
      <c r="C29" s="71">
        <f t="shared" si="53"/>
        <v>21046.799999999999</v>
      </c>
      <c r="D29" s="71">
        <f t="shared" si="82"/>
        <v>17645.8</v>
      </c>
      <c r="E29" s="71">
        <f>'Bayesian Sum (10Feb26)'!H24</f>
        <v>3401</v>
      </c>
      <c r="G29" s="14">
        <f>'[1]Data-Nisgaa &amp; Other FN Catch'!BI21</f>
        <v>174</v>
      </c>
      <c r="H29" s="14">
        <f>'[1]Data-SF-FW'!U12</f>
        <v>775</v>
      </c>
      <c r="I29" s="14">
        <f>'Data-Chin-Nisga''a'!N23</f>
        <v>1092.2</v>
      </c>
      <c r="J29" s="14">
        <f t="shared" si="54"/>
        <v>2041.2</v>
      </c>
      <c r="L29" s="72">
        <f>'Bayesian Sum (10Feb26)'!K24</f>
        <v>23088</v>
      </c>
      <c r="M29" s="73">
        <f t="shared" si="28"/>
        <v>3.356722106722107E-2</v>
      </c>
      <c r="N29" s="56">
        <f>'Data-Coastal-Chin-Esc (new)'!J36</f>
        <v>616.19310226672303</v>
      </c>
      <c r="O29" s="74">
        <f t="shared" si="55"/>
        <v>0</v>
      </c>
      <c r="P29" s="14"/>
      <c r="R29" s="5">
        <f>'A6-Chin (NEW2+Khutz)'!R29-'A6b-Chin (LN&amp;CoastalCU)'!R29</f>
        <v>454.35555358686236</v>
      </c>
      <c r="S29" s="5">
        <f>'A6-Chin (NEW2+Khutz)'!S29-'A6b-Chin (LN&amp;CoastalCU)'!S29</f>
        <v>2764.9999999999995</v>
      </c>
      <c r="T29" s="14">
        <f t="shared" si="56"/>
        <v>3219.3555535868618</v>
      </c>
      <c r="U29" s="73">
        <f t="shared" si="83"/>
        <v>0.14113245524578349</v>
      </c>
      <c r="V29" s="14">
        <f t="shared" si="3"/>
        <v>21046.799999999999</v>
      </c>
      <c r="X29" s="14">
        <f t="shared" si="29"/>
        <v>174</v>
      </c>
      <c r="Y29" s="14">
        <f t="shared" si="30"/>
        <v>1229.3555535868622</v>
      </c>
      <c r="Z29" s="14">
        <f t="shared" si="30"/>
        <v>3857.2</v>
      </c>
      <c r="AA29" s="14">
        <f t="shared" si="4"/>
        <v>5260.5555535868625</v>
      </c>
      <c r="AC29" s="14">
        <f>'A6-Chin (NEW2+Khutz)'!AC29-'A6b-Chin (LN&amp;CoastalCU)'!AC29</f>
        <v>408.50328677633155</v>
      </c>
      <c r="AD29" s="14">
        <f>'A6-Chin (NEW2+Khutz)'!AD29-'A6b-Chin (LN&amp;CoastalCU)'!AD29</f>
        <v>1418.2196470341369</v>
      </c>
      <c r="AE29" s="14">
        <f t="shared" si="57"/>
        <v>1826.7229338104685</v>
      </c>
      <c r="AJ29" s="14">
        <f t="shared" si="58"/>
        <v>28134.078487397332</v>
      </c>
      <c r="AK29" s="122">
        <f>'A6-Chin (NEW2+Khutz)'!AK29-'A6b-Chin (LN&amp;CoastalCU)'!AL29</f>
        <v>321.07010235592168</v>
      </c>
      <c r="AL29" s="14">
        <f t="shared" si="59"/>
        <v>28455.148589753255</v>
      </c>
      <c r="AM29" s="109">
        <v>353</v>
      </c>
      <c r="AN29" s="14">
        <f>'[1]Data-FW Catch Rates - new'!CE23</f>
        <v>20294.36</v>
      </c>
      <c r="AO29" s="76">
        <f t="shared" si="31"/>
        <v>8.5738106547829044E-3</v>
      </c>
      <c r="AP29" s="60">
        <f t="shared" si="32"/>
        <v>23</v>
      </c>
      <c r="AQ29" s="59"/>
      <c r="AR29" s="77">
        <f t="shared" si="33"/>
        <v>0.26035178014923493</v>
      </c>
      <c r="AS29" s="61">
        <f t="shared" si="60"/>
        <v>4.7305959805959807E-2</v>
      </c>
      <c r="AT29" s="61">
        <f t="shared" si="34"/>
        <v>3.356722106722107E-2</v>
      </c>
      <c r="AU29" s="61">
        <f t="shared" si="35"/>
        <v>8.8409563409563408E-2</v>
      </c>
      <c r="AV29" s="61"/>
      <c r="AW29" s="33"/>
      <c r="AX29" s="61">
        <f t="shared" si="36"/>
        <v>0.13555367626472292</v>
      </c>
      <c r="AY29" s="61">
        <f t="shared" si="37"/>
        <v>1.4356041244621517E-2</v>
      </c>
      <c r="AZ29" s="61">
        <f t="shared" si="38"/>
        <v>9.3043801625917189E-2</v>
      </c>
      <c r="BA29" s="61">
        <f t="shared" si="39"/>
        <v>6.1148863605884557E-3</v>
      </c>
      <c r="BB29" s="61">
        <f t="shared" si="61"/>
        <v>0.2490684054958501</v>
      </c>
      <c r="BC29" s="61">
        <f t="shared" si="62"/>
        <v>1.1283374653384855E-2</v>
      </c>
      <c r="BD29" s="78">
        <f t="shared" si="40"/>
        <v>0.26035178014923493</v>
      </c>
      <c r="BE29" s="17"/>
      <c r="BF29" s="17"/>
      <c r="BG29" s="22">
        <f>'[1]Data-PSC CH Tables'!C23</f>
        <v>19630</v>
      </c>
      <c r="BH29" s="22">
        <f>'[1]Data-PSC CH Tables'!AG23</f>
        <v>30190.519494596934</v>
      </c>
      <c r="BI29" s="22">
        <f>'[1]Data-PSC CH Tables'!AI23</f>
        <v>30556.519494596934</v>
      </c>
      <c r="BJ29" s="17"/>
      <c r="BK29" s="22">
        <f t="shared" si="63"/>
        <v>-1416.7999999999993</v>
      </c>
      <c r="BL29" s="22">
        <f t="shared" si="64"/>
        <v>2056.4410071996026</v>
      </c>
      <c r="BM29" s="22">
        <f t="shared" si="65"/>
        <v>2101.3709048436795</v>
      </c>
      <c r="BO29" s="33"/>
      <c r="BP29" s="33"/>
      <c r="BQ29" s="33"/>
      <c r="BS29" s="62">
        <f t="shared" si="66"/>
        <v>408.50328677633155</v>
      </c>
      <c r="BT29" s="62">
        <f t="shared" si="10"/>
        <v>3857.2</v>
      </c>
      <c r="BU29" s="62">
        <f t="shared" si="11"/>
        <v>174</v>
      </c>
      <c r="BV29" s="62">
        <f t="shared" si="12"/>
        <v>1418.2196470341369</v>
      </c>
      <c r="BW29" s="62">
        <f t="shared" si="13"/>
        <v>1229.3555535868622</v>
      </c>
      <c r="BX29" s="62">
        <f t="shared" si="67"/>
        <v>7087.2784873973305</v>
      </c>
      <c r="BY29" s="62">
        <f t="shared" si="15"/>
        <v>28134.078487397332</v>
      </c>
      <c r="BZ29" s="79">
        <f t="shared" si="68"/>
        <v>0.25191080953911743</v>
      </c>
      <c r="CA29" s="79">
        <f t="shared" si="69"/>
        <v>0.25774674115865004</v>
      </c>
      <c r="CB29" s="79">
        <f t="shared" si="70"/>
        <v>0.74225325884135007</v>
      </c>
      <c r="CC29" s="79">
        <f t="shared" si="19"/>
        <v>4.3338957186761576E-2</v>
      </c>
      <c r="CD29" s="33"/>
      <c r="CF29" s="36">
        <v>30214.69612410777</v>
      </c>
      <c r="CG29" s="36">
        <v>30580.69612410777</v>
      </c>
      <c r="CH29" s="81">
        <f t="shared" si="100"/>
        <v>-2080.6176367104381</v>
      </c>
      <c r="CI29" s="36">
        <f t="shared" si="101"/>
        <v>-2125.5475343545149</v>
      </c>
      <c r="CJ29" s="36">
        <v>22161.872124107769</v>
      </c>
      <c r="CK29" s="81">
        <f t="shared" si="73"/>
        <v>-1115.0721241077699</v>
      </c>
      <c r="CM29" s="33">
        <f t="shared" si="84"/>
        <v>2008</v>
      </c>
      <c r="CN29" s="96">
        <f t="shared" si="91"/>
        <v>28134.078487397332</v>
      </c>
      <c r="CO29" s="97">
        <f t="shared" si="92"/>
        <v>7225.9220050438926</v>
      </c>
      <c r="CP29" s="97">
        <f t="shared" si="93"/>
        <v>13134.078487397332</v>
      </c>
      <c r="CQ29" s="62">
        <f t="shared" si="94"/>
        <v>21046.799999999999</v>
      </c>
      <c r="CR29" s="98" t="str">
        <f t="shared" si="85"/>
        <v>Y</v>
      </c>
      <c r="CS29" s="98" t="str">
        <f t="shared" si="95"/>
        <v>Y</v>
      </c>
      <c r="CT29" s="99">
        <f t="shared" si="102"/>
        <v>5908.1564823534391</v>
      </c>
      <c r="CU29" s="100">
        <f t="shared" si="103"/>
        <v>5908.1564823534391</v>
      </c>
      <c r="CV29" s="100"/>
      <c r="CW29" s="100"/>
      <c r="CX29" s="101">
        <f t="shared" si="96"/>
        <v>3857.2</v>
      </c>
      <c r="CY29" s="102">
        <f t="shared" si="86"/>
        <v>-2050.9564823534392</v>
      </c>
      <c r="CZ29" s="79">
        <v>0.1</v>
      </c>
      <c r="DA29" s="103">
        <f t="shared" si="97"/>
        <v>-590.81564823534393</v>
      </c>
      <c r="DB29" s="107">
        <f t="shared" si="87"/>
        <v>-590.81564823534393</v>
      </c>
      <c r="DC29" s="33"/>
      <c r="DD29" s="107">
        <f t="shared" si="104"/>
        <v>-4072.3347911011638</v>
      </c>
      <c r="DE29" s="105">
        <f t="shared" si="98"/>
        <v>-590.81564823534393</v>
      </c>
      <c r="DF29" s="105">
        <f t="shared" si="99"/>
        <v>590.81564823534393</v>
      </c>
      <c r="DH29" s="66">
        <f t="shared" si="20"/>
        <v>0</v>
      </c>
      <c r="DK29" s="106">
        <f t="shared" si="88"/>
        <v>1.4519874427709467E-2</v>
      </c>
      <c r="DL29" s="106">
        <f t="shared" si="89"/>
        <v>5.0409315793635424E-2</v>
      </c>
      <c r="DS29" s="14">
        <f t="shared" si="43"/>
        <v>21046.799999999999</v>
      </c>
      <c r="DT29" s="14">
        <v>21390</v>
      </c>
      <c r="DU29" s="14">
        <f t="shared" si="77"/>
        <v>343.20000000000073</v>
      </c>
      <c r="DW29" s="14">
        <f t="shared" si="44"/>
        <v>28134.078487397332</v>
      </c>
      <c r="DX29" s="14">
        <v>29328.132232680142</v>
      </c>
      <c r="DY29" s="14">
        <f t="shared" si="78"/>
        <v>1194.0537452828103</v>
      </c>
      <c r="EC29" s="3">
        <f t="shared" si="90"/>
        <v>0.22362629779011456</v>
      </c>
      <c r="ED29" s="3">
        <f t="shared" si="90"/>
        <v>0.77637370220988544</v>
      </c>
      <c r="EG29" s="14">
        <f t="shared" si="46"/>
        <v>3230.0784873973307</v>
      </c>
      <c r="EI29" s="89">
        <f t="shared" si="81"/>
        <v>0</v>
      </c>
      <c r="EJ29" s="89">
        <f t="shared" si="47"/>
        <v>0</v>
      </c>
      <c r="EL29" s="67"/>
      <c r="EM29" s="67">
        <f t="shared" si="48"/>
        <v>21.046799999999998</v>
      </c>
      <c r="EN29" s="67">
        <f t="shared" si="22"/>
        <v>3.8571999999999997</v>
      </c>
      <c r="EO29" s="67">
        <f t="shared" si="23"/>
        <v>3.2300784873973307</v>
      </c>
      <c r="EP29" s="67">
        <f t="shared" si="24"/>
        <v>0.32107010235592165</v>
      </c>
      <c r="ET29" s="66">
        <f t="shared" si="25"/>
        <v>8.8409563409563408E-2</v>
      </c>
      <c r="EW29" s="14">
        <f t="shared" si="27"/>
        <v>3230.0784873973307</v>
      </c>
      <c r="EY29" s="14">
        <f t="shared" si="49"/>
        <v>949</v>
      </c>
      <c r="EZ29" s="14">
        <f t="shared" si="50"/>
        <v>1403.3555535868622</v>
      </c>
      <c r="FB29" s="14">
        <f t="shared" si="51"/>
        <v>28000.793036166389</v>
      </c>
      <c r="FC29" s="66">
        <f t="shared" si="52"/>
        <v>1</v>
      </c>
      <c r="FE29" s="14">
        <f t="shared" si="26"/>
        <v>23000</v>
      </c>
    </row>
    <row r="30" spans="2:161" x14ac:dyDescent="0.2">
      <c r="B30" s="4">
        <v>2009</v>
      </c>
      <c r="C30" s="71">
        <f t="shared" si="53"/>
        <v>26500.400000000001</v>
      </c>
      <c r="D30" s="71">
        <f t="shared" si="82"/>
        <v>22049.4</v>
      </c>
      <c r="E30" s="71">
        <f>'Bayesian Sum (10Feb26)'!H25</f>
        <v>4451</v>
      </c>
      <c r="G30" s="14">
        <f>'[1]Data-Nisgaa &amp; Other FN Catch'!BI22</f>
        <v>148</v>
      </c>
      <c r="H30" s="14">
        <f>'[1]Data-SF-FW'!U13</f>
        <v>1071</v>
      </c>
      <c r="I30" s="14">
        <f>'Data-Chin-Nisga''a'!N24</f>
        <v>2803.6</v>
      </c>
      <c r="J30" s="14">
        <f t="shared" si="54"/>
        <v>4022.6</v>
      </c>
      <c r="L30" s="72">
        <f>'Bayesian Sum (10Feb26)'!K25</f>
        <v>30523</v>
      </c>
      <c r="M30" s="73">
        <f t="shared" si="28"/>
        <v>3.5088294073321757E-2</v>
      </c>
      <c r="N30" s="56">
        <f>'Data-Coastal-Chin-Esc (new)'!J37</f>
        <v>2170.114761959102</v>
      </c>
      <c r="O30" s="74">
        <f t="shared" si="55"/>
        <v>0</v>
      </c>
      <c r="P30" s="14"/>
      <c r="R30" s="5">
        <f>'A6-Chin (NEW2+Khutz)'!R30-'A6b-Chin (LN&amp;CoastalCU)'!R30</f>
        <v>167.26559648735662</v>
      </c>
      <c r="S30" s="5">
        <f>'A6-Chin (NEW2+Khutz)'!S30-'A6b-Chin (LN&amp;CoastalCU)'!S30</f>
        <v>2493.8000000000002</v>
      </c>
      <c r="T30" s="14">
        <f t="shared" si="56"/>
        <v>2661.0655964873567</v>
      </c>
      <c r="U30" s="73">
        <f t="shared" si="83"/>
        <v>6.2856622816119048E-2</v>
      </c>
      <c r="V30" s="14">
        <f t="shared" si="3"/>
        <v>26500.400000000001</v>
      </c>
      <c r="X30" s="14">
        <f t="shared" si="29"/>
        <v>148</v>
      </c>
      <c r="Y30" s="14">
        <f t="shared" si="30"/>
        <v>1238.2655964873566</v>
      </c>
      <c r="Z30" s="14">
        <f t="shared" si="30"/>
        <v>5297.4</v>
      </c>
      <c r="AA30" s="14">
        <f t="shared" si="4"/>
        <v>6683.6655964873562</v>
      </c>
      <c r="AC30" s="14">
        <f>'A6-Chin (NEW2+Khutz)'!AC30-'A6b-Chin (LN&amp;CoastalCU)'!AC30</f>
        <v>1183.9214918377008</v>
      </c>
      <c r="AD30" s="14">
        <f>'A6-Chin (NEW2+Khutz)'!AD30-'A6b-Chin (LN&amp;CoastalCU)'!AD30</f>
        <v>1140.5260361521312</v>
      </c>
      <c r="AE30" s="14">
        <f t="shared" si="57"/>
        <v>2324.447527989832</v>
      </c>
      <c r="AJ30" s="14">
        <f t="shared" si="58"/>
        <v>35508.513124477191</v>
      </c>
      <c r="AK30" s="122">
        <f>'A6-Chin (NEW2+Khutz)'!AK30-'A6b-Chin (LN&amp;CoastalCU)'!AL30</f>
        <v>1017.8092544606259</v>
      </c>
      <c r="AL30" s="14">
        <f t="shared" si="59"/>
        <v>36526.322378937817</v>
      </c>
      <c r="AM30" s="109">
        <v>1056</v>
      </c>
      <c r="AN30" s="14">
        <f>'[1]Data-FW Catch Rates - new'!CE24</f>
        <v>26864</v>
      </c>
      <c r="AO30" s="76">
        <f t="shared" si="31"/>
        <v>5.5092316855270993E-3</v>
      </c>
      <c r="AP30" s="60">
        <f t="shared" si="32"/>
        <v>32</v>
      </c>
      <c r="AQ30" s="59"/>
      <c r="AR30" s="77">
        <f t="shared" si="33"/>
        <v>0.27448485711003484</v>
      </c>
      <c r="AS30" s="61">
        <f t="shared" si="60"/>
        <v>9.1852045998099791E-2</v>
      </c>
      <c r="AT30" s="61">
        <f t="shared" si="34"/>
        <v>3.5088294073321757E-2</v>
      </c>
      <c r="AU30" s="61">
        <f t="shared" si="35"/>
        <v>0.13178914261376667</v>
      </c>
      <c r="AV30" s="61"/>
      <c r="AW30" s="33"/>
      <c r="AX30" s="61">
        <f t="shared" si="36"/>
        <v>0.14502965683330443</v>
      </c>
      <c r="AY30" s="61">
        <f t="shared" si="37"/>
        <v>3.2412830384489673E-2</v>
      </c>
      <c r="AZ30" s="61">
        <f t="shared" si="38"/>
        <v>6.5125407588560599E-2</v>
      </c>
      <c r="BA30" s="61">
        <f t="shared" si="39"/>
        <v>4.0518724678765159E-3</v>
      </c>
      <c r="BB30" s="61">
        <f t="shared" si="61"/>
        <v>0.24661976727423121</v>
      </c>
      <c r="BC30" s="61">
        <f t="shared" si="62"/>
        <v>2.7865089835803603E-2</v>
      </c>
      <c r="BD30" s="78">
        <f t="shared" si="40"/>
        <v>0.27448485711003484</v>
      </c>
      <c r="BE30" s="17"/>
      <c r="BF30" s="17"/>
      <c r="BG30" s="22">
        <f>'[1]Data-PSC CH Tables'!C24</f>
        <v>26226</v>
      </c>
      <c r="BH30" s="22">
        <f>'[1]Data-PSC CH Tables'!AG24</f>
        <v>39219.794060178268</v>
      </c>
      <c r="BI30" s="22">
        <f>'[1]Data-PSC CH Tables'!AI24</f>
        <v>40371.794060178268</v>
      </c>
      <c r="BJ30" s="17"/>
      <c r="BK30" s="22">
        <f t="shared" si="63"/>
        <v>-274.40000000000146</v>
      </c>
      <c r="BL30" s="22">
        <f t="shared" si="64"/>
        <v>3711.2809357010774</v>
      </c>
      <c r="BM30" s="22">
        <f t="shared" si="65"/>
        <v>3845.4716812404513</v>
      </c>
      <c r="BO30" s="33"/>
      <c r="BP30" s="33"/>
      <c r="BQ30" s="33"/>
      <c r="BS30" s="62">
        <f t="shared" si="66"/>
        <v>1183.9214918377008</v>
      </c>
      <c r="BT30" s="62">
        <f t="shared" si="10"/>
        <v>5297.4</v>
      </c>
      <c r="BU30" s="62">
        <f t="shared" si="11"/>
        <v>148</v>
      </c>
      <c r="BV30" s="62">
        <f t="shared" si="12"/>
        <v>1140.5260361521312</v>
      </c>
      <c r="BW30" s="62">
        <f t="shared" si="13"/>
        <v>1238.2655964873566</v>
      </c>
      <c r="BX30" s="62">
        <f t="shared" si="67"/>
        <v>9008.1131244771896</v>
      </c>
      <c r="BY30" s="62">
        <f t="shared" si="15"/>
        <v>35508.513124477191</v>
      </c>
      <c r="BZ30" s="79">
        <f t="shared" si="68"/>
        <v>0.25368882929281539</v>
      </c>
      <c r="CA30" s="79">
        <f t="shared" si="69"/>
        <v>0.25803933585977668</v>
      </c>
      <c r="CB30" s="79">
        <f t="shared" si="70"/>
        <v>0.7419606641402231</v>
      </c>
      <c r="CC30" s="79">
        <f t="shared" si="19"/>
        <v>0.10151776724292338</v>
      </c>
      <c r="CD30" s="33"/>
      <c r="CF30" s="36">
        <v>39253.094431321973</v>
      </c>
      <c r="CG30" s="36">
        <v>40405.094431321973</v>
      </c>
      <c r="CH30" s="81">
        <f t="shared" si="100"/>
        <v>-3744.5813068447824</v>
      </c>
      <c r="CI30" s="36">
        <f t="shared" si="101"/>
        <v>-3878.7720523841563</v>
      </c>
      <c r="CJ30" s="36">
        <v>29608.622431321975</v>
      </c>
      <c r="CK30" s="81">
        <f t="shared" si="73"/>
        <v>-3108.222431321974</v>
      </c>
      <c r="CM30" s="33">
        <f t="shared" si="84"/>
        <v>2009</v>
      </c>
      <c r="CN30" s="96">
        <f t="shared" si="91"/>
        <v>35508.513124477191</v>
      </c>
      <c r="CO30" s="97">
        <f t="shared" si="92"/>
        <v>13051.725368336982</v>
      </c>
      <c r="CP30" s="97">
        <f t="shared" si="93"/>
        <v>20508.513124477191</v>
      </c>
      <c r="CQ30" s="62">
        <f t="shared" si="94"/>
        <v>26500.400000000001</v>
      </c>
      <c r="CR30" s="98" t="str">
        <f t="shared" si="85"/>
        <v>Y</v>
      </c>
      <c r="CS30" s="98" t="str">
        <f t="shared" si="95"/>
        <v>Y</v>
      </c>
      <c r="CT30" s="99">
        <f t="shared" si="102"/>
        <v>7456.7877561402101</v>
      </c>
      <c r="CU30" s="100">
        <f t="shared" si="103"/>
        <v>7456.7877561402101</v>
      </c>
      <c r="CV30" s="100"/>
      <c r="CW30" s="100"/>
      <c r="CX30" s="101">
        <f t="shared" si="96"/>
        <v>5297.4</v>
      </c>
      <c r="CY30" s="102">
        <f t="shared" si="86"/>
        <v>-2159.3877561402105</v>
      </c>
      <c r="CZ30" s="79">
        <v>0.1</v>
      </c>
      <c r="DA30" s="103">
        <f t="shared" si="97"/>
        <v>-745.67877561402111</v>
      </c>
      <c r="DB30" s="107">
        <f t="shared" si="87"/>
        <v>-745.67877561402111</v>
      </c>
      <c r="DC30" s="33"/>
      <c r="DD30" s="107">
        <f t="shared" si="104"/>
        <v>-4818.0135667151844</v>
      </c>
      <c r="DE30" s="105">
        <f t="shared" si="98"/>
        <v>-745.67877561402111</v>
      </c>
      <c r="DF30" s="105">
        <f t="shared" si="99"/>
        <v>745.67877561402111</v>
      </c>
      <c r="DH30" s="66">
        <f t="shared" si="20"/>
        <v>0</v>
      </c>
      <c r="DK30" s="106">
        <f t="shared" si="88"/>
        <v>3.334190557873809E-2</v>
      </c>
      <c r="DL30" s="106">
        <f t="shared" si="89"/>
        <v>3.211979144702426E-2</v>
      </c>
      <c r="DS30" s="14">
        <f t="shared" si="43"/>
        <v>26500.400000000001</v>
      </c>
      <c r="DT30" s="14">
        <v>27829.656551783522</v>
      </c>
      <c r="DU30" s="14">
        <f t="shared" si="77"/>
        <v>1329.256551783521</v>
      </c>
      <c r="DW30" s="14">
        <f t="shared" si="44"/>
        <v>35508.513124477191</v>
      </c>
      <c r="DX30" s="14">
        <v>36851.656551783526</v>
      </c>
      <c r="DY30" s="14">
        <f t="shared" si="78"/>
        <v>1343.1434273063351</v>
      </c>
      <c r="EC30" s="3">
        <f t="shared" si="90"/>
        <v>0.50933457416504857</v>
      </c>
      <c r="ED30" s="3">
        <f t="shared" si="90"/>
        <v>0.49066542583495143</v>
      </c>
      <c r="EG30" s="14">
        <f t="shared" si="46"/>
        <v>3710.7131244771886</v>
      </c>
      <c r="EI30" s="89">
        <f t="shared" si="81"/>
        <v>0</v>
      </c>
      <c r="EJ30" s="89">
        <f t="shared" si="47"/>
        <v>0</v>
      </c>
      <c r="EL30" s="67"/>
      <c r="EM30" s="67">
        <f t="shared" si="48"/>
        <v>26.500400000000003</v>
      </c>
      <c r="EN30" s="67">
        <f t="shared" si="22"/>
        <v>5.2973999999999997</v>
      </c>
      <c r="EO30" s="67">
        <f t="shared" si="23"/>
        <v>3.7107131244771887</v>
      </c>
      <c r="EP30" s="67">
        <f t="shared" si="24"/>
        <v>1.0178092544606259</v>
      </c>
      <c r="ET30" s="66">
        <f t="shared" si="25"/>
        <v>0.13178914261376667</v>
      </c>
      <c r="EW30" s="14">
        <f t="shared" si="27"/>
        <v>3710.7131244771899</v>
      </c>
      <c r="EY30" s="14">
        <f t="shared" si="49"/>
        <v>1219</v>
      </c>
      <c r="EZ30" s="14">
        <f t="shared" si="50"/>
        <v>1386.2655964873566</v>
      </c>
      <c r="FB30" s="14">
        <f t="shared" si="51"/>
        <v>36359.056782450454</v>
      </c>
      <c r="FC30" s="66">
        <f t="shared" si="52"/>
        <v>1</v>
      </c>
      <c r="FE30" s="14">
        <f t="shared" si="26"/>
        <v>31000</v>
      </c>
    </row>
    <row r="31" spans="2:161" x14ac:dyDescent="0.2">
      <c r="B31" s="4">
        <v>2010</v>
      </c>
      <c r="C31" s="71">
        <f t="shared" si="53"/>
        <v>17801.2</v>
      </c>
      <c r="D31" s="71">
        <f t="shared" si="82"/>
        <v>15566.2</v>
      </c>
      <c r="E31" s="71">
        <f>'Bayesian Sum (10Feb26)'!H26</f>
        <v>2235</v>
      </c>
      <c r="G31" s="14">
        <f>'[1]Data-Nisgaa &amp; Other FN Catch'!BI23</f>
        <v>88</v>
      </c>
      <c r="H31" s="14">
        <f>'[1]Data-SF-FW'!U14</f>
        <v>534</v>
      </c>
      <c r="I31" s="14">
        <f>'Data-Chin-Nisga''a'!N25</f>
        <v>1719.8</v>
      </c>
      <c r="J31" s="14">
        <f t="shared" si="54"/>
        <v>2341.8000000000002</v>
      </c>
      <c r="L31" s="72">
        <f>'Bayesian Sum (10Feb26)'!K26</f>
        <v>20143</v>
      </c>
      <c r="M31" s="73">
        <f t="shared" si="28"/>
        <v>2.6510450280494466E-2</v>
      </c>
      <c r="N31" s="56">
        <f>'Data-Coastal-Chin-Esc (new)'!J38</f>
        <v>586.51750323218971</v>
      </c>
      <c r="O31" s="74">
        <f t="shared" si="55"/>
        <v>0</v>
      </c>
      <c r="P31" s="14"/>
      <c r="R31" s="5">
        <f>'A6-Chin (NEW2+Khutz)'!R31-'A6b-Chin (LN&amp;CoastalCU)'!R31</f>
        <v>11.485099353841893</v>
      </c>
      <c r="S31" s="5">
        <f>'A6-Chin (NEW2+Khutz)'!S31-'A6b-Chin (LN&amp;CoastalCU)'!S31</f>
        <v>2831</v>
      </c>
      <c r="T31" s="14">
        <f t="shared" si="56"/>
        <v>2842.4850993538421</v>
      </c>
      <c r="U31" s="73">
        <f t="shared" si="83"/>
        <v>4.0405134776089775E-3</v>
      </c>
      <c r="V31" s="14">
        <f t="shared" si="3"/>
        <v>17801.2</v>
      </c>
      <c r="X31" s="14">
        <f t="shared" si="29"/>
        <v>88</v>
      </c>
      <c r="Y31" s="14">
        <f t="shared" si="30"/>
        <v>545.48509935384186</v>
      </c>
      <c r="Z31" s="14">
        <f t="shared" si="30"/>
        <v>4550.8</v>
      </c>
      <c r="AA31" s="14">
        <f t="shared" si="4"/>
        <v>5184.2850993538423</v>
      </c>
      <c r="AC31" s="14">
        <f>'A6-Chin (NEW2+Khutz)'!AC31-'A6b-Chin (LN&amp;CoastalCU)'!AC31</f>
        <v>859.89822331395317</v>
      </c>
      <c r="AD31" s="14">
        <f>'A6-Chin (NEW2+Khutz)'!AD31-'A6b-Chin (LN&amp;CoastalCU)'!AD31</f>
        <v>352.50420324483963</v>
      </c>
      <c r="AE31" s="14">
        <f t="shared" si="57"/>
        <v>1212.4024265587927</v>
      </c>
      <c r="AJ31" s="14">
        <f t="shared" si="58"/>
        <v>24197.887525912636</v>
      </c>
      <c r="AK31" s="122">
        <f>'A6-Chin (NEW2+Khutz)'!AK31-'A6b-Chin (LN&amp;CoastalCU)'!AL31</f>
        <v>726.85788944364913</v>
      </c>
      <c r="AL31" s="14">
        <f t="shared" si="59"/>
        <v>24924.745415356287</v>
      </c>
      <c r="AM31" s="109">
        <v>783</v>
      </c>
      <c r="AN31" s="14">
        <f>'[1]Data-FW Catch Rates - new'!CE25</f>
        <v>18773</v>
      </c>
      <c r="AO31" s="76">
        <f t="shared" si="31"/>
        <v>4.6875832312363499E-3</v>
      </c>
      <c r="AP31" s="60">
        <f t="shared" si="32"/>
        <v>21</v>
      </c>
      <c r="AQ31" s="59"/>
      <c r="AR31" s="77">
        <f t="shared" si="33"/>
        <v>0.2858021334479679</v>
      </c>
      <c r="AS31" s="61">
        <f t="shared" si="60"/>
        <v>8.5379536315345284E-2</v>
      </c>
      <c r="AT31" s="61">
        <f t="shared" si="34"/>
        <v>2.6510450280494466E-2</v>
      </c>
      <c r="AU31" s="61">
        <f t="shared" si="35"/>
        <v>0.11625874993794372</v>
      </c>
      <c r="AV31" s="61"/>
      <c r="AW31" s="33"/>
      <c r="AX31" s="61">
        <f t="shared" si="36"/>
        <v>0.18258160411123897</v>
      </c>
      <c r="AY31" s="61">
        <f t="shared" si="37"/>
        <v>3.4499779595909719E-2</v>
      </c>
      <c r="AZ31" s="61">
        <f t="shared" si="38"/>
        <v>3.6028023060384995E-2</v>
      </c>
      <c r="BA31" s="61">
        <f t="shared" si="39"/>
        <v>3.5306278372569722E-3</v>
      </c>
      <c r="BB31" s="61">
        <f t="shared" si="61"/>
        <v>0.25664003460479068</v>
      </c>
      <c r="BC31" s="61">
        <f t="shared" si="62"/>
        <v>2.9162098843177255E-2</v>
      </c>
      <c r="BD31" s="78">
        <f t="shared" si="40"/>
        <v>0.2858021334479679</v>
      </c>
      <c r="BE31" s="17"/>
      <c r="BF31" s="17"/>
      <c r="BG31" s="22">
        <f>'[1]Data-PSC CH Tables'!C25</f>
        <v>18381</v>
      </c>
      <c r="BH31" s="22">
        <f>'[1]Data-PSC CH Tables'!AG25</f>
        <v>27379.258099143466</v>
      </c>
      <c r="BI31" s="22">
        <f>'[1]Data-PSC CH Tables'!AI25</f>
        <v>28184.258099143466</v>
      </c>
      <c r="BJ31" s="17"/>
      <c r="BK31" s="22">
        <f t="shared" si="63"/>
        <v>579.79999999999927</v>
      </c>
      <c r="BL31" s="22">
        <f t="shared" si="64"/>
        <v>3181.3705732308299</v>
      </c>
      <c r="BM31" s="22">
        <f t="shared" si="65"/>
        <v>3259.5126837871794</v>
      </c>
      <c r="BO31" s="33"/>
      <c r="BP31" s="33"/>
      <c r="BQ31" s="33"/>
      <c r="BS31" s="62">
        <f t="shared" si="66"/>
        <v>859.89822331395317</v>
      </c>
      <c r="BT31" s="62">
        <f t="shared" si="10"/>
        <v>4550.8</v>
      </c>
      <c r="BU31" s="62">
        <f t="shared" si="11"/>
        <v>88</v>
      </c>
      <c r="BV31" s="62">
        <f t="shared" si="12"/>
        <v>352.50420324483963</v>
      </c>
      <c r="BW31" s="62">
        <f t="shared" si="13"/>
        <v>545.48509935384186</v>
      </c>
      <c r="BX31" s="62">
        <f t="shared" si="67"/>
        <v>6396.6875259126355</v>
      </c>
      <c r="BY31" s="62">
        <f t="shared" si="15"/>
        <v>24197.887525912636</v>
      </c>
      <c r="BZ31" s="79">
        <f t="shared" si="68"/>
        <v>0.26434900646028114</v>
      </c>
      <c r="CA31" s="79">
        <f t="shared" si="69"/>
        <v>0.18953597805855235</v>
      </c>
      <c r="CB31" s="79">
        <f t="shared" si="70"/>
        <v>0.81046402194144762</v>
      </c>
      <c r="CC31" s="79">
        <f t="shared" si="19"/>
        <v>0.10203597324960625</v>
      </c>
      <c r="CD31" s="33"/>
      <c r="CF31" s="36">
        <v>27401.8964397975</v>
      </c>
      <c r="CG31" s="36">
        <v>28206.8964397975</v>
      </c>
      <c r="CH31" s="81">
        <f t="shared" si="100"/>
        <v>-3204.0089138848634</v>
      </c>
      <c r="CI31" s="36">
        <f t="shared" si="101"/>
        <v>-3282.1510244412129</v>
      </c>
      <c r="CJ31" s="36">
        <v>20751.776439797501</v>
      </c>
      <c r="CK31" s="81">
        <f t="shared" si="73"/>
        <v>-2950.5764397974999</v>
      </c>
      <c r="CM31" s="33">
        <f t="shared" si="84"/>
        <v>2010</v>
      </c>
      <c r="CN31" s="96">
        <f t="shared" si="91"/>
        <v>24197.887525912636</v>
      </c>
      <c r="CO31" s="97">
        <f t="shared" si="92"/>
        <v>4116.3311454709828</v>
      </c>
      <c r="CP31" s="97">
        <f t="shared" si="93"/>
        <v>9197.8875259126362</v>
      </c>
      <c r="CQ31" s="62">
        <f t="shared" si="94"/>
        <v>17801.2</v>
      </c>
      <c r="CR31" s="98" t="str">
        <f t="shared" si="85"/>
        <v>Y</v>
      </c>
      <c r="CS31" s="98" t="str">
        <f t="shared" si="95"/>
        <v>Y</v>
      </c>
      <c r="CT31" s="99">
        <f t="shared" si="102"/>
        <v>5081.5563804416533</v>
      </c>
      <c r="CU31" s="100">
        <f t="shared" si="103"/>
        <v>5081.5563804416533</v>
      </c>
      <c r="CV31" s="100"/>
      <c r="CW31" s="100"/>
      <c r="CX31" s="101">
        <f t="shared" si="96"/>
        <v>4550.8</v>
      </c>
      <c r="CY31" s="102">
        <f t="shared" si="86"/>
        <v>-530.75638044165316</v>
      </c>
      <c r="CZ31" s="79">
        <v>0.1</v>
      </c>
      <c r="DA31" s="103">
        <f t="shared" si="97"/>
        <v>-508.15563804416536</v>
      </c>
      <c r="DB31" s="107">
        <f t="shared" si="87"/>
        <v>-508.15563804416536</v>
      </c>
      <c r="DC31" s="33"/>
      <c r="DD31" s="107">
        <f t="shared" si="104"/>
        <v>-5326.1692047593497</v>
      </c>
      <c r="DE31" s="105">
        <f t="shared" si="98"/>
        <v>-508.15563804416536</v>
      </c>
      <c r="DF31" s="105">
        <f t="shared" si="99"/>
        <v>508.15563804416536</v>
      </c>
      <c r="DH31" s="66">
        <f t="shared" si="20"/>
        <v>0</v>
      </c>
      <c r="DK31" s="106">
        <f t="shared" si="88"/>
        <v>3.5536086461808683E-2</v>
      </c>
      <c r="DL31" s="106">
        <f t="shared" si="89"/>
        <v>1.4567561026447276E-2</v>
      </c>
      <c r="DS31" s="14">
        <f t="shared" si="43"/>
        <v>17801.2</v>
      </c>
      <c r="DT31" s="14">
        <v>19861.298355492483</v>
      </c>
      <c r="DU31" s="14">
        <f t="shared" si="77"/>
        <v>2060.0983554924824</v>
      </c>
      <c r="DW31" s="14">
        <f t="shared" si="44"/>
        <v>24197.887525912636</v>
      </c>
      <c r="DX31" s="14">
        <v>26393.298355492483</v>
      </c>
      <c r="DY31" s="14">
        <f t="shared" si="78"/>
        <v>2195.4108295798469</v>
      </c>
      <c r="EC31" s="3">
        <f t="shared" si="90"/>
        <v>0.70925148653375314</v>
      </c>
      <c r="ED31" s="3">
        <f t="shared" si="90"/>
        <v>0.29074851346624697</v>
      </c>
      <c r="EG31" s="14">
        <f t="shared" si="46"/>
        <v>1845.8875259126346</v>
      </c>
      <c r="EI31" s="89">
        <f t="shared" si="81"/>
        <v>0</v>
      </c>
      <c r="EJ31" s="89">
        <f t="shared" si="47"/>
        <v>0</v>
      </c>
      <c r="EL31" s="67"/>
      <c r="EM31" s="67">
        <f t="shared" si="48"/>
        <v>17.801200000000001</v>
      </c>
      <c r="EN31" s="67">
        <f t="shared" si="22"/>
        <v>4.5508000000000006</v>
      </c>
      <c r="EO31" s="67">
        <f t="shared" si="23"/>
        <v>1.8458875259126346</v>
      </c>
      <c r="EP31" s="67">
        <f t="shared" si="24"/>
        <v>0.72685788944364915</v>
      </c>
      <c r="ET31" s="66">
        <f t="shared" si="25"/>
        <v>0.11625874993794372</v>
      </c>
      <c r="EW31" s="14">
        <f t="shared" si="27"/>
        <v>1845.8875259126353</v>
      </c>
      <c r="EY31" s="14">
        <f t="shared" si="49"/>
        <v>622</v>
      </c>
      <c r="EZ31" s="14">
        <f t="shared" si="50"/>
        <v>633.48509935384186</v>
      </c>
      <c r="FB31" s="14">
        <f t="shared" si="51"/>
        <v>24913.260316002441</v>
      </c>
      <c r="FC31" s="66">
        <f t="shared" si="52"/>
        <v>1</v>
      </c>
      <c r="FE31" s="14">
        <f t="shared" si="26"/>
        <v>20000</v>
      </c>
    </row>
    <row r="32" spans="2:161" x14ac:dyDescent="0.2">
      <c r="B32" s="4">
        <v>2011</v>
      </c>
      <c r="C32" s="71">
        <f t="shared" si="53"/>
        <v>10555.2</v>
      </c>
      <c r="D32" s="71">
        <f t="shared" si="82"/>
        <v>9282.2000000000007</v>
      </c>
      <c r="E32" s="71">
        <f>'Bayesian Sum (10Feb26)'!H27</f>
        <v>1273</v>
      </c>
      <c r="F32" s="110"/>
      <c r="G32" s="14">
        <f>'[1]Data-Nisgaa &amp; Other FN Catch'!BI24</f>
        <v>103</v>
      </c>
      <c r="H32" s="14">
        <f>'[1]Data-SF-FW'!U15</f>
        <v>542</v>
      </c>
      <c r="I32" s="14">
        <f>'Data-Chin-Nisga''a'!N26</f>
        <v>1236.8</v>
      </c>
      <c r="J32" s="14">
        <f t="shared" si="54"/>
        <v>1881.8</v>
      </c>
      <c r="L32" s="72">
        <f>'Bayesian Sum (10Feb26)'!K27</f>
        <v>12437</v>
      </c>
      <c r="M32" s="73">
        <f t="shared" si="28"/>
        <v>4.3579641392618801E-2</v>
      </c>
      <c r="N32" s="56">
        <f>'Data-Coastal-Chin-Esc (new)'!J39</f>
        <v>0</v>
      </c>
      <c r="O32" s="74" t="s">
        <v>107</v>
      </c>
      <c r="P32" s="14"/>
      <c r="Q32" s="110"/>
      <c r="R32" s="5">
        <f>'A6-Chin (NEW2+Khutz)'!R32-'A6b-Chin (LN&amp;CoastalCU)'!R32</f>
        <v>23.399850285796003</v>
      </c>
      <c r="S32" s="5">
        <f>'A6-Chin (NEW2+Khutz)'!S32-'A6b-Chin (LN&amp;CoastalCU)'!S32</f>
        <v>3297.2</v>
      </c>
      <c r="T32" s="14">
        <f t="shared" si="56"/>
        <v>3320.599850285796</v>
      </c>
      <c r="U32" s="73">
        <f t="shared" si="83"/>
        <v>7.0468744626914423E-3</v>
      </c>
      <c r="V32" s="14">
        <f t="shared" si="3"/>
        <v>10555.2</v>
      </c>
      <c r="W32" s="110"/>
      <c r="X32" s="111">
        <f t="shared" si="29"/>
        <v>103</v>
      </c>
      <c r="Y32" s="111">
        <f t="shared" si="30"/>
        <v>565.39985028579599</v>
      </c>
      <c r="Z32" s="111">
        <f t="shared" si="30"/>
        <v>4534</v>
      </c>
      <c r="AA32" s="111">
        <f t="shared" si="4"/>
        <v>5202.3998502857958</v>
      </c>
      <c r="AB32" s="110"/>
      <c r="AC32" s="14">
        <f>'A6-Chin (NEW2+Khutz)'!AC32-'A6b-Chin (LN&amp;CoastalCU)'!AC32</f>
        <v>1188.3934632256528</v>
      </c>
      <c r="AD32" s="14">
        <f>'A6-Chin (NEW2+Khutz)'!AD32-'A6b-Chin (LN&amp;CoastalCU)'!AD32</f>
        <v>778.2616872831411</v>
      </c>
      <c r="AE32" s="14">
        <f t="shared" si="57"/>
        <v>1966.6551505087939</v>
      </c>
      <c r="AF32" s="110"/>
      <c r="AJ32" s="14">
        <f t="shared" si="58"/>
        <v>17724.25500079459</v>
      </c>
      <c r="AK32" s="122">
        <f>'A6-Chin (NEW2+Khutz)'!AK32-'A6b-Chin (LN&amp;CoastalCU)'!AL32</f>
        <v>1376.5792718511193</v>
      </c>
      <c r="AL32" s="111">
        <f t="shared" si="59"/>
        <v>19100.834272645709</v>
      </c>
      <c r="AM32" s="113">
        <v>1510</v>
      </c>
      <c r="AN32" s="14">
        <f>'[1]Data-FW Catch Rates - new'!CE26</f>
        <v>10204.537598204266</v>
      </c>
      <c r="AO32" s="76">
        <f t="shared" si="31"/>
        <v>1.0093548973559109E-2</v>
      </c>
      <c r="AP32" s="60">
        <f t="shared" si="32"/>
        <v>7</v>
      </c>
      <c r="AQ32" s="59"/>
      <c r="AR32" s="77">
        <f>SUM(AE32,AA32,AK32)/AL32</f>
        <v>0.44739586505307283</v>
      </c>
      <c r="AS32" s="61">
        <f t="shared" si="60"/>
        <v>9.9445203827289538E-2</v>
      </c>
      <c r="AT32" s="61">
        <f t="shared" si="34"/>
        <v>4.3579641392618801E-2</v>
      </c>
      <c r="AU32" s="61">
        <f t="shared" si="35"/>
        <v>0.15130658518935433</v>
      </c>
      <c r="AV32" s="61"/>
      <c r="AW32" s="33"/>
      <c r="AX32" s="61">
        <f t="shared" si="36"/>
        <v>0.2373718307421335</v>
      </c>
      <c r="AY32" s="61">
        <f>AC32/$AL32</f>
        <v>6.2216835467105762E-2</v>
      </c>
      <c r="AZ32" s="61">
        <f t="shared" si="38"/>
        <v>7.0345698956887651E-2</v>
      </c>
      <c r="BA32" s="61">
        <f t="shared" si="39"/>
        <v>5.3924346198587899E-3</v>
      </c>
      <c r="BB32" s="61">
        <f>SUM(AA32,AE32)/AL32</f>
        <v>0.37532679978598571</v>
      </c>
      <c r="BC32" s="61">
        <f>AK32/AL32</f>
        <v>7.2069065267087187E-2</v>
      </c>
      <c r="BD32" s="78">
        <f t="shared" si="40"/>
        <v>0.44739586505307283</v>
      </c>
      <c r="BE32" s="17"/>
      <c r="BF32" s="17"/>
      <c r="BG32" s="22">
        <f>'[1]Data-PSC CH Tables'!C26</f>
        <v>9599.5723199092463</v>
      </c>
      <c r="BH32" s="22">
        <f>'[1]Data-PSC CH Tables'!AG26</f>
        <v>18372.131587188611</v>
      </c>
      <c r="BI32" s="22">
        <f>'[1]Data-PSC CH Tables'!AI26</f>
        <v>19904.131587188611</v>
      </c>
      <c r="BJ32" s="17"/>
      <c r="BK32" s="22">
        <f t="shared" si="63"/>
        <v>-955.62768009075444</v>
      </c>
      <c r="BL32" s="22">
        <f t="shared" si="64"/>
        <v>647.87658639402071</v>
      </c>
      <c r="BM32" s="22">
        <f t="shared" si="65"/>
        <v>803.29731454290231</v>
      </c>
      <c r="BO32" s="33"/>
      <c r="BP32" s="33"/>
      <c r="BQ32" s="33"/>
      <c r="BS32" s="62">
        <f>AC32</f>
        <v>1188.3934632256528</v>
      </c>
      <c r="BT32" s="62">
        <f t="shared" si="10"/>
        <v>4534</v>
      </c>
      <c r="BU32" s="62">
        <f t="shared" si="11"/>
        <v>103</v>
      </c>
      <c r="BV32" s="62">
        <f>AD32</f>
        <v>778.2616872831411</v>
      </c>
      <c r="BW32" s="62">
        <f t="shared" si="13"/>
        <v>565.39985028579599</v>
      </c>
      <c r="BX32" s="62">
        <f>SUM(BS32:BW32)</f>
        <v>7169.0550007945903</v>
      </c>
      <c r="BY32" s="62">
        <f>AJ32</f>
        <v>17724.25500079459</v>
      </c>
      <c r="BZ32" s="79">
        <f>BX32/BY32</f>
        <v>0.40447708524128079</v>
      </c>
      <c r="CA32" s="79">
        <f>SUM(BV32,BS32)/BX32</f>
        <v>0.2743255771215059</v>
      </c>
      <c r="CB32" s="79">
        <f>SUM(BT32:BU32,BW32)/BX32</f>
        <v>0.72567442287849404</v>
      </c>
      <c r="CC32" s="79">
        <f>AK32/(BX32+AK32)</f>
        <v>0.16108567578857239</v>
      </c>
      <c r="CD32" s="33"/>
      <c r="CF32" s="36">
        <v>18383.954577684832</v>
      </c>
      <c r="CG32" s="36">
        <v>19915.954577684832</v>
      </c>
      <c r="CH32" s="81">
        <f t="shared" si="100"/>
        <v>-659.69957689024159</v>
      </c>
      <c r="CI32" s="36">
        <f t="shared" si="101"/>
        <v>-815.1203050391232</v>
      </c>
      <c r="CJ32" s="36">
        <v>10837.72257768483</v>
      </c>
      <c r="CK32" s="81">
        <f t="shared" si="73"/>
        <v>-282.52257768482923</v>
      </c>
      <c r="CM32" s="33">
        <f t="shared" si="84"/>
        <v>2011</v>
      </c>
      <c r="CN32" s="96">
        <f t="shared" si="91"/>
        <v>17724.25500079459</v>
      </c>
      <c r="CO32" s="97">
        <f t="shared" si="92"/>
        <v>0</v>
      </c>
      <c r="CP32" s="97">
        <f t="shared" si="93"/>
        <v>3722.0935501668637</v>
      </c>
      <c r="CQ32" s="62">
        <f t="shared" si="94"/>
        <v>10555.2</v>
      </c>
      <c r="CR32" s="98" t="str">
        <f t="shared" si="85"/>
        <v>Y</v>
      </c>
      <c r="CS32" s="114" t="str">
        <f t="shared" si="95"/>
        <v>N</v>
      </c>
      <c r="CT32" s="99">
        <f t="shared" si="102"/>
        <v>3722.0935501668637</v>
      </c>
      <c r="CU32" s="100">
        <f t="shared" si="103"/>
        <v>6357.148550961454</v>
      </c>
      <c r="CV32" s="100">
        <f t="shared" ref="CV32:CV44" si="105">CX32-CT32-(BX32-CX32)</f>
        <v>-1823.148550961454</v>
      </c>
      <c r="CW32" s="100"/>
      <c r="CX32" s="101">
        <f t="shared" si="96"/>
        <v>4534</v>
      </c>
      <c r="CY32" s="102">
        <f t="shared" si="86"/>
        <v>-1823.148550961454</v>
      </c>
      <c r="CZ32" s="79">
        <v>0.1</v>
      </c>
      <c r="DA32" s="103">
        <f t="shared" si="97"/>
        <v>-372.2093550166864</v>
      </c>
      <c r="DB32" s="107">
        <f>IF(CX32&gt;CT32,CY32,(IF(CY32*-1&gt;(CT32*CZ32),CT32*CZ32*-1,CY32)))</f>
        <v>-1823.148550961454</v>
      </c>
      <c r="DC32" s="33"/>
      <c r="DD32" s="107">
        <f t="shared" si="104"/>
        <v>-7149.3177557208037</v>
      </c>
      <c r="DE32" s="105">
        <f t="shared" si="98"/>
        <v>-1823.148550961454</v>
      </c>
      <c r="DF32" s="105">
        <f t="shared" si="99"/>
        <v>1823.148550961454</v>
      </c>
      <c r="DH32" s="66">
        <f t="shared" si="20"/>
        <v>0</v>
      </c>
      <c r="DK32" s="106">
        <f>AC32/AJ32</f>
        <v>6.7048993775612922E-2</v>
      </c>
      <c r="DL32" s="106">
        <f>AD32/AJ32</f>
        <v>4.3909416065625949E-2</v>
      </c>
      <c r="DS32" s="14">
        <f t="shared" si="43"/>
        <v>10555.2</v>
      </c>
      <c r="DT32" s="14">
        <v>19861.298355492483</v>
      </c>
      <c r="DU32" s="14">
        <f t="shared" si="77"/>
        <v>9306.0983554924824</v>
      </c>
      <c r="DW32" s="14">
        <f>AJ32</f>
        <v>17724.25500079459</v>
      </c>
      <c r="DX32" s="14">
        <v>26393.298355492483</v>
      </c>
      <c r="DY32" s="14">
        <f t="shared" si="78"/>
        <v>8669.0433546978929</v>
      </c>
      <c r="EC32" s="3">
        <f>AC32/$AE32</f>
        <v>0.60427140107313837</v>
      </c>
      <c r="ED32" s="3">
        <f>AD32/$AE32</f>
        <v>0.39572859892686157</v>
      </c>
      <c r="EG32" s="14">
        <f t="shared" si="46"/>
        <v>2635.0550007945899</v>
      </c>
      <c r="EI32" s="89">
        <f t="shared" si="81"/>
        <v>0</v>
      </c>
      <c r="EJ32" s="89">
        <f t="shared" si="47"/>
        <v>0</v>
      </c>
      <c r="EL32" s="67"/>
      <c r="EM32" s="67">
        <f t="shared" si="48"/>
        <v>10.555200000000001</v>
      </c>
      <c r="EN32" s="67">
        <f t="shared" si="22"/>
        <v>4.5339999999999998</v>
      </c>
      <c r="EO32" s="67">
        <f t="shared" si="23"/>
        <v>2.6350550007945901</v>
      </c>
      <c r="EP32" s="67">
        <f>AK32/1000</f>
        <v>1.3765792718511194</v>
      </c>
      <c r="ET32" s="66">
        <f t="shared" si="25"/>
        <v>0.15130658518935433</v>
      </c>
      <c r="EW32" s="14">
        <f t="shared" si="27"/>
        <v>2635.0550007945903</v>
      </c>
      <c r="EY32" s="14">
        <f t="shared" si="49"/>
        <v>645</v>
      </c>
      <c r="EZ32" s="14">
        <f t="shared" si="50"/>
        <v>668.39985028579599</v>
      </c>
      <c r="FB32" s="14">
        <f t="shared" si="51"/>
        <v>19077.434422359911</v>
      </c>
      <c r="FC32" s="66">
        <f t="shared" si="52"/>
        <v>1</v>
      </c>
      <c r="FE32" s="14">
        <f t="shared" si="26"/>
        <v>12000</v>
      </c>
    </row>
    <row r="33" spans="2:161" ht="13.5" thickBot="1" x14ac:dyDescent="0.25">
      <c r="B33" s="4">
        <v>2012</v>
      </c>
      <c r="C33" s="71">
        <f t="shared" si="53"/>
        <v>9380.7999999999993</v>
      </c>
      <c r="D33" s="71">
        <f t="shared" si="82"/>
        <v>8178.7999999999993</v>
      </c>
      <c r="E33" s="71">
        <f>'Bayesian Sum (10Feb26)'!H28</f>
        <v>1202</v>
      </c>
      <c r="F33" s="110"/>
      <c r="G33" s="14">
        <f>'[1]Data-Nisgaa &amp; Other FN Catch'!BI25</f>
        <v>105</v>
      </c>
      <c r="H33" s="14">
        <f>'[1]Data-SF-FW'!U16</f>
        <v>532</v>
      </c>
      <c r="I33" s="14">
        <f>'Data-Chin-Nisga''a'!N27</f>
        <v>1467.2</v>
      </c>
      <c r="J33" s="14">
        <f t="shared" si="54"/>
        <v>2104.1999999999998</v>
      </c>
      <c r="L33" s="72">
        <f>'Bayesian Sum (10Feb26)'!K28</f>
        <v>11485</v>
      </c>
      <c r="M33" s="73">
        <f t="shared" si="28"/>
        <v>4.6321288637353068E-2</v>
      </c>
      <c r="N33" s="56">
        <f>'Data-Coastal-Chin-Esc (new)'!J40</f>
        <v>865.11331726747983</v>
      </c>
      <c r="O33" s="74">
        <f t="shared" si="55"/>
        <v>0</v>
      </c>
      <c r="P33" s="14"/>
      <c r="Q33" s="110"/>
      <c r="R33" s="5">
        <f>'A6-Chin (NEW2+Khutz)'!R33-'A6b-Chin (LN&amp;CoastalCU)'!R33</f>
        <v>15.041179414121611</v>
      </c>
      <c r="S33" s="5">
        <f>'A6-Chin (NEW2+Khutz)'!S33-'A6b-Chin (LN&amp;CoastalCU)'!S33</f>
        <v>2029.4</v>
      </c>
      <c r="T33" s="14">
        <f t="shared" si="56"/>
        <v>2044.4411794141217</v>
      </c>
      <c r="U33" s="73">
        <f t="shared" si="83"/>
        <v>7.3571103759668853E-3</v>
      </c>
      <c r="V33" s="14">
        <f t="shared" si="3"/>
        <v>9380.7999999999993</v>
      </c>
      <c r="W33" s="110"/>
      <c r="X33" s="111">
        <f t="shared" si="29"/>
        <v>105</v>
      </c>
      <c r="Y33" s="111">
        <f t="shared" si="30"/>
        <v>547.04117941412164</v>
      </c>
      <c r="Z33" s="111">
        <f t="shared" si="30"/>
        <v>3496.6000000000004</v>
      </c>
      <c r="AA33" s="111">
        <f t="shared" si="4"/>
        <v>4148.6411794141222</v>
      </c>
      <c r="AB33" s="110"/>
      <c r="AC33" s="14">
        <f>'A6-Chin (NEW2+Khutz)'!AC33-'A6b-Chin (LN&amp;CoastalCU)'!AC33</f>
        <v>1042.5008027084548</v>
      </c>
      <c r="AD33" s="14">
        <f>'A6-Chin (NEW2+Khutz)'!AD33-'A6b-Chin (LN&amp;CoastalCU)'!AD33</f>
        <v>412.79681280978201</v>
      </c>
      <c r="AE33" s="14">
        <f t="shared" si="57"/>
        <v>1455.2976155182369</v>
      </c>
      <c r="AF33" s="110"/>
      <c r="AJ33" s="14">
        <f t="shared" si="58"/>
        <v>14984.738794932358</v>
      </c>
      <c r="AK33" s="122">
        <f>'A6-Chin (NEW2+Khutz)'!AK33-'A6b-Chin (LN&amp;CoastalCU)'!AL33</f>
        <v>1030.2035831825199</v>
      </c>
      <c r="AL33" s="111">
        <f t="shared" si="59"/>
        <v>16014.942378114878</v>
      </c>
      <c r="AM33" s="113">
        <v>1172</v>
      </c>
      <c r="AN33" s="14">
        <f>'[1]Data-FW Catch Rates - new'!CE27</f>
        <v>8995.6589262187081</v>
      </c>
      <c r="AO33" s="76">
        <f t="shared" si="31"/>
        <v>1.1672296700130267E-2</v>
      </c>
      <c r="AP33" s="60">
        <f t="shared" si="32"/>
        <v>2</v>
      </c>
      <c r="AQ33" s="59"/>
      <c r="AR33" s="77">
        <f t="shared" si="33"/>
        <v>0.41424703389384188</v>
      </c>
      <c r="AS33" s="61">
        <f t="shared" si="60"/>
        <v>0.12774923813670006</v>
      </c>
      <c r="AT33" s="61">
        <f t="shared" si="34"/>
        <v>4.6321288637353068E-2</v>
      </c>
      <c r="AU33" s="61">
        <f t="shared" si="35"/>
        <v>0.18321288637353067</v>
      </c>
      <c r="AV33" s="61"/>
      <c r="AW33" s="33"/>
      <c r="AX33" s="61">
        <f t="shared" si="36"/>
        <v>0.21833359855095438</v>
      </c>
      <c r="AY33" s="61">
        <f t="shared" si="37"/>
        <v>6.5095507563803529E-2</v>
      </c>
      <c r="AZ33" s="61">
        <f t="shared" si="38"/>
        <v>5.9933902324591844E-2</v>
      </c>
      <c r="BA33" s="61">
        <f t="shared" si="39"/>
        <v>6.5563770084797251E-3</v>
      </c>
      <c r="BB33" s="61">
        <f t="shared" si="61"/>
        <v>0.34991938544782947</v>
      </c>
      <c r="BC33" s="61">
        <f t="shared" si="62"/>
        <v>6.4327648446012409E-2</v>
      </c>
      <c r="BD33" s="78">
        <f t="shared" si="40"/>
        <v>0.41424703389384188</v>
      </c>
      <c r="BE33" s="17"/>
      <c r="BF33" s="17"/>
      <c r="BG33" s="22">
        <f>'[1]Data-PSC CH Tables'!C27</f>
        <v>8687.6589262187081</v>
      </c>
      <c r="BH33" s="22">
        <f>'[1]Data-PSC CH Tables'!AG27</f>
        <v>15807.666976543394</v>
      </c>
      <c r="BI33" s="22">
        <f>'[1]Data-PSC CH Tables'!AI27</f>
        <v>16992.666976543394</v>
      </c>
      <c r="BJ33" s="17"/>
      <c r="BK33" s="22">
        <f t="shared" si="63"/>
        <v>-693.1410737812912</v>
      </c>
      <c r="BL33" s="22">
        <f t="shared" si="64"/>
        <v>822.92818161103605</v>
      </c>
      <c r="BM33" s="22">
        <f t="shared" si="65"/>
        <v>977.7245984285164</v>
      </c>
      <c r="BO33" s="33"/>
      <c r="BP33" s="33"/>
      <c r="BQ33" s="33"/>
      <c r="BS33" s="62">
        <f t="shared" si="66"/>
        <v>1042.5008027084548</v>
      </c>
      <c r="BT33" s="62">
        <f t="shared" si="10"/>
        <v>3496.6000000000004</v>
      </c>
      <c r="BU33" s="62">
        <f t="shared" si="11"/>
        <v>105</v>
      </c>
      <c r="BV33" s="62">
        <f t="shared" si="12"/>
        <v>412.79681280978201</v>
      </c>
      <c r="BW33" s="62">
        <f t="shared" si="13"/>
        <v>547.04117941412164</v>
      </c>
      <c r="BX33" s="62">
        <f t="shared" si="67"/>
        <v>5603.9387949323591</v>
      </c>
      <c r="BY33" s="62">
        <f t="shared" si="15"/>
        <v>14984.738794932358</v>
      </c>
      <c r="BZ33" s="79">
        <f t="shared" si="68"/>
        <v>0.37397640837273305</v>
      </c>
      <c r="CA33" s="79">
        <f t="shared" si="69"/>
        <v>0.25969191826903287</v>
      </c>
      <c r="CB33" s="79">
        <f t="shared" si="70"/>
        <v>0.74030808173096707</v>
      </c>
      <c r="CC33" s="79">
        <f t="shared" si="19"/>
        <v>0.15528813288376497</v>
      </c>
      <c r="CD33" s="33"/>
      <c r="CF33" s="36">
        <v>15818.366839568131</v>
      </c>
      <c r="CG33" s="36">
        <v>17003.366839568131</v>
      </c>
      <c r="CH33" s="81">
        <f t="shared" si="100"/>
        <v>-833.62804463577231</v>
      </c>
      <c r="CI33" s="36">
        <f t="shared" si="101"/>
        <v>-988.42446145325266</v>
      </c>
      <c r="CJ33" s="36">
        <v>9808.1908395681312</v>
      </c>
      <c r="CK33" s="81">
        <f t="shared" si="73"/>
        <v>-427.39083956813192</v>
      </c>
      <c r="CM33" s="33">
        <f t="shared" si="84"/>
        <v>2012</v>
      </c>
      <c r="CN33" s="96">
        <f t="shared" si="91"/>
        <v>14984.738794932358</v>
      </c>
      <c r="CO33" s="97">
        <f t="shared" si="92"/>
        <v>0</v>
      </c>
      <c r="CP33" s="97">
        <f t="shared" si="93"/>
        <v>3146.7951469357949</v>
      </c>
      <c r="CQ33" s="62">
        <f t="shared" si="94"/>
        <v>9380.7999999999993</v>
      </c>
      <c r="CR33" s="98" t="str">
        <f t="shared" si="85"/>
        <v>N</v>
      </c>
      <c r="CS33" s="114" t="str">
        <f t="shared" si="95"/>
        <v>N</v>
      </c>
      <c r="CT33" s="99">
        <f t="shared" si="102"/>
        <v>3146.7951469357949</v>
      </c>
      <c r="CU33" s="100">
        <f t="shared" si="103"/>
        <v>0</v>
      </c>
      <c r="CV33" s="100">
        <f t="shared" si="105"/>
        <v>-1757.5339418681533</v>
      </c>
      <c r="CW33" s="100"/>
      <c r="CX33" s="101">
        <f t="shared" si="96"/>
        <v>3496.6000000000004</v>
      </c>
      <c r="CY33" s="102">
        <f t="shared" si="86"/>
        <v>3496.6000000000004</v>
      </c>
      <c r="CZ33" s="79">
        <v>0.1</v>
      </c>
      <c r="DA33" s="103">
        <f t="shared" si="97"/>
        <v>-314.67951469357951</v>
      </c>
      <c r="DB33" s="107">
        <f t="shared" si="87"/>
        <v>3496.6000000000004</v>
      </c>
      <c r="DC33" s="33"/>
      <c r="DD33" s="107">
        <f t="shared" si="104"/>
        <v>-3652.7177557208033</v>
      </c>
      <c r="DE33" s="105">
        <f t="shared" si="98"/>
        <v>3496.6000000000004</v>
      </c>
      <c r="DF33" s="105">
        <f t="shared" si="99"/>
        <v>3496.6000000000004</v>
      </c>
      <c r="DH33" s="66">
        <f t="shared" si="20"/>
        <v>0</v>
      </c>
      <c r="DK33" s="106"/>
      <c r="DL33" s="106"/>
      <c r="DS33" s="14">
        <f t="shared" si="43"/>
        <v>9380.7999999999993</v>
      </c>
      <c r="DT33" s="14">
        <v>19861.298355492483</v>
      </c>
      <c r="DU33" s="14">
        <f t="shared" si="77"/>
        <v>10480.498355492484</v>
      </c>
      <c r="DW33" s="14">
        <f t="shared" si="44"/>
        <v>14984.738794932358</v>
      </c>
      <c r="DX33" s="14">
        <v>26393.298355492483</v>
      </c>
      <c r="DY33" s="14">
        <f t="shared" si="78"/>
        <v>11408.559560560125</v>
      </c>
      <c r="EG33" s="14">
        <f t="shared" si="46"/>
        <v>2107.3387949323587</v>
      </c>
      <c r="EJ33" s="89">
        <f t="shared" si="47"/>
        <v>0</v>
      </c>
      <c r="EL33" s="67"/>
      <c r="EM33" s="67">
        <f t="shared" si="48"/>
        <v>9.3807999999999989</v>
      </c>
      <c r="EN33" s="67">
        <f t="shared" si="22"/>
        <v>3.4966000000000004</v>
      </c>
      <c r="EO33" s="67">
        <f t="shared" si="23"/>
        <v>2.1073387949323585</v>
      </c>
      <c r="EP33" s="67">
        <f t="shared" si="24"/>
        <v>1.0302035831825198</v>
      </c>
      <c r="ET33" s="66">
        <f t="shared" si="25"/>
        <v>0.18321288637353067</v>
      </c>
      <c r="EW33" s="14">
        <f t="shared" si="27"/>
        <v>2107.3387949323587</v>
      </c>
      <c r="EY33" s="14">
        <f t="shared" si="49"/>
        <v>637</v>
      </c>
      <c r="EZ33" s="14">
        <f t="shared" si="50"/>
        <v>652.04117941412164</v>
      </c>
      <c r="FB33" s="14">
        <f t="shared" si="51"/>
        <v>15999.901198700758</v>
      </c>
      <c r="FC33" s="66">
        <f t="shared" si="52"/>
        <v>1</v>
      </c>
      <c r="FE33" s="14">
        <f t="shared" si="26"/>
        <v>11000</v>
      </c>
    </row>
    <row r="34" spans="2:161" x14ac:dyDescent="0.2">
      <c r="B34" s="4">
        <v>2013</v>
      </c>
      <c r="C34" s="71">
        <f t="shared" si="53"/>
        <v>9342.4</v>
      </c>
      <c r="D34" s="71">
        <f t="shared" si="82"/>
        <v>7746.4</v>
      </c>
      <c r="E34" s="71">
        <f>'Bayesian Sum (10Feb26)'!H29</f>
        <v>1596</v>
      </c>
      <c r="F34" s="110"/>
      <c r="G34" s="14">
        <f>'[1]Data-Nisgaa &amp; Other FN Catch'!BI26</f>
        <v>52</v>
      </c>
      <c r="H34" s="14">
        <f>'[1]Data-SF-FW'!U17</f>
        <v>466</v>
      </c>
      <c r="I34" s="14">
        <f>'Data-Chin-Nisga''a'!N28</f>
        <v>1735.6</v>
      </c>
      <c r="J34" s="14">
        <f t="shared" si="54"/>
        <v>2253.6</v>
      </c>
      <c r="L34" s="72">
        <f>'Bayesian Sum (10Feb26)'!K29</f>
        <v>11596</v>
      </c>
      <c r="M34" s="73">
        <f t="shared" si="28"/>
        <v>4.0186271127975161E-2</v>
      </c>
      <c r="N34" s="56">
        <f>'Data-Coastal-Chin-Esc (new)'!J41</f>
        <v>527.86575290897076</v>
      </c>
      <c r="O34" s="74">
        <f t="shared" si="55"/>
        <v>0</v>
      </c>
      <c r="P34" s="14"/>
      <c r="Q34" s="110"/>
      <c r="R34" s="5">
        <f>'A6-Chin (NEW2+Khutz)'!R34-'A6b-Chin (LN&amp;CoastalCU)'!R34</f>
        <v>4.9791631421534408</v>
      </c>
      <c r="S34" s="5">
        <f>'A6-Chin (NEW2+Khutz)'!S34-'A6b-Chin (LN&amp;CoastalCU)'!S34</f>
        <v>2659.2</v>
      </c>
      <c r="T34" s="14">
        <f t="shared" si="56"/>
        <v>2664.1791631421534</v>
      </c>
      <c r="U34" s="115">
        <f>R34/SUM(T34,P34)</f>
        <v>1.8689295416157289E-3</v>
      </c>
      <c r="V34" s="14">
        <f t="shared" si="3"/>
        <v>9342.4</v>
      </c>
      <c r="W34" s="110"/>
      <c r="X34" s="111">
        <f t="shared" si="29"/>
        <v>52</v>
      </c>
      <c r="Y34" s="111">
        <f t="shared" si="30"/>
        <v>470.97916314215342</v>
      </c>
      <c r="Z34" s="111">
        <f t="shared" si="30"/>
        <v>4394.7999999999993</v>
      </c>
      <c r="AA34" s="111">
        <f t="shared" si="4"/>
        <v>4917.7791631421524</v>
      </c>
      <c r="AB34" s="110"/>
      <c r="AC34" s="14">
        <f>'A6-Chin (NEW2+Khutz)'!AC34-'A6b-Chin (LN&amp;CoastalCU)'!AC34</f>
        <v>1556.8780924043485</v>
      </c>
      <c r="AD34" s="14">
        <f>'A6-Chin (NEW2+Khutz)'!AD34-'A6b-Chin (LN&amp;CoastalCU)'!AD34</f>
        <v>429.86775127258039</v>
      </c>
      <c r="AE34" s="14">
        <f t="shared" si="57"/>
        <v>1986.7458436769289</v>
      </c>
      <c r="AF34" s="110"/>
      <c r="AJ34" s="14">
        <f t="shared" si="58"/>
        <v>16246.925006819079</v>
      </c>
      <c r="AK34" s="122">
        <f>'A6-Chin (NEW2+Khutz)'!AK34-'A6b-Chin (LN&amp;CoastalCU)'!AL34</f>
        <v>162.16699679781513</v>
      </c>
      <c r="AL34" s="111">
        <f t="shared" si="59"/>
        <v>16409.092003616894</v>
      </c>
      <c r="AM34" s="113">
        <v>178</v>
      </c>
      <c r="AN34" s="14">
        <f>'[1]Data-FW Catch Rates - new'!CE28</f>
        <v>8297.8356309650062</v>
      </c>
      <c r="AO34" s="76">
        <f t="shared" si="31"/>
        <v>6.2666943902759138E-3</v>
      </c>
      <c r="AP34" s="60">
        <f t="shared" si="32"/>
        <v>3</v>
      </c>
      <c r="AQ34" s="59"/>
      <c r="AR34" s="77">
        <f t="shared" si="33"/>
        <v>0.43065710168845756</v>
      </c>
      <c r="AS34" s="61">
        <f t="shared" si="60"/>
        <v>0.14967230079337701</v>
      </c>
      <c r="AT34" s="61">
        <f t="shared" si="34"/>
        <v>4.0186271127975161E-2</v>
      </c>
      <c r="AU34" s="61">
        <f t="shared" si="35"/>
        <v>0.1943428768540876</v>
      </c>
      <c r="AV34" s="61"/>
      <c r="AW34" s="33"/>
      <c r="AX34" s="61">
        <f t="shared" si="36"/>
        <v>0.26782712894968819</v>
      </c>
      <c r="AY34" s="61">
        <f t="shared" si="37"/>
        <v>9.4878990992382839E-2</v>
      </c>
      <c r="AZ34" s="61">
        <f t="shared" si="38"/>
        <v>5.4899254280259331E-2</v>
      </c>
      <c r="BA34" s="61">
        <f t="shared" si="39"/>
        <v>3.168974857873803E-3</v>
      </c>
      <c r="BB34" s="61">
        <f t="shared" si="61"/>
        <v>0.42077434908020417</v>
      </c>
      <c r="BC34" s="61">
        <f>AK34/AL34</f>
        <v>9.8827526082534162E-3</v>
      </c>
      <c r="BD34" s="78">
        <f t="shared" si="40"/>
        <v>0.43065710168845756</v>
      </c>
      <c r="BE34" s="17"/>
      <c r="BF34" s="17"/>
      <c r="BG34" s="22">
        <f>'[1]Data-PSC CH Tables'!C28</f>
        <v>8010.8356309650062</v>
      </c>
      <c r="BH34" s="22">
        <f>'[1]Data-PSC CH Tables'!AG28</f>
        <v>16411.076781231313</v>
      </c>
      <c r="BI34" s="22">
        <f>'[1]Data-PSC CH Tables'!AI28</f>
        <v>16597.076781231313</v>
      </c>
      <c r="BJ34" s="17"/>
      <c r="BK34" s="22">
        <f t="shared" si="63"/>
        <v>-1331.5643690349934</v>
      </c>
      <c r="BL34" s="22">
        <f t="shared" si="64"/>
        <v>164.15177441223386</v>
      </c>
      <c r="BM34" s="22">
        <f t="shared" si="65"/>
        <v>187.98477761441973</v>
      </c>
      <c r="BO34" s="33"/>
      <c r="BP34" s="33"/>
      <c r="BQ34" s="33"/>
      <c r="BS34" s="62">
        <f t="shared" si="66"/>
        <v>1556.8780924043485</v>
      </c>
      <c r="BT34" s="62">
        <f t="shared" si="10"/>
        <v>4394.7999999999993</v>
      </c>
      <c r="BU34" s="62">
        <f t="shared" si="11"/>
        <v>52</v>
      </c>
      <c r="BV34" s="62">
        <f t="shared" si="12"/>
        <v>429.86775127258039</v>
      </c>
      <c r="BW34" s="62">
        <f t="shared" si="13"/>
        <v>470.97916314215342</v>
      </c>
      <c r="BX34" s="62">
        <f t="shared" si="67"/>
        <v>6904.5250068190817</v>
      </c>
      <c r="BY34" s="62">
        <f t="shared" si="15"/>
        <v>16246.925006819079</v>
      </c>
      <c r="BZ34" s="79">
        <f t="shared" si="68"/>
        <v>0.42497426460214155</v>
      </c>
      <c r="CA34" s="79">
        <f t="shared" si="69"/>
        <v>0.28774547730868799</v>
      </c>
      <c r="CB34" s="79">
        <f t="shared" si="70"/>
        <v>0.71225452269131195</v>
      </c>
      <c r="CC34" s="79">
        <f t="shared" si="19"/>
        <v>2.2948077645780274E-2</v>
      </c>
      <c r="CD34" s="33"/>
      <c r="CF34" s="36">
        <v>16420.943057600234</v>
      </c>
      <c r="CG34" s="36">
        <v>16606.943057600234</v>
      </c>
      <c r="CH34" s="81">
        <f t="shared" si="100"/>
        <v>-174.01805078115467</v>
      </c>
      <c r="CI34" s="36">
        <f t="shared" si="101"/>
        <v>-197.85105398334053</v>
      </c>
      <c r="CJ34" s="36">
        <v>9044.0710576002366</v>
      </c>
      <c r="CK34" s="81">
        <f t="shared" si="73"/>
        <v>298.32894239976304</v>
      </c>
      <c r="CM34" s="33">
        <f t="shared" si="84"/>
        <v>2013</v>
      </c>
      <c r="CN34" s="96">
        <f t="shared" si="91"/>
        <v>16246.925006819079</v>
      </c>
      <c r="CO34" s="97">
        <f t="shared" si="92"/>
        <v>0</v>
      </c>
      <c r="CP34" s="97">
        <f t="shared" si="93"/>
        <v>3411.8542514320065</v>
      </c>
      <c r="CQ34" s="62">
        <f t="shared" si="94"/>
        <v>9342.4</v>
      </c>
      <c r="CR34" s="98" t="str">
        <f t="shared" si="85"/>
        <v>N</v>
      </c>
      <c r="CS34" s="114" t="str">
        <f t="shared" si="95"/>
        <v>N</v>
      </c>
      <c r="CT34" s="99">
        <f t="shared" si="102"/>
        <v>3411.8542514320065</v>
      </c>
      <c r="CU34" s="100">
        <f t="shared" si="103"/>
        <v>0</v>
      </c>
      <c r="CV34" s="100">
        <f t="shared" si="105"/>
        <v>-1526.7792582510897</v>
      </c>
      <c r="CW34" s="100"/>
      <c r="CX34" s="101">
        <f t="shared" si="96"/>
        <v>4394.7999999999993</v>
      </c>
      <c r="CY34" s="102">
        <f t="shared" si="86"/>
        <v>4394.7999999999993</v>
      </c>
      <c r="CZ34" s="79">
        <v>0.1</v>
      </c>
      <c r="DA34" s="103">
        <f t="shared" si="97"/>
        <v>-341.18542514320069</v>
      </c>
      <c r="DB34" s="107">
        <f t="shared" si="87"/>
        <v>4394.7999999999993</v>
      </c>
      <c r="DC34" s="33"/>
      <c r="DD34" s="107">
        <f t="shared" si="104"/>
        <v>742.08224427919595</v>
      </c>
      <c r="DE34" s="105">
        <f t="shared" si="98"/>
        <v>4394.7999999999993</v>
      </c>
      <c r="DF34" s="105">
        <f t="shared" si="99"/>
        <v>4394.7999999999993</v>
      </c>
      <c r="DH34" s="66">
        <f t="shared" si="20"/>
        <v>0</v>
      </c>
      <c r="DK34" s="106"/>
      <c r="DL34" s="106"/>
      <c r="DS34" s="14">
        <f t="shared" si="43"/>
        <v>9342.4</v>
      </c>
      <c r="DT34" s="14">
        <v>19861.298355492483</v>
      </c>
      <c r="DU34" s="14">
        <f t="shared" si="77"/>
        <v>10518.898355492483</v>
      </c>
      <c r="DW34" s="14">
        <f t="shared" si="44"/>
        <v>16246.925006819079</v>
      </c>
      <c r="DX34" s="14">
        <v>26393.298355492483</v>
      </c>
      <c r="DY34" s="14">
        <f t="shared" si="78"/>
        <v>10146.373348673404</v>
      </c>
      <c r="EG34" s="14">
        <f t="shared" si="46"/>
        <v>2509.7250068190824</v>
      </c>
      <c r="EJ34" s="89">
        <f t="shared" si="47"/>
        <v>0</v>
      </c>
      <c r="EL34" s="67"/>
      <c r="EM34" s="67">
        <f t="shared" si="48"/>
        <v>9.3423999999999996</v>
      </c>
      <c r="EN34" s="67">
        <f t="shared" si="22"/>
        <v>4.3947999999999992</v>
      </c>
      <c r="EO34" s="67">
        <f t="shared" si="23"/>
        <v>2.5097250068190826</v>
      </c>
      <c r="EP34" s="67">
        <f t="shared" si="24"/>
        <v>0.16216699679781513</v>
      </c>
      <c r="ET34" s="66">
        <f t="shared" si="25"/>
        <v>0.1943428768540876</v>
      </c>
      <c r="EW34" s="14">
        <f t="shared" si="27"/>
        <v>2509.7250068190824</v>
      </c>
      <c r="EY34" s="14">
        <f t="shared" si="49"/>
        <v>518</v>
      </c>
      <c r="EZ34" s="14">
        <f t="shared" si="50"/>
        <v>522.97916314215342</v>
      </c>
      <c r="FB34" s="14">
        <f t="shared" si="51"/>
        <v>16404.112840474743</v>
      </c>
      <c r="FC34" s="66">
        <f t="shared" si="52"/>
        <v>1</v>
      </c>
      <c r="FE34" s="14">
        <f t="shared" si="26"/>
        <v>12000</v>
      </c>
    </row>
    <row r="35" spans="2:161" ht="13.5" thickBot="1" x14ac:dyDescent="0.25">
      <c r="B35" s="4">
        <v>2014</v>
      </c>
      <c r="C35" s="71">
        <f t="shared" si="53"/>
        <v>13909.2</v>
      </c>
      <c r="D35" s="71">
        <f t="shared" si="82"/>
        <v>11354.2</v>
      </c>
      <c r="E35" s="71">
        <f>'Bayesian Sum (10Feb26)'!H30</f>
        <v>2555</v>
      </c>
      <c r="F35" s="110"/>
      <c r="G35" s="14">
        <f>'[1]Data-Nisgaa &amp; Other FN Catch'!BI27</f>
        <v>72</v>
      </c>
      <c r="H35" s="14">
        <f>'[1]Data-SF-FW'!U18</f>
        <v>863</v>
      </c>
      <c r="I35" s="14">
        <f>'Data-Chin-Nisga''a'!N29</f>
        <v>1945.8</v>
      </c>
      <c r="J35" s="14">
        <f t="shared" si="54"/>
        <v>2880.8</v>
      </c>
      <c r="L35" s="72">
        <f>'Bayesian Sum (10Feb26)'!K30</f>
        <v>16790</v>
      </c>
      <c r="M35" s="73">
        <f t="shared" si="28"/>
        <v>5.1399642644431212E-2</v>
      </c>
      <c r="N35" s="56">
        <f>'Data-Coastal-Chin-Esc (new)'!J42</f>
        <v>1490.7319873818155</v>
      </c>
      <c r="O35" s="74">
        <f t="shared" si="55"/>
        <v>0</v>
      </c>
      <c r="P35" s="14"/>
      <c r="Q35" s="110"/>
      <c r="R35" s="5">
        <f>'A6-Chin (NEW2+Khutz)'!R35-'A6b-Chin (LN&amp;CoastalCU)'!R35</f>
        <v>0.86242083168467465</v>
      </c>
      <c r="S35" s="5">
        <f>'A6-Chin (NEW2+Khutz)'!S35-'A6b-Chin (LN&amp;CoastalCU)'!S35</f>
        <v>4070.4000000000005</v>
      </c>
      <c r="T35" s="14">
        <f>SUM(R35:S35)</f>
        <v>4071.2624208316852</v>
      </c>
      <c r="U35" s="116">
        <f t="shared" si="83"/>
        <v>2.1183130502024916E-4</v>
      </c>
      <c r="V35" s="14">
        <f t="shared" si="3"/>
        <v>13909.2</v>
      </c>
      <c r="W35" s="110"/>
      <c r="X35" s="111">
        <f t="shared" si="29"/>
        <v>72</v>
      </c>
      <c r="Y35" s="111">
        <f t="shared" si="30"/>
        <v>863.86242083168463</v>
      </c>
      <c r="Z35" s="111">
        <f t="shared" si="30"/>
        <v>6016.2000000000007</v>
      </c>
      <c r="AA35" s="111">
        <f t="shared" si="4"/>
        <v>6952.0624208316858</v>
      </c>
      <c r="AB35" s="110"/>
      <c r="AC35" s="14">
        <f>'A6-Chin (NEW2+Khutz)'!AC35-'A6b-Chin (LN&amp;CoastalCU)'!AC35</f>
        <v>1764.8993861594392</v>
      </c>
      <c r="AD35" s="14">
        <f>'A6-Chin (NEW2+Khutz)'!AD35-'A6b-Chin (LN&amp;CoastalCU)'!AD35</f>
        <v>633.01689045655121</v>
      </c>
      <c r="AE35" s="14">
        <f t="shared" si="57"/>
        <v>2397.9162766159907</v>
      </c>
      <c r="AF35" s="110"/>
      <c r="AJ35" s="14">
        <f t="shared" si="58"/>
        <v>23259.178697447674</v>
      </c>
      <c r="AK35" s="122">
        <f>'A6-Chin (NEW2+Khutz)'!AK35-'A6b-Chin (LN&amp;CoastalCU)'!AL35</f>
        <v>1424.8346931071114</v>
      </c>
      <c r="AL35" s="111">
        <f t="shared" si="59"/>
        <v>24684.013390554785</v>
      </c>
      <c r="AM35" s="113">
        <v>1498</v>
      </c>
      <c r="AN35" s="14">
        <f>'[1]Data-FW Catch Rates - new'!CE29</f>
        <v>11914</v>
      </c>
      <c r="AO35" s="117">
        <f t="shared" si="31"/>
        <v>6.0433103911364779E-3</v>
      </c>
      <c r="AP35" s="60">
        <f t="shared" si="32"/>
        <v>17</v>
      </c>
      <c r="AQ35" s="59"/>
      <c r="AR35" s="77">
        <f t="shared" si="33"/>
        <v>0.43650978550666797</v>
      </c>
      <c r="AS35" s="61">
        <f t="shared" si="60"/>
        <v>0.11589041095890411</v>
      </c>
      <c r="AT35" s="61">
        <f t="shared" si="34"/>
        <v>5.1399642644431212E-2</v>
      </c>
      <c r="AU35" s="61">
        <f t="shared" si="35"/>
        <v>0.1715783204288267</v>
      </c>
      <c r="AV35" s="61"/>
      <c r="AW35" s="33"/>
      <c r="AX35" s="61">
        <f t="shared" si="36"/>
        <v>0.24372859894420856</v>
      </c>
      <c r="AY35" s="61">
        <f t="shared" si="37"/>
        <v>7.1499693272519829E-2</v>
      </c>
      <c r="AZ35" s="61">
        <f t="shared" si="38"/>
        <v>6.0641650431975919E-2</v>
      </c>
      <c r="BA35" s="61">
        <f t="shared" si="39"/>
        <v>2.9168676446898398E-3</v>
      </c>
      <c r="BB35" s="61">
        <f t="shared" si="61"/>
        <v>0.37878681029339423</v>
      </c>
      <c r="BC35" s="61">
        <f>AK35/AL35</f>
        <v>5.7722975213273763E-2</v>
      </c>
      <c r="BD35" s="78">
        <f t="shared" si="40"/>
        <v>0.43650978550666797</v>
      </c>
      <c r="BE35" s="17"/>
      <c r="BF35" s="17"/>
      <c r="BG35" s="22">
        <f>'[1]Data-PSC CH Tables'!C29</f>
        <v>11509</v>
      </c>
      <c r="BH35" s="22">
        <f>'[1]Data-PSC CH Tables'!AG29</f>
        <v>22724.901053862264</v>
      </c>
      <c r="BI35" s="22">
        <f>'[1]Data-PSC CH Tables'!AI29</f>
        <v>24309.901053862264</v>
      </c>
      <c r="BJ35" s="17"/>
      <c r="BK35" s="22">
        <f t="shared" si="63"/>
        <v>-2400.2000000000007</v>
      </c>
      <c r="BL35" s="22">
        <f t="shared" si="64"/>
        <v>-534.27764358541026</v>
      </c>
      <c r="BM35" s="22">
        <f t="shared" si="65"/>
        <v>-374.11233669252033</v>
      </c>
      <c r="BO35" s="33"/>
      <c r="BP35" s="33"/>
      <c r="BQ35" s="33"/>
      <c r="BS35" s="62">
        <f t="shared" si="66"/>
        <v>1764.8993861594392</v>
      </c>
      <c r="BT35" s="62">
        <f t="shared" si="10"/>
        <v>6016.2000000000007</v>
      </c>
      <c r="BU35" s="62">
        <f t="shared" si="11"/>
        <v>72</v>
      </c>
      <c r="BV35" s="62">
        <f t="shared" si="12"/>
        <v>633.01689045655121</v>
      </c>
      <c r="BW35" s="62">
        <f t="shared" si="13"/>
        <v>863.86242083168463</v>
      </c>
      <c r="BX35" s="62">
        <f t="shared" si="67"/>
        <v>9349.9786974476756</v>
      </c>
      <c r="BY35" s="62">
        <f t="shared" si="15"/>
        <v>23259.178697447674</v>
      </c>
      <c r="BZ35" s="79">
        <f t="shared" si="68"/>
        <v>0.40199092233956168</v>
      </c>
      <c r="CA35" s="79">
        <f t="shared" si="69"/>
        <v>0.25646221817281417</v>
      </c>
      <c r="CB35" s="79">
        <f t="shared" si="70"/>
        <v>0.74353778182718588</v>
      </c>
      <c r="CC35" s="79">
        <f t="shared" si="19"/>
        <v>0.13223752852704837</v>
      </c>
      <c r="CD35" s="33"/>
      <c r="CF35" s="36">
        <v>22739.075726762934</v>
      </c>
      <c r="CG35" s="36">
        <v>24324.075726762934</v>
      </c>
      <c r="CH35" s="81">
        <f t="shared" si="100"/>
        <v>520.10297068474028</v>
      </c>
      <c r="CI35" s="36">
        <f t="shared" si="101"/>
        <v>359.93766379185035</v>
      </c>
      <c r="CJ35" s="36">
        <v>12993.427726762931</v>
      </c>
      <c r="CK35" s="81">
        <f t="shared" si="73"/>
        <v>915.77227323706938</v>
      </c>
      <c r="CM35" s="33">
        <f t="shared" si="84"/>
        <v>2014</v>
      </c>
      <c r="CN35" s="96">
        <f t="shared" si="91"/>
        <v>23259.178697447674</v>
      </c>
      <c r="CO35" s="97">
        <f t="shared" si="92"/>
        <v>3374.7511709836626</v>
      </c>
      <c r="CP35" s="97">
        <f t="shared" si="93"/>
        <v>8259.1786974476745</v>
      </c>
      <c r="CQ35" s="62">
        <f t="shared" si="94"/>
        <v>13909.2</v>
      </c>
      <c r="CR35" s="98" t="str">
        <f t="shared" si="85"/>
        <v>Y</v>
      </c>
      <c r="CS35" s="114" t="str">
        <f t="shared" si="95"/>
        <v>N</v>
      </c>
      <c r="CT35" s="99">
        <f t="shared" si="102"/>
        <v>4884.4275264640119</v>
      </c>
      <c r="CU35" s="100">
        <f t="shared" si="103"/>
        <v>8218.2062239116858</v>
      </c>
      <c r="CV35" s="100">
        <f t="shared" si="105"/>
        <v>-2202.006223911686</v>
      </c>
      <c r="CW35" s="100"/>
      <c r="CX35" s="101">
        <f t="shared" si="96"/>
        <v>6016.2000000000007</v>
      </c>
      <c r="CY35" s="102">
        <f t="shared" si="86"/>
        <v>-2202.0062239116851</v>
      </c>
      <c r="CZ35" s="79">
        <v>0.1</v>
      </c>
      <c r="DA35" s="103">
        <f t="shared" si="97"/>
        <v>-488.44275264640123</v>
      </c>
      <c r="DB35" s="107">
        <f t="shared" si="87"/>
        <v>-2202.0062239116851</v>
      </c>
      <c r="DC35" s="33"/>
      <c r="DD35" s="107">
        <f t="shared" si="104"/>
        <v>-1459.9239796324891</v>
      </c>
      <c r="DE35" s="105">
        <f t="shared" si="98"/>
        <v>-2202.0062239116851</v>
      </c>
      <c r="DF35" s="105">
        <f t="shared" si="99"/>
        <v>2202.0062239116851</v>
      </c>
      <c r="DH35" s="66">
        <f t="shared" si="20"/>
        <v>0</v>
      </c>
      <c r="DK35" s="106"/>
      <c r="DL35" s="106"/>
      <c r="DS35" s="14">
        <f t="shared" si="43"/>
        <v>13909.2</v>
      </c>
      <c r="DT35" s="14">
        <v>19861.298355492483</v>
      </c>
      <c r="DU35" s="14">
        <f t="shared" si="77"/>
        <v>5952.0983554924824</v>
      </c>
      <c r="DW35" s="14">
        <f t="shared" si="44"/>
        <v>23259.178697447674</v>
      </c>
      <c r="DX35" s="14">
        <v>26393.298355492483</v>
      </c>
      <c r="DY35" s="14">
        <f t="shared" si="78"/>
        <v>3134.1196580448086</v>
      </c>
      <c r="EG35" s="14">
        <f t="shared" si="46"/>
        <v>3333.7786974476753</v>
      </c>
      <c r="EJ35" s="89">
        <f t="shared" si="47"/>
        <v>0</v>
      </c>
      <c r="EL35" s="67"/>
      <c r="EM35" s="67">
        <f t="shared" si="48"/>
        <v>13.9092</v>
      </c>
      <c r="EN35" s="67">
        <f t="shared" si="22"/>
        <v>6.0162000000000004</v>
      </c>
      <c r="EO35" s="67">
        <f t="shared" si="23"/>
        <v>3.3337786974476753</v>
      </c>
      <c r="EP35" s="67">
        <f t="shared" si="24"/>
        <v>1.4248346931071114</v>
      </c>
      <c r="ET35" s="66">
        <f t="shared" si="25"/>
        <v>0.1715783204288267</v>
      </c>
      <c r="EW35" s="14">
        <f t="shared" si="27"/>
        <v>3333.7786974476749</v>
      </c>
      <c r="EY35" s="14">
        <f t="shared" si="49"/>
        <v>935</v>
      </c>
      <c r="EZ35" s="14">
        <f t="shared" si="50"/>
        <v>935.86242083168463</v>
      </c>
      <c r="FB35" s="14">
        <f t="shared" si="51"/>
        <v>24683.150969723101</v>
      </c>
      <c r="FC35" s="66">
        <f t="shared" si="52"/>
        <v>1</v>
      </c>
      <c r="FE35" s="14">
        <f t="shared" si="26"/>
        <v>17000</v>
      </c>
    </row>
    <row r="36" spans="2:161" x14ac:dyDescent="0.2">
      <c r="B36" s="4">
        <v>2015</v>
      </c>
      <c r="C36" s="71">
        <f t="shared" si="53"/>
        <v>19532.2</v>
      </c>
      <c r="D36" s="71">
        <f t="shared" si="82"/>
        <v>16035.2</v>
      </c>
      <c r="E36" s="71">
        <f>'Bayesian Sum (10Feb26)'!H31</f>
        <v>3497</v>
      </c>
      <c r="F36" s="110"/>
      <c r="G36" s="14">
        <f>'[1]Data-Nisgaa &amp; Other FN Catch'!BI28</f>
        <v>252</v>
      </c>
      <c r="H36" s="14">
        <f>'[1]Data-SF-FW'!U19</f>
        <v>573</v>
      </c>
      <c r="I36" s="14">
        <f>'Data-Chin-Nisga''a'!N30</f>
        <v>3197.8</v>
      </c>
      <c r="J36" s="14">
        <f t="shared" si="54"/>
        <v>4022.8</v>
      </c>
      <c r="L36" s="72">
        <f>'Bayesian Sum (10Feb26)'!K31</f>
        <v>23555</v>
      </c>
      <c r="M36" s="115">
        <f>H36/L36</f>
        <v>2.4326045425599661E-2</v>
      </c>
      <c r="N36" s="56">
        <f>'Data-Coastal-Chin-Esc (new)'!J43</f>
        <v>723.37158731970067</v>
      </c>
      <c r="O36" s="74">
        <f t="shared" si="55"/>
        <v>0</v>
      </c>
      <c r="P36" s="14"/>
      <c r="Q36" s="110"/>
      <c r="R36" s="5">
        <f>'A6-Chin (NEW2+Khutz)'!R36-'A6b-Chin (LN&amp;CoastalCU)'!R36</f>
        <v>13.898972692077608</v>
      </c>
      <c r="S36" s="5">
        <f>'A6-Chin (NEW2+Khutz)'!S36-'A6b-Chin (LN&amp;CoastalCU)'!S36</f>
        <v>5067.828148276747</v>
      </c>
      <c r="T36" s="14">
        <f t="shared" si="56"/>
        <v>5081.7271209688242</v>
      </c>
      <c r="U36" s="116">
        <f t="shared" si="83"/>
        <v>2.7350883589805563E-3</v>
      </c>
      <c r="V36" s="14">
        <f t="shared" si="3"/>
        <v>19532.2</v>
      </c>
      <c r="W36" s="110"/>
      <c r="X36" s="111">
        <f t="shared" si="29"/>
        <v>252</v>
      </c>
      <c r="Y36" s="111">
        <f t="shared" si="30"/>
        <v>586.89897269207756</v>
      </c>
      <c r="Z36" s="111">
        <f t="shared" si="30"/>
        <v>8265.6281482767481</v>
      </c>
      <c r="AA36" s="111">
        <f t="shared" si="4"/>
        <v>9104.5271209688253</v>
      </c>
      <c r="AB36" s="110"/>
      <c r="AC36" s="14">
        <f>'A6-Chin (NEW2+Khutz)'!AC36-'A6b-Chin (LN&amp;CoastalCU)'!AC36</f>
        <v>2172.4719771488444</v>
      </c>
      <c r="AD36" s="14">
        <f>'A6-Chin (NEW2+Khutz)'!AD36-'A6b-Chin (LN&amp;CoastalCU)'!AD36</f>
        <v>595.91845417282741</v>
      </c>
      <c r="AE36" s="14">
        <f t="shared" si="57"/>
        <v>2768.3904313216717</v>
      </c>
      <c r="AF36" s="110"/>
      <c r="AJ36" s="14">
        <f t="shared" si="58"/>
        <v>31405.117552290496</v>
      </c>
      <c r="AK36" s="122">
        <f>'A6-Chin (NEW2+Khutz)'!AK36-'A6b-Chin (LN&amp;CoastalCU)'!AL36</f>
        <v>1961.0585304986105</v>
      </c>
      <c r="AL36" s="111">
        <f t="shared" si="59"/>
        <v>33366.176082789105</v>
      </c>
      <c r="AM36" s="113">
        <v>2013</v>
      </c>
      <c r="AN36" s="14">
        <f>'[1]Data-FW Catch Rates - new'!CE30</f>
        <v>18778</v>
      </c>
      <c r="AO36" s="117">
        <f t="shared" si="31"/>
        <v>1.3419959527106187E-2</v>
      </c>
      <c r="AP36" s="60">
        <f t="shared" si="32"/>
        <v>25</v>
      </c>
      <c r="AQ36" s="59"/>
      <c r="AR36" s="77">
        <f t="shared" si="33"/>
        <v>0.41461077375075445</v>
      </c>
      <c r="AS36" s="61">
        <f t="shared" si="60"/>
        <v>0.13575886223731692</v>
      </c>
      <c r="AT36" s="61">
        <f t="shared" si="34"/>
        <v>2.4326045425599661E-2</v>
      </c>
      <c r="AU36" s="61">
        <f t="shared" si="35"/>
        <v>0.17078327319040545</v>
      </c>
      <c r="AV36" s="61"/>
      <c r="AW36" s="33"/>
      <c r="AX36" s="61">
        <f t="shared" si="36"/>
        <v>0.24772476557600837</v>
      </c>
      <c r="AY36" s="61">
        <f t="shared" si="37"/>
        <v>6.5110007564500208E-2</v>
      </c>
      <c r="AZ36" s="61">
        <f t="shared" si="38"/>
        <v>3.5449594940998475E-2</v>
      </c>
      <c r="BA36" s="61">
        <f t="shared" si="39"/>
        <v>7.5525585963081426E-3</v>
      </c>
      <c r="BB36" s="61">
        <f t="shared" si="61"/>
        <v>0.35583692667781519</v>
      </c>
      <c r="BC36" s="61">
        <f>AK36/AL36</f>
        <v>5.8773847072939263E-2</v>
      </c>
      <c r="BD36" s="78">
        <f t="shared" si="40"/>
        <v>0.41461077375075445</v>
      </c>
      <c r="BE36" s="17"/>
      <c r="BF36" s="17"/>
      <c r="BG36" s="22">
        <f>'[1]Data-PSC CH Tables'!C30</f>
        <v>18262</v>
      </c>
      <c r="BH36" s="22">
        <f>'[1]Data-PSC CH Tables'!AG30</f>
        <v>32957.436221752512</v>
      </c>
      <c r="BI36" s="22">
        <f>'[1]Data-PSC CH Tables'!AI30</f>
        <v>35133.436221752512</v>
      </c>
      <c r="BJ36" s="17"/>
      <c r="BK36" s="22">
        <f t="shared" si="63"/>
        <v>-1270.2000000000007</v>
      </c>
      <c r="BL36" s="22">
        <f t="shared" si="64"/>
        <v>1552.3186694620163</v>
      </c>
      <c r="BM36" s="22">
        <f t="shared" si="65"/>
        <v>1767.2601389634074</v>
      </c>
      <c r="BO36" s="33"/>
      <c r="BP36" s="33"/>
      <c r="BQ36" s="33"/>
      <c r="BS36" s="62">
        <f t="shared" si="66"/>
        <v>2172.4719771488444</v>
      </c>
      <c r="BT36" s="62">
        <f t="shared" si="10"/>
        <v>8265.6281482767481</v>
      </c>
      <c r="BU36" s="62">
        <f t="shared" si="11"/>
        <v>252</v>
      </c>
      <c r="BV36" s="62">
        <f t="shared" si="12"/>
        <v>595.91845417282741</v>
      </c>
      <c r="BW36" s="62">
        <f t="shared" si="13"/>
        <v>586.89897269207756</v>
      </c>
      <c r="BX36" s="62">
        <f t="shared" si="67"/>
        <v>11872.917552290499</v>
      </c>
      <c r="BY36" s="62">
        <f t="shared" si="15"/>
        <v>31405.117552290496</v>
      </c>
      <c r="BZ36" s="79">
        <f t="shared" si="68"/>
        <v>0.37805677792868381</v>
      </c>
      <c r="CA36" s="79">
        <f t="shared" si="69"/>
        <v>0.23316850463495381</v>
      </c>
      <c r="CB36" s="79">
        <f t="shared" si="70"/>
        <v>0.76683149536504602</v>
      </c>
      <c r="CC36" s="79">
        <f t="shared" si="19"/>
        <v>0.14175668070861921</v>
      </c>
      <c r="CD36" s="33"/>
      <c r="CF36" s="36">
        <v>32979.928000057495</v>
      </c>
      <c r="CG36" s="36">
        <v>35155.928000057495</v>
      </c>
      <c r="CH36" s="81">
        <f t="shared" si="100"/>
        <v>-1574.8104477669985</v>
      </c>
      <c r="CI36" s="36">
        <f t="shared" si="101"/>
        <v>-1789.7519172683897</v>
      </c>
      <c r="CJ36" s="36">
        <v>20617.427851780747</v>
      </c>
      <c r="CK36" s="81">
        <f t="shared" si="73"/>
        <v>-1085.2278517807463</v>
      </c>
      <c r="CM36" s="33">
        <f t="shared" si="84"/>
        <v>2015</v>
      </c>
      <c r="CN36" s="96">
        <f t="shared" si="91"/>
        <v>31405.117552290496</v>
      </c>
      <c r="CO36" s="97">
        <f t="shared" si="92"/>
        <v>9810.0428663094917</v>
      </c>
      <c r="CP36" s="97">
        <f t="shared" si="93"/>
        <v>16405.117552290496</v>
      </c>
      <c r="CQ36" s="62">
        <f t="shared" si="94"/>
        <v>19532.2</v>
      </c>
      <c r="CR36" s="98" t="str">
        <f t="shared" si="85"/>
        <v>Y</v>
      </c>
      <c r="CS36" s="114" t="str">
        <f t="shared" si="95"/>
        <v>Y</v>
      </c>
      <c r="CT36" s="99">
        <f t="shared" si="102"/>
        <v>6595.0746859810042</v>
      </c>
      <c r="CU36" s="100">
        <f t="shared" si="103"/>
        <v>6595.0746859810042</v>
      </c>
      <c r="CV36" s="100">
        <f t="shared" si="105"/>
        <v>-1936.7359417180069</v>
      </c>
      <c r="CW36" s="100"/>
      <c r="CX36" s="101">
        <f t="shared" si="96"/>
        <v>8265.6281482767481</v>
      </c>
      <c r="CY36" s="102">
        <f t="shared" si="86"/>
        <v>1670.5534622957439</v>
      </c>
      <c r="CZ36" s="79">
        <v>0.1</v>
      </c>
      <c r="DA36" s="103">
        <f t="shared" si="97"/>
        <v>-659.50746859810044</v>
      </c>
      <c r="DB36" s="107">
        <f t="shared" si="87"/>
        <v>1670.5534622957439</v>
      </c>
      <c r="DC36" s="33"/>
      <c r="DD36" s="107">
        <f t="shared" si="104"/>
        <v>210.62948266325475</v>
      </c>
      <c r="DE36" s="105">
        <f t="shared" si="98"/>
        <v>1670.5534622957439</v>
      </c>
      <c r="DF36" s="105">
        <f t="shared" si="99"/>
        <v>1670.5534622957439</v>
      </c>
      <c r="DH36" s="66">
        <f t="shared" si="20"/>
        <v>0</v>
      </c>
      <c r="DK36" s="106"/>
      <c r="DL36" s="106"/>
      <c r="DS36" s="14">
        <f t="shared" si="43"/>
        <v>19532.2</v>
      </c>
      <c r="DT36" s="14">
        <v>19861.298355492483</v>
      </c>
      <c r="DU36" s="14">
        <f t="shared" si="77"/>
        <v>329.09835549248237</v>
      </c>
      <c r="DW36" s="14">
        <f t="shared" si="44"/>
        <v>31405.117552290496</v>
      </c>
      <c r="DX36" s="14">
        <v>26393.298355492483</v>
      </c>
      <c r="DY36" s="14">
        <f t="shared" si="78"/>
        <v>-5011.8191967980129</v>
      </c>
      <c r="EG36" s="14">
        <f t="shared" si="46"/>
        <v>3607.2894040137494</v>
      </c>
      <c r="EJ36" s="89">
        <f t="shared" si="47"/>
        <v>0</v>
      </c>
      <c r="EL36" s="67"/>
      <c r="EM36" s="67">
        <f t="shared" si="48"/>
        <v>19.5322</v>
      </c>
      <c r="EN36" s="67">
        <f t="shared" si="22"/>
        <v>8.2656281482767486</v>
      </c>
      <c r="EO36" s="67">
        <f t="shared" si="23"/>
        <v>3.6072894040137493</v>
      </c>
      <c r="EP36" s="67">
        <f t="shared" si="24"/>
        <v>1.9610585304986106</v>
      </c>
      <c r="ET36" s="66">
        <f t="shared" si="25"/>
        <v>0.17078327319040545</v>
      </c>
      <c r="EW36" s="14">
        <f t="shared" si="27"/>
        <v>3607.2894040137508</v>
      </c>
      <c r="EY36" s="14">
        <f t="shared" si="49"/>
        <v>825</v>
      </c>
      <c r="EZ36" s="14">
        <f t="shared" si="50"/>
        <v>838.89897269207756</v>
      </c>
      <c r="FB36" s="14">
        <f t="shared" si="51"/>
        <v>33352.277110097028</v>
      </c>
      <c r="FC36" s="66">
        <f t="shared" si="52"/>
        <v>1</v>
      </c>
      <c r="FE36" s="14">
        <f t="shared" si="26"/>
        <v>24000</v>
      </c>
    </row>
    <row r="37" spans="2:161" x14ac:dyDescent="0.2">
      <c r="B37" s="4">
        <v>2016</v>
      </c>
      <c r="C37" s="71">
        <f t="shared" si="53"/>
        <v>11020.6</v>
      </c>
      <c r="D37" s="71">
        <f t="shared" si="82"/>
        <v>9067.6</v>
      </c>
      <c r="E37" s="71">
        <f>'Bayesian Sum (10Feb26)'!H32</f>
        <v>1953</v>
      </c>
      <c r="F37" s="110"/>
      <c r="G37" s="14">
        <f>'[1]Data-Nisgaa &amp; Other FN Catch'!BI29</f>
        <v>114</v>
      </c>
      <c r="H37" s="14">
        <f>'[1]Data-SF-FW'!U20</f>
        <v>339</v>
      </c>
      <c r="I37" s="14">
        <f>'Data-Chin-Nisga''a'!N31</f>
        <v>1524.4</v>
      </c>
      <c r="J37" s="14">
        <f t="shared" ref="J37:J46" si="106">SUM(G37:I37)</f>
        <v>1977.4</v>
      </c>
      <c r="L37" s="72">
        <f>'Bayesian Sum (10Feb26)'!K32</f>
        <v>12998</v>
      </c>
      <c r="M37" s="116">
        <f t="shared" si="28"/>
        <v>2.6080935528542851E-2</v>
      </c>
      <c r="N37" s="56">
        <f>'Data-Coastal-Chin-Esc (new)'!J44</f>
        <v>0</v>
      </c>
      <c r="O37" s="74" t="s">
        <v>107</v>
      </c>
      <c r="P37" s="14"/>
      <c r="Q37" s="110"/>
      <c r="R37" s="5">
        <f>'A6-Chin (NEW2+Khutz)'!R37-'A6b-Chin (LN&amp;CoastalCU)'!R37</f>
        <v>1.7333222433922963</v>
      </c>
      <c r="S37" s="5">
        <f>'A6-Chin (NEW2+Khutz)'!S37-'A6b-Chin (LN&amp;CoastalCU)'!S37</f>
        <v>3857.2</v>
      </c>
      <c r="T37" s="14">
        <f t="shared" si="56"/>
        <v>3858.933322243392</v>
      </c>
      <c r="U37" s="116">
        <f t="shared" si="83"/>
        <v>4.4917133794491917E-4</v>
      </c>
      <c r="V37" s="14">
        <f t="shared" si="3"/>
        <v>11020.6</v>
      </c>
      <c r="W37" s="110"/>
      <c r="X37" s="111">
        <f t="shared" si="29"/>
        <v>114</v>
      </c>
      <c r="Y37" s="111">
        <f t="shared" si="30"/>
        <v>340.73332224339231</v>
      </c>
      <c r="Z37" s="111">
        <f t="shared" si="30"/>
        <v>5381.6</v>
      </c>
      <c r="AA37" s="111">
        <f t="shared" si="4"/>
        <v>5836.333322243393</v>
      </c>
      <c r="AB37" s="110"/>
      <c r="AC37" s="14">
        <f>'A6-Chin (NEW2+Khutz)'!AC37-'A6b-Chin (LN&amp;CoastalCU)'!AC37</f>
        <v>742.19471804263412</v>
      </c>
      <c r="AD37" s="14">
        <f>'A6-Chin (NEW2+Khutz)'!AD37-'A6b-Chin (LN&amp;CoastalCU)'!AD37</f>
        <v>662.12909697585724</v>
      </c>
      <c r="AE37" s="14">
        <f t="shared" si="57"/>
        <v>1404.3238150184914</v>
      </c>
      <c r="AF37" s="110"/>
      <c r="AJ37" s="14">
        <f t="shared" si="58"/>
        <v>18261.257137261884</v>
      </c>
      <c r="AK37" s="122">
        <f>'A6-Chin (NEW2+Khutz)'!AK37-'A6b-Chin (LN&amp;CoastalCU)'!AL37</f>
        <v>1521.6854129995977</v>
      </c>
      <c r="AL37" s="111">
        <f t="shared" si="59"/>
        <v>19782.942550261483</v>
      </c>
      <c r="AM37" s="113">
        <v>1240</v>
      </c>
      <c r="AN37" s="14">
        <f>'[1]Data-FW Catch Rates - new'!CE31</f>
        <v>9379.17808219178</v>
      </c>
      <c r="AO37" s="117">
        <f t="shared" si="31"/>
        <v>1.2154583162937431E-2</v>
      </c>
      <c r="AP37" s="60">
        <f t="shared" si="32"/>
        <v>8</v>
      </c>
      <c r="AQ37" s="59"/>
      <c r="AR37" s="77">
        <f t="shared" si="33"/>
        <v>0.44292412658023239</v>
      </c>
      <c r="AS37" s="61">
        <f t="shared" si="60"/>
        <v>0.11727958147407294</v>
      </c>
      <c r="AT37" s="61">
        <f t="shared" si="34"/>
        <v>2.6080935528542851E-2</v>
      </c>
      <c r="AU37" s="61">
        <f t="shared" si="35"/>
        <v>0.15213109709186029</v>
      </c>
      <c r="AV37" s="61"/>
      <c r="AW37" s="33"/>
      <c r="AX37" s="61">
        <f t="shared" si="36"/>
        <v>0.27203233221383782</v>
      </c>
      <c r="AY37" s="61">
        <f t="shared" si="37"/>
        <v>3.7516902056252702E-2</v>
      </c>
      <c r="AZ37" s="61">
        <f t="shared" si="38"/>
        <v>5.0693288759815665E-2</v>
      </c>
      <c r="BA37" s="61">
        <f t="shared" si="39"/>
        <v>5.7625401130477023E-3</v>
      </c>
      <c r="BB37" s="61">
        <f t="shared" si="61"/>
        <v>0.36600506314295395</v>
      </c>
      <c r="BC37" s="61">
        <f>AK37/AL37</f>
        <v>7.6919063437278432E-2</v>
      </c>
      <c r="BD37" s="78">
        <f t="shared" si="40"/>
        <v>0.44292412658023239</v>
      </c>
      <c r="BE37" s="17"/>
      <c r="BF37" s="17"/>
      <c r="BG37" s="22">
        <f>'[1]Data-PSC CH Tables'!C31</f>
        <v>9037.17808219178</v>
      </c>
      <c r="BH37" s="22">
        <f>'[1]Data-PSC CH Tables'!AG31</f>
        <v>17684.644545797615</v>
      </c>
      <c r="BI37" s="22">
        <f>'[1]Data-PSC CH Tables'!AI31</f>
        <v>19368.644545797615</v>
      </c>
      <c r="BJ37" s="17"/>
      <c r="BK37" s="22">
        <f t="shared" si="63"/>
        <v>-1983.4219178082203</v>
      </c>
      <c r="BL37" s="22">
        <f t="shared" si="64"/>
        <v>-576.61259146426892</v>
      </c>
      <c r="BM37" s="22">
        <f t="shared" si="65"/>
        <v>-414.29800446386798</v>
      </c>
      <c r="BO37" s="33"/>
      <c r="BP37" s="33"/>
      <c r="BQ37" s="33"/>
      <c r="BS37" s="62">
        <f t="shared" si="66"/>
        <v>742.19471804263412</v>
      </c>
      <c r="BT37" s="62">
        <f t="shared" si="10"/>
        <v>5381.6</v>
      </c>
      <c r="BU37" s="62">
        <f t="shared" si="11"/>
        <v>114</v>
      </c>
      <c r="BV37" s="62">
        <f t="shared" si="12"/>
        <v>662.12909697585724</v>
      </c>
      <c r="BW37" s="62">
        <f t="shared" si="13"/>
        <v>340.73332224339231</v>
      </c>
      <c r="BX37" s="62">
        <f t="shared" si="67"/>
        <v>7240.6571372618846</v>
      </c>
      <c r="BY37" s="62">
        <f t="shared" si="15"/>
        <v>18261.257137261884</v>
      </c>
      <c r="BZ37" s="79">
        <f t="shared" si="68"/>
        <v>0.39650376109580143</v>
      </c>
      <c r="CA37" s="79">
        <f t="shared" si="69"/>
        <v>0.19394977394959875</v>
      </c>
      <c r="CB37" s="79">
        <f t="shared" si="70"/>
        <v>0.80605022605040122</v>
      </c>
      <c r="CC37" s="79">
        <f t="shared" si="19"/>
        <v>0.17366194077338235</v>
      </c>
      <c r="CD37" s="33"/>
      <c r="CF37" s="36">
        <v>17695.774882339465</v>
      </c>
      <c r="CG37" s="36">
        <v>19379.774882339465</v>
      </c>
      <c r="CH37" s="81">
        <f t="shared" si="100"/>
        <v>565.48225492241909</v>
      </c>
      <c r="CI37" s="36">
        <f t="shared" si="101"/>
        <v>403.16766792201815</v>
      </c>
      <c r="CJ37" s="36">
        <v>10202.790882339465</v>
      </c>
      <c r="CK37" s="81">
        <f t="shared" si="73"/>
        <v>817.80911766053578</v>
      </c>
      <c r="CM37" s="33">
        <f t="shared" si="84"/>
        <v>2016</v>
      </c>
      <c r="CN37" s="96">
        <f t="shared" si="91"/>
        <v>18261.257137261884</v>
      </c>
      <c r="CO37" s="97">
        <f t="shared" si="92"/>
        <v>0</v>
      </c>
      <c r="CP37" s="97">
        <f t="shared" si="93"/>
        <v>3834.8639988249956</v>
      </c>
      <c r="CQ37" s="62">
        <f t="shared" si="94"/>
        <v>11020.6</v>
      </c>
      <c r="CR37" s="98" t="str">
        <f t="shared" si="85"/>
        <v>Y</v>
      </c>
      <c r="CS37" s="114" t="str">
        <f t="shared" si="95"/>
        <v>N</v>
      </c>
      <c r="CT37" s="99">
        <f t="shared" si="102"/>
        <v>3834.8639988249956</v>
      </c>
      <c r="CU37" s="100">
        <f t="shared" si="103"/>
        <v>5693.9211360868794</v>
      </c>
      <c r="CV37" s="100">
        <f t="shared" si="105"/>
        <v>-312.32113608687951</v>
      </c>
      <c r="CW37" s="100"/>
      <c r="CX37" s="101">
        <f t="shared" si="96"/>
        <v>5381.6</v>
      </c>
      <c r="CY37" s="102">
        <f t="shared" si="86"/>
        <v>-312.32113608687905</v>
      </c>
      <c r="CZ37" s="79">
        <v>0.1</v>
      </c>
      <c r="DA37" s="103">
        <f t="shared" si="97"/>
        <v>-383.4863998824996</v>
      </c>
      <c r="DB37" s="107">
        <f t="shared" si="87"/>
        <v>-312.32113608687905</v>
      </c>
      <c r="DC37" s="33"/>
      <c r="DD37" s="107">
        <f t="shared" si="104"/>
        <v>-101.6916534236243</v>
      </c>
      <c r="DE37" s="105">
        <f t="shared" si="98"/>
        <v>-312.32113608687905</v>
      </c>
      <c r="DF37" s="105">
        <f t="shared" si="99"/>
        <v>312.32113608687905</v>
      </c>
      <c r="DH37" s="66">
        <f t="shared" si="20"/>
        <v>0</v>
      </c>
      <c r="DK37" s="106"/>
      <c r="DL37" s="106"/>
      <c r="DS37" s="14">
        <f t="shared" si="43"/>
        <v>11020.6</v>
      </c>
      <c r="DT37" s="14">
        <v>19861.298355492483</v>
      </c>
      <c r="DU37" s="14">
        <f t="shared" si="77"/>
        <v>8840.6983554924827</v>
      </c>
      <c r="DW37" s="14">
        <f t="shared" si="44"/>
        <v>18261.257137261884</v>
      </c>
      <c r="DX37" s="14">
        <v>26393.298355492483</v>
      </c>
      <c r="DY37" s="14">
        <f t="shared" si="78"/>
        <v>8132.041218230599</v>
      </c>
      <c r="EG37" s="14">
        <f t="shared" si="46"/>
        <v>1859.0571372618838</v>
      </c>
      <c r="EJ37" s="89">
        <f t="shared" si="47"/>
        <v>0</v>
      </c>
      <c r="EL37" s="67"/>
      <c r="EM37" s="67">
        <f t="shared" si="48"/>
        <v>11.0206</v>
      </c>
      <c r="EN37" s="67">
        <f t="shared" si="22"/>
        <v>5.3816000000000006</v>
      </c>
      <c r="EO37" s="67">
        <f t="shared" si="23"/>
        <v>1.8590571372618838</v>
      </c>
      <c r="EP37" s="67">
        <f t="shared" si="24"/>
        <v>1.5216854129995978</v>
      </c>
      <c r="ET37" s="66">
        <f t="shared" si="25"/>
        <v>0.15213109709186029</v>
      </c>
      <c r="EW37" s="14">
        <f t="shared" si="27"/>
        <v>1859.0571372618842</v>
      </c>
      <c r="EY37" s="14">
        <f t="shared" si="49"/>
        <v>453</v>
      </c>
      <c r="EZ37" s="14">
        <f t="shared" si="50"/>
        <v>454.73332224339231</v>
      </c>
      <c r="FB37" s="14">
        <f t="shared" si="51"/>
        <v>19781.209228018088</v>
      </c>
      <c r="FC37" s="66">
        <f t="shared" si="52"/>
        <v>1</v>
      </c>
      <c r="FE37" s="14">
        <f t="shared" si="26"/>
        <v>13000</v>
      </c>
    </row>
    <row r="38" spans="2:161" ht="13.5" thickBot="1" x14ac:dyDescent="0.25">
      <c r="B38" s="4">
        <v>2017</v>
      </c>
      <c r="C38" s="71">
        <f t="shared" si="53"/>
        <v>5793.8</v>
      </c>
      <c r="D38" s="71">
        <f t="shared" si="82"/>
        <v>4591.8</v>
      </c>
      <c r="E38" s="71">
        <f>'Bayesian Sum (10Feb26)'!H33</f>
        <v>1202</v>
      </c>
      <c r="F38" s="110"/>
      <c r="G38" s="14">
        <f>'[1]Data-Nisgaa &amp; Other FN Catch'!BI30</f>
        <v>76</v>
      </c>
      <c r="H38" s="14">
        <f>'[1]Data-SF-FW'!U21</f>
        <v>146</v>
      </c>
      <c r="I38" s="14">
        <f>'Data-Chin-Nisga''a'!N32</f>
        <v>1054.2</v>
      </c>
      <c r="J38" s="14">
        <f t="shared" si="106"/>
        <v>1276.2</v>
      </c>
      <c r="L38" s="72">
        <f>'Bayesian Sum (10Feb26)'!K33</f>
        <v>7070</v>
      </c>
      <c r="M38" s="118">
        <f t="shared" si="28"/>
        <v>2.065063649222065E-2</v>
      </c>
      <c r="N38" s="56">
        <f>'Data-Coastal-Chin-Esc (new)'!J45</f>
        <v>0</v>
      </c>
      <c r="O38" s="74" t="s">
        <v>107</v>
      </c>
      <c r="P38" s="14"/>
      <c r="Q38" s="110"/>
      <c r="R38" s="5">
        <f>'A6-Chin (NEW2+Khutz)'!R38-'A6b-Chin (LN&amp;CoastalCU)'!R38</f>
        <v>45.933039449895851</v>
      </c>
      <c r="S38" s="5">
        <f>'A6-Chin (NEW2+Khutz)'!S38-'A6b-Chin (LN&amp;CoastalCU)'!S38</f>
        <v>2619.8000000000002</v>
      </c>
      <c r="T38" s="14">
        <f>SUM(R38:S38)</f>
        <v>2665.7330394498958</v>
      </c>
      <c r="U38" s="118">
        <f t="shared" si="83"/>
        <v>1.7230922515547413E-2</v>
      </c>
      <c r="V38" s="14">
        <f t="shared" si="3"/>
        <v>5793.8</v>
      </c>
      <c r="W38" s="110"/>
      <c r="X38" s="14">
        <f t="shared" si="29"/>
        <v>76</v>
      </c>
      <c r="Y38" s="14">
        <f t="shared" si="30"/>
        <v>191.93303944989586</v>
      </c>
      <c r="Z38" s="111">
        <f t="shared" si="30"/>
        <v>3674</v>
      </c>
      <c r="AA38" s="111">
        <f t="shared" si="4"/>
        <v>3941.9330394498957</v>
      </c>
      <c r="AB38" s="110"/>
      <c r="AC38" s="14">
        <f>'A6-Chin (NEW2+Khutz)'!AC38-'A6b-Chin (LN&amp;CoastalCU)'!AC38</f>
        <v>1174.4644856777522</v>
      </c>
      <c r="AD38" s="14">
        <f>'A6-Chin (NEW2+Khutz)'!AD38-'A6b-Chin (LN&amp;CoastalCU)'!AD38</f>
        <v>672.52903043621086</v>
      </c>
      <c r="AE38" s="14">
        <f t="shared" si="57"/>
        <v>1846.9935161139631</v>
      </c>
      <c r="AF38" s="110"/>
      <c r="AJ38" s="14">
        <f t="shared" si="58"/>
        <v>11582.726555563861</v>
      </c>
      <c r="AK38" s="122">
        <f>'A6-Chin (NEW2+Khutz)'!AK38-'A6b-Chin (LN&amp;CoastalCU)'!AL38</f>
        <v>618.13906183390327</v>
      </c>
      <c r="AL38" s="111">
        <f t="shared" si="59"/>
        <v>12200.865617397763</v>
      </c>
      <c r="AM38" s="113">
        <v>325</v>
      </c>
      <c r="AN38" s="14">
        <f>'[1]Data-FW Catch Rates - new'!CE32</f>
        <v>4567.583333333333</v>
      </c>
      <c r="AO38" s="117">
        <f t="shared" si="31"/>
        <v>1.6638995822006532E-2</v>
      </c>
      <c r="AP38" s="60">
        <f t="shared" si="32"/>
        <v>1</v>
      </c>
      <c r="AQ38" s="59"/>
      <c r="AR38" s="77">
        <f t="shared" si="33"/>
        <v>0.52513205360295412</v>
      </c>
      <c r="AS38" s="61">
        <f t="shared" si="60"/>
        <v>0.1491089108910891</v>
      </c>
      <c r="AT38" s="61">
        <f>H38/$L38</f>
        <v>2.065063649222065E-2</v>
      </c>
      <c r="AU38" s="61">
        <f t="shared" si="35"/>
        <v>0.18050919377652053</v>
      </c>
      <c r="AV38" s="61"/>
      <c r="AW38" s="33"/>
      <c r="AX38" s="61">
        <f t="shared" si="36"/>
        <v>0.30112617540521697</v>
      </c>
      <c r="AY38" s="61">
        <f t="shared" si="37"/>
        <v>9.6260750876809145E-2</v>
      </c>
      <c r="AZ38" s="61">
        <f t="shared" si="38"/>
        <v>7.085251956659791E-2</v>
      </c>
      <c r="BA38" s="61">
        <f t="shared" si="39"/>
        <v>6.2290662304835308E-3</v>
      </c>
      <c r="BB38" s="61">
        <f t="shared" si="61"/>
        <v>0.47446851207910756</v>
      </c>
      <c r="BC38" s="61">
        <f>AK38/AL38</f>
        <v>5.0663541523846549E-2</v>
      </c>
      <c r="BD38" s="78">
        <f t="shared" si="40"/>
        <v>0.52513205360295412</v>
      </c>
      <c r="BE38" s="17"/>
      <c r="BF38" s="17"/>
      <c r="BG38" s="22">
        <f>'[1]Data-PSC CH Tables'!C32</f>
        <v>4419.2475499677621</v>
      </c>
      <c r="BH38" s="22">
        <f>'[1]Data-PSC CH Tables'!AG32</f>
        <v>11077.95809355221</v>
      </c>
      <c r="BI38" s="22">
        <f>'[1]Data-PSC CH Tables'!AI32</f>
        <v>11759.95809355221</v>
      </c>
      <c r="BJ38" s="17"/>
      <c r="BK38" s="22">
        <f t="shared" si="63"/>
        <v>-1374.5524500322381</v>
      </c>
      <c r="BL38" s="22">
        <f t="shared" si="64"/>
        <v>-504.76846201165063</v>
      </c>
      <c r="BM38" s="22">
        <f t="shared" si="65"/>
        <v>-440.90752384555344</v>
      </c>
      <c r="BO38" s="33"/>
      <c r="BP38" s="33"/>
      <c r="BQ38" s="33"/>
      <c r="BS38" s="62">
        <f t="shared" si="66"/>
        <v>1174.4644856777522</v>
      </c>
      <c r="BT38" s="62">
        <f t="shared" si="10"/>
        <v>3674</v>
      </c>
      <c r="BU38" s="62">
        <f t="shared" si="11"/>
        <v>76</v>
      </c>
      <c r="BV38" s="62">
        <f t="shared" si="12"/>
        <v>672.52903043621086</v>
      </c>
      <c r="BW38" s="62">
        <f t="shared" si="13"/>
        <v>191.93303944989586</v>
      </c>
      <c r="BX38" s="62">
        <f t="shared" si="67"/>
        <v>5788.9265555638585</v>
      </c>
      <c r="BY38" s="62">
        <f t="shared" si="15"/>
        <v>11582.726555563861</v>
      </c>
      <c r="BZ38" s="79">
        <f t="shared" si="68"/>
        <v>0.4997896244717181</v>
      </c>
      <c r="CA38" s="79">
        <f t="shared" si="69"/>
        <v>0.31905630489279208</v>
      </c>
      <c r="CB38" s="79">
        <f t="shared" si="70"/>
        <v>0.68094369510720798</v>
      </c>
      <c r="CC38" s="79">
        <f t="shared" si="19"/>
        <v>9.6477716749990339E-2</v>
      </c>
      <c r="CD38" s="33"/>
      <c r="CF38" s="36">
        <v>11083.400911215593</v>
      </c>
      <c r="CG38" s="36">
        <v>11765.400911215593</v>
      </c>
      <c r="CH38" s="81">
        <f t="shared" si="100"/>
        <v>499.32564434826782</v>
      </c>
      <c r="CI38" s="36">
        <f t="shared" si="101"/>
        <v>435.46470618217063</v>
      </c>
      <c r="CJ38" s="36">
        <v>4989.2409112155929</v>
      </c>
      <c r="CK38" s="81">
        <f t="shared" si="73"/>
        <v>804.55908878440732</v>
      </c>
      <c r="CM38" s="33">
        <f t="shared" si="84"/>
        <v>2017</v>
      </c>
      <c r="CN38" s="96">
        <f t="shared" si="91"/>
        <v>11582.726555563861</v>
      </c>
      <c r="CO38" s="97">
        <f t="shared" si="92"/>
        <v>0</v>
      </c>
      <c r="CP38" s="97">
        <f t="shared" si="93"/>
        <v>2432.3725766684106</v>
      </c>
      <c r="CQ38" s="62">
        <f t="shared" si="94"/>
        <v>5793.8</v>
      </c>
      <c r="CR38" s="98" t="str">
        <f t="shared" si="85"/>
        <v>N</v>
      </c>
      <c r="CS38" s="114" t="str">
        <f t="shared" si="95"/>
        <v>N</v>
      </c>
      <c r="CT38" s="99">
        <f t="shared" si="102"/>
        <v>2432.3725766684106</v>
      </c>
      <c r="CU38" s="100">
        <f t="shared" si="103"/>
        <v>0</v>
      </c>
      <c r="CV38" s="100">
        <f t="shared" si="105"/>
        <v>-873.29913223226913</v>
      </c>
      <c r="CW38" s="100"/>
      <c r="CX38" s="101">
        <f t="shared" si="96"/>
        <v>3674</v>
      </c>
      <c r="CY38" s="102">
        <f t="shared" si="86"/>
        <v>3674</v>
      </c>
      <c r="CZ38" s="79">
        <v>0.1</v>
      </c>
      <c r="DA38" s="103">
        <f t="shared" si="97"/>
        <v>-243.23725766684106</v>
      </c>
      <c r="DB38" s="107">
        <f t="shared" si="87"/>
        <v>3674</v>
      </c>
      <c r="DC38" s="33"/>
      <c r="DD38" s="107">
        <f t="shared" si="104"/>
        <v>3572.3083465763757</v>
      </c>
      <c r="DE38" s="105">
        <f t="shared" si="98"/>
        <v>3674</v>
      </c>
      <c r="DF38" s="105">
        <f t="shared" si="99"/>
        <v>3674</v>
      </c>
      <c r="DH38" s="66">
        <f t="shared" si="20"/>
        <v>0</v>
      </c>
      <c r="DK38" s="106"/>
      <c r="DL38" s="106"/>
      <c r="DS38" s="14">
        <f t="shared" si="43"/>
        <v>5793.8</v>
      </c>
      <c r="DT38" s="14">
        <v>19861.298355492483</v>
      </c>
      <c r="DU38" s="14">
        <f>DT38-DS38</f>
        <v>14067.498355492484</v>
      </c>
      <c r="DW38" s="14">
        <f t="shared" si="44"/>
        <v>11582.726555563861</v>
      </c>
      <c r="DX38" s="14">
        <v>26393.298355492483</v>
      </c>
      <c r="DY38" s="14">
        <f>DX38-DW38</f>
        <v>14810.571799928623</v>
      </c>
      <c r="EG38" s="14">
        <f t="shared" si="46"/>
        <v>2114.926555563859</v>
      </c>
      <c r="EJ38" s="89">
        <f t="shared" si="47"/>
        <v>0</v>
      </c>
      <c r="EL38" s="67"/>
      <c r="EM38" s="67">
        <f t="shared" si="48"/>
        <v>5.7938000000000001</v>
      </c>
      <c r="EN38" s="67">
        <f t="shared" si="22"/>
        <v>3.6739999999999999</v>
      </c>
      <c r="EO38" s="67">
        <f t="shared" si="23"/>
        <v>2.114926555563859</v>
      </c>
      <c r="EP38" s="67">
        <f t="shared" si="24"/>
        <v>0.61813906183390332</v>
      </c>
      <c r="ET38" s="66">
        <f t="shared" si="25"/>
        <v>0.18050919377652053</v>
      </c>
      <c r="EW38" s="14">
        <f t="shared" si="27"/>
        <v>2114.9265555638585</v>
      </c>
      <c r="EY38" s="14">
        <f t="shared" si="49"/>
        <v>222</v>
      </c>
      <c r="EZ38" s="14">
        <f t="shared" si="50"/>
        <v>267.93303944989583</v>
      </c>
      <c r="FB38" s="14">
        <f t="shared" si="51"/>
        <v>12154.932577947866</v>
      </c>
      <c r="FC38" s="66">
        <f t="shared" si="52"/>
        <v>1</v>
      </c>
      <c r="FE38" s="14">
        <f t="shared" si="26"/>
        <v>7000</v>
      </c>
    </row>
    <row r="39" spans="2:161" x14ac:dyDescent="0.2">
      <c r="B39" s="4">
        <v>2018</v>
      </c>
      <c r="C39" s="71">
        <f t="shared" si="53"/>
        <v>17886.500664740754</v>
      </c>
      <c r="D39" s="71">
        <f t="shared" si="82"/>
        <v>14639.500664740754</v>
      </c>
      <c r="E39" s="71">
        <f>'Bayesian Sum (10Feb26)'!H34</f>
        <v>3247</v>
      </c>
      <c r="F39" s="110"/>
      <c r="G39" s="14">
        <f>'[1]Data-Nisgaa &amp; Other FN Catch'!BI31</f>
        <v>40</v>
      </c>
      <c r="H39" s="119">
        <f>'Data-Sport-Inriver (CH - new)'!C31</f>
        <v>339.09933525924703</v>
      </c>
      <c r="I39" s="14">
        <f>'Data-Chin-Nisga''a'!N33</f>
        <v>1817.4</v>
      </c>
      <c r="J39" s="14">
        <f t="shared" si="106"/>
        <v>2196.4993352592473</v>
      </c>
      <c r="L39" s="72">
        <f>'Bayesian Sum (10Feb26)'!K34</f>
        <v>20083</v>
      </c>
      <c r="M39" s="120">
        <f>H39/L39</f>
        <v>1.6884894450990739E-2</v>
      </c>
      <c r="N39" s="56">
        <f>'Data-Coastal-Chin-Esc (new)'!J46</f>
        <v>542.5286904897755</v>
      </c>
      <c r="O39" s="74">
        <f t="shared" si="55"/>
        <v>0</v>
      </c>
      <c r="P39" s="14"/>
      <c r="Q39" s="110"/>
      <c r="R39" s="5">
        <f>'A6-Chin (NEW2+Khutz)'!R39-'A6b-Chin (LN&amp;CoastalCU)'!R39</f>
        <v>20.827120598706635</v>
      </c>
      <c r="S39" s="5">
        <f>'A6-Chin (NEW2+Khutz)'!S39-'A6b-Chin (LN&amp;CoastalCU)'!S39</f>
        <v>3639.1734568285642</v>
      </c>
      <c r="T39" s="14">
        <f t="shared" si="56"/>
        <v>3660.0005774272709</v>
      </c>
      <c r="U39" s="120">
        <f>R39/SUM(T39,P39)</f>
        <v>5.6904692111679044E-3</v>
      </c>
      <c r="V39" s="14">
        <f t="shared" si="3"/>
        <v>17886.500664740754</v>
      </c>
      <c r="W39" s="110"/>
      <c r="X39" s="14">
        <f t="shared" si="29"/>
        <v>40</v>
      </c>
      <c r="Y39" s="14">
        <f t="shared" ref="Y39:Z46" si="107">SUM(H39,R39)</f>
        <v>359.92645585795367</v>
      </c>
      <c r="Z39" s="111">
        <f t="shared" si="107"/>
        <v>5456.5734568285643</v>
      </c>
      <c r="AA39" s="111">
        <f t="shared" si="4"/>
        <v>5856.4999126865177</v>
      </c>
      <c r="AB39" s="110"/>
      <c r="AC39" s="14">
        <f>'A6-Chin (NEW2+Khutz)'!AC39-'A6b-Chin (LN&amp;CoastalCU)'!AC39</f>
        <v>306.4860390766259</v>
      </c>
      <c r="AD39" s="14">
        <f>'A6-Chin (NEW2+Khutz)'!AD39-'A6b-Chin (LN&amp;CoastalCU)'!AD39</f>
        <v>205.39868584198717</v>
      </c>
      <c r="AE39" s="14">
        <f t="shared" si="57"/>
        <v>511.88472491861307</v>
      </c>
      <c r="AF39" s="110"/>
      <c r="AJ39" s="14">
        <f t="shared" si="58"/>
        <v>24254.885302345887</v>
      </c>
      <c r="AK39" s="122">
        <f>'A6-Chin (NEW2+Khutz)'!AK39-'A6b-Chin (LN&amp;CoastalCU)'!AL39</f>
        <v>1134.3028363194046</v>
      </c>
      <c r="AL39" s="111">
        <f t="shared" ref="AL39:AL46" si="108">SUM(AJ39:AK39)</f>
        <v>25389.188138665293</v>
      </c>
      <c r="AM39" s="113">
        <v>697</v>
      </c>
      <c r="AN39" s="14">
        <f>'[1]Data-FW Catch Rates - new'!CE33</f>
        <v>14639.500664740754</v>
      </c>
      <c r="AO39" s="117">
        <f>X39/AN39</f>
        <v>2.7323336305001182E-3</v>
      </c>
      <c r="AP39" s="60">
        <f t="shared" si="32"/>
        <v>20</v>
      </c>
      <c r="AQ39" s="59"/>
      <c r="AR39" s="77">
        <f t="shared" si="33"/>
        <v>0.29550718333126469</v>
      </c>
      <c r="AS39" s="61">
        <f t="shared" si="60"/>
        <v>9.0494448040631378E-2</v>
      </c>
      <c r="AT39" s="61">
        <f t="shared" si="34"/>
        <v>1.6884894450990739E-2</v>
      </c>
      <c r="AU39" s="61">
        <f t="shared" si="35"/>
        <v>0.10937107679426616</v>
      </c>
      <c r="AV39" s="61"/>
      <c r="AW39" s="33"/>
      <c r="AX39" s="61">
        <f t="shared" si="36"/>
        <v>0.21491720912961085</v>
      </c>
      <c r="AY39" s="61">
        <f>AC39/$AL39</f>
        <v>1.2071517899773924E-2</v>
      </c>
      <c r="AZ39" s="61">
        <f t="shared" si="38"/>
        <v>2.2266373332316403E-2</v>
      </c>
      <c r="BA39" s="61">
        <f t="shared" si="39"/>
        <v>1.5754737718093412E-3</v>
      </c>
      <c r="BB39" s="61">
        <f t="shared" si="61"/>
        <v>0.25083057413351051</v>
      </c>
      <c r="BC39" s="61">
        <f>BC$53</f>
        <v>4.4676609197754125E-2</v>
      </c>
      <c r="BD39" s="78">
        <f t="shared" si="40"/>
        <v>0.29550718333126469</v>
      </c>
      <c r="BE39" s="17"/>
      <c r="BF39" s="17"/>
      <c r="BG39" s="22">
        <f>'[1]Data-PSC CH Tables'!C33</f>
        <v>14470</v>
      </c>
      <c r="BH39" s="22">
        <f>'[1]Data-PSC CH Tables'!AG33</f>
        <v>22814.743227555235</v>
      </c>
      <c r="BI39" s="22">
        <f>'[1]Data-PSC CH Tables'!AI33</f>
        <v>23972.759764732047</v>
      </c>
      <c r="BJ39" s="17"/>
      <c r="BK39" s="22">
        <f t="shared" si="63"/>
        <v>-3416.5006647407536</v>
      </c>
      <c r="BL39" s="22">
        <f t="shared" si="64"/>
        <v>-1440.1420747906523</v>
      </c>
      <c r="BM39" s="22">
        <f t="shared" si="65"/>
        <v>-1416.4283739332459</v>
      </c>
      <c r="BO39" s="33"/>
      <c r="BP39" s="33"/>
      <c r="BQ39" s="33"/>
      <c r="BS39" s="62">
        <f t="shared" si="66"/>
        <v>306.4860390766259</v>
      </c>
      <c r="BT39" s="62">
        <f t="shared" si="10"/>
        <v>5456.5734568285643</v>
      </c>
      <c r="BU39" s="62">
        <f t="shared" si="11"/>
        <v>40</v>
      </c>
      <c r="BV39" s="62">
        <f t="shared" si="12"/>
        <v>205.39868584198717</v>
      </c>
      <c r="BW39" s="62">
        <f t="shared" si="13"/>
        <v>359.92645585795367</v>
      </c>
      <c r="BX39" s="62">
        <f t="shared" si="67"/>
        <v>6368.3846376051315</v>
      </c>
      <c r="BY39" s="62">
        <f t="shared" si="15"/>
        <v>24254.885302345887</v>
      </c>
      <c r="BZ39" s="79">
        <f t="shared" si="68"/>
        <v>0.26256090508039603</v>
      </c>
      <c r="CA39" s="79">
        <f t="shared" si="69"/>
        <v>8.0379052781446053E-2</v>
      </c>
      <c r="CB39" s="79">
        <f t="shared" si="70"/>
        <v>0.91962094721855381</v>
      </c>
      <c r="CC39" s="79">
        <f t="shared" si="19"/>
        <v>0.15118620364524779</v>
      </c>
      <c r="CD39" s="33"/>
      <c r="CF39" s="36">
        <v>22832.598312709997</v>
      </c>
      <c r="CG39" s="36">
        <v>23990.769389826299</v>
      </c>
      <c r="CH39" s="81">
        <f t="shared" si="100"/>
        <v>1422.2869896358898</v>
      </c>
      <c r="CI39" s="36">
        <f t="shared" si="101"/>
        <v>1398.4187488389944</v>
      </c>
      <c r="CJ39" s="36">
        <v>16336.336710944441</v>
      </c>
      <c r="CK39" s="81">
        <f t="shared" si="73"/>
        <v>1550.1639537963129</v>
      </c>
      <c r="CM39" s="33">
        <f t="shared" si="84"/>
        <v>2018</v>
      </c>
      <c r="CN39" s="96">
        <f t="shared" si="91"/>
        <v>24254.885302345887</v>
      </c>
      <c r="CO39" s="97">
        <f t="shared" si="92"/>
        <v>4161.3593888532505</v>
      </c>
      <c r="CP39" s="97">
        <f t="shared" si="93"/>
        <v>9254.8853023458869</v>
      </c>
      <c r="CQ39" s="62">
        <f t="shared" si="94"/>
        <v>17886.500664740754</v>
      </c>
      <c r="CR39" s="98" t="str">
        <f t="shared" si="85"/>
        <v>Y</v>
      </c>
      <c r="CS39" s="114" t="str">
        <f t="shared" si="95"/>
        <v>Y</v>
      </c>
      <c r="CT39" s="99">
        <f t="shared" si="102"/>
        <v>5093.5259134926364</v>
      </c>
      <c r="CU39" s="100">
        <f t="shared" si="103"/>
        <v>5093.5259134926364</v>
      </c>
      <c r="CV39" s="100">
        <f t="shared" si="105"/>
        <v>-548.76363744063929</v>
      </c>
      <c r="CW39" s="100"/>
      <c r="CX39" s="101">
        <f t="shared" si="96"/>
        <v>5456.5734568285643</v>
      </c>
      <c r="CY39" s="102">
        <f t="shared" si="86"/>
        <v>363.04754333592791</v>
      </c>
      <c r="CZ39" s="79">
        <v>0.1</v>
      </c>
      <c r="DA39" s="103">
        <f t="shared" si="97"/>
        <v>-509.35259134926366</v>
      </c>
      <c r="DB39" s="107">
        <f t="shared" si="87"/>
        <v>363.04754333592791</v>
      </c>
      <c r="DC39" s="33"/>
      <c r="DD39" s="107">
        <f t="shared" si="104"/>
        <v>3935.3558899123036</v>
      </c>
      <c r="DE39" s="105">
        <f t="shared" si="98"/>
        <v>363.04754333592791</v>
      </c>
      <c r="DF39" s="105">
        <f t="shared" si="99"/>
        <v>363.04754333592791</v>
      </c>
      <c r="DH39" s="66">
        <f t="shared" si="20"/>
        <v>0</v>
      </c>
      <c r="DK39" s="106"/>
      <c r="DL39" s="106"/>
      <c r="DS39" s="14">
        <f t="shared" si="43"/>
        <v>17886.500664740754</v>
      </c>
      <c r="DT39" s="14">
        <v>19861.298355492483</v>
      </c>
      <c r="DU39" s="14">
        <f>DT39-DS39</f>
        <v>1974.7976907517295</v>
      </c>
      <c r="DW39" s="14">
        <f t="shared" si="44"/>
        <v>24254.885302345887</v>
      </c>
      <c r="DX39" s="14">
        <v>26393.298355492483</v>
      </c>
      <c r="DY39" s="14">
        <f>DX39-DW39</f>
        <v>2138.4130531465962</v>
      </c>
      <c r="EG39" s="14">
        <f t="shared" si="46"/>
        <v>911.81118077656674</v>
      </c>
      <c r="EJ39" s="89">
        <f t="shared" si="47"/>
        <v>0</v>
      </c>
      <c r="EL39" s="67"/>
      <c r="EM39" s="67">
        <f t="shared" si="48"/>
        <v>17.886500664740755</v>
      </c>
      <c r="EN39" s="67">
        <f t="shared" si="22"/>
        <v>5.456573456828564</v>
      </c>
      <c r="EO39" s="67">
        <f t="shared" si="23"/>
        <v>0.91181118077656675</v>
      </c>
      <c r="EP39" s="67">
        <f t="shared" si="24"/>
        <v>1.1343028363194045</v>
      </c>
      <c r="ET39" s="66">
        <f t="shared" si="25"/>
        <v>0.10937107679426616</v>
      </c>
      <c r="EW39" s="14">
        <f t="shared" si="27"/>
        <v>911.8111807765672</v>
      </c>
      <c r="EY39" s="14">
        <f t="shared" si="49"/>
        <v>379.09933525924703</v>
      </c>
      <c r="EZ39" s="14">
        <f t="shared" si="50"/>
        <v>399.92645585795367</v>
      </c>
      <c r="FB39" s="14">
        <f t="shared" si="51"/>
        <v>25368.361018066582</v>
      </c>
      <c r="FC39" s="66">
        <f t="shared" si="52"/>
        <v>1</v>
      </c>
      <c r="FE39" s="14">
        <f t="shared" si="26"/>
        <v>20000</v>
      </c>
    </row>
    <row r="40" spans="2:161" x14ac:dyDescent="0.2">
      <c r="B40" s="4">
        <v>2019</v>
      </c>
      <c r="C40" s="71">
        <f t="shared" si="53"/>
        <v>11713.507023075654</v>
      </c>
      <c r="D40" s="71">
        <f t="shared" si="82"/>
        <v>9264.5070230756537</v>
      </c>
      <c r="E40" s="71">
        <f>'Bayesian Sum (10Feb26)'!H35</f>
        <v>2449</v>
      </c>
      <c r="F40" s="110"/>
      <c r="G40" s="14">
        <f>'[1]Data-Nisgaa &amp; Other FN Catch'!BI32</f>
        <v>110</v>
      </c>
      <c r="H40" s="119">
        <f>'Data-Sport-Inriver (CH - new)'!C32</f>
        <v>252.29297692434648</v>
      </c>
      <c r="I40" s="14">
        <f>'Data-Chin-Nisga''a'!N34</f>
        <v>2242.1999999999998</v>
      </c>
      <c r="J40" s="14">
        <f t="shared" si="106"/>
        <v>2604.4929769243463</v>
      </c>
      <c r="L40" s="72">
        <f>'Bayesian Sum (10Feb26)'!K35</f>
        <v>14318</v>
      </c>
      <c r="M40" s="120">
        <f t="shared" si="28"/>
        <v>1.7620685635168772E-2</v>
      </c>
      <c r="N40" s="56">
        <f>'Data-Coastal-Chin-Esc (new)'!J47</f>
        <v>1001.9674013549908</v>
      </c>
      <c r="O40" s="74">
        <f t="shared" si="55"/>
        <v>0</v>
      </c>
      <c r="P40" s="14"/>
      <c r="Q40" s="110"/>
      <c r="R40" s="5">
        <f>'A6-Chin (NEW2+Khutz)'!R40-'A6b-Chin (LN&amp;CoastalCU)'!R40</f>
        <v>21.946124686353446</v>
      </c>
      <c r="S40" s="5">
        <f>'A6-Chin (NEW2+Khutz)'!S40-'A6b-Chin (LN&amp;CoastalCU)'!S40</f>
        <v>4367.5843867763651</v>
      </c>
      <c r="T40" s="14">
        <f t="shared" si="56"/>
        <v>4389.530511462719</v>
      </c>
      <c r="U40" s="120">
        <f t="shared" si="83"/>
        <v>4.9996519283882048E-3</v>
      </c>
      <c r="V40" s="14">
        <f t="shared" si="3"/>
        <v>11713.507023075654</v>
      </c>
      <c r="W40" s="110"/>
      <c r="X40" s="14">
        <f t="shared" si="29"/>
        <v>110</v>
      </c>
      <c r="Y40" s="14">
        <f t="shared" si="107"/>
        <v>274.23910161069995</v>
      </c>
      <c r="Z40" s="111">
        <f t="shared" si="107"/>
        <v>6609.784386776365</v>
      </c>
      <c r="AA40" s="111">
        <f t="shared" si="4"/>
        <v>6994.0234883870653</v>
      </c>
      <c r="AB40" s="110"/>
      <c r="AC40" s="14">
        <f>'A6-Chin (NEW2+Khutz)'!AC40-'A6b-Chin (LN&amp;CoastalCU)'!AC40</f>
        <v>292.64782879337605</v>
      </c>
      <c r="AD40" s="14">
        <f>'A6-Chin (NEW2+Khutz)'!AD40-'A6b-Chin (LN&amp;CoastalCU)'!AD40</f>
        <v>705.00734917828049</v>
      </c>
      <c r="AE40" s="14">
        <f t="shared" si="57"/>
        <v>997.65517797165649</v>
      </c>
      <c r="AF40" s="110"/>
      <c r="AJ40" s="14">
        <f t="shared" si="58"/>
        <v>19705.185689434376</v>
      </c>
      <c r="AK40" s="122">
        <f>'A6-Chin (NEW2+Khutz)'!AK40-'A6b-Chin (LN&amp;CoastalCU)'!AL40</f>
        <v>921.53179613527732</v>
      </c>
      <c r="AL40" s="111">
        <f t="shared" si="108"/>
        <v>20626.717485569654</v>
      </c>
      <c r="AM40" s="113">
        <v>681</v>
      </c>
      <c r="AN40" s="14">
        <f>'[1]Data-FW Catch Rates - new'!CE34</f>
        <v>9264.5070230756537</v>
      </c>
      <c r="AO40" s="123">
        <f>AVERAGE(AO35:AO39)</f>
        <v>1.019783650673735E-2</v>
      </c>
      <c r="AP40" s="60">
        <f t="shared" si="32"/>
        <v>10</v>
      </c>
      <c r="AQ40" s="59"/>
      <c r="AR40" s="77">
        <f t="shared" si="33"/>
        <v>0.43211967530605078</v>
      </c>
      <c r="AS40" s="61">
        <f>I40/L40</f>
        <v>0.15660008381058807</v>
      </c>
      <c r="AT40" s="61">
        <f>H40/$L40</f>
        <v>1.7620685635168772E-2</v>
      </c>
      <c r="AU40" s="61">
        <f>J40/$L40</f>
        <v>0.18190340668559479</v>
      </c>
      <c r="AV40" s="61"/>
      <c r="AW40" s="33"/>
      <c r="AX40" s="61">
        <f>Z40/$AL40</f>
        <v>0.32044771017979651</v>
      </c>
      <c r="AY40" s="61">
        <f t="shared" si="37"/>
        <v>1.4187804191244243E-2</v>
      </c>
      <c r="AZ40" s="61">
        <f>SUM(Y40,AD40)/$AL40</f>
        <v>4.7474662484423717E-2</v>
      </c>
      <c r="BA40" s="61">
        <f>X40/AL40</f>
        <v>5.3328892528321792E-3</v>
      </c>
      <c r="BB40" s="61">
        <f t="shared" si="61"/>
        <v>0.38744306610829665</v>
      </c>
      <c r="BC40" s="61">
        <f>BC$53</f>
        <v>4.4676609197754125E-2</v>
      </c>
      <c r="BD40" s="78">
        <f t="shared" si="40"/>
        <v>0.43211967530605078</v>
      </c>
      <c r="BE40" s="17"/>
      <c r="BF40" s="17"/>
      <c r="BG40" s="22">
        <f>'[1]Data-PSC CH Tables'!C34</f>
        <v>10492.571428571428</v>
      </c>
      <c r="BH40" s="22">
        <f>'[1]Data-PSC CH Tables'!AG34</f>
        <v>20144.856913645377</v>
      </c>
      <c r="BI40" s="22">
        <f>'[1]Data-PSC CH Tables'!AI34</f>
        <v>21167.357022999524</v>
      </c>
      <c r="BJ40" s="17"/>
      <c r="BK40" s="22">
        <f t="shared" si="63"/>
        <v>-1220.9355945042262</v>
      </c>
      <c r="BL40" s="22">
        <f t="shared" si="64"/>
        <v>439.67122421100066</v>
      </c>
      <c r="BM40" s="22">
        <f t="shared" si="65"/>
        <v>540.63953742986996</v>
      </c>
      <c r="BO40" s="33"/>
      <c r="BP40" s="33"/>
      <c r="BQ40" s="33"/>
      <c r="BS40" s="62">
        <f t="shared" si="66"/>
        <v>292.64782879337605</v>
      </c>
      <c r="BT40" s="62">
        <f t="shared" si="10"/>
        <v>6609.784386776365</v>
      </c>
      <c r="BU40" s="62">
        <f t="shared" si="11"/>
        <v>110</v>
      </c>
      <c r="BV40" s="62">
        <f t="shared" si="12"/>
        <v>705.00734917828049</v>
      </c>
      <c r="BW40" s="62">
        <f t="shared" si="13"/>
        <v>274.23910161069995</v>
      </c>
      <c r="BX40" s="62">
        <f t="shared" si="67"/>
        <v>7991.6786663587218</v>
      </c>
      <c r="BY40" s="62">
        <f t="shared" si="15"/>
        <v>19705.185689434376</v>
      </c>
      <c r="BZ40" s="79">
        <f t="shared" si="68"/>
        <v>0.40556221049181684</v>
      </c>
      <c r="CA40" s="79">
        <f t="shared" si="69"/>
        <v>0.12483674827559374</v>
      </c>
      <c r="CB40" s="79">
        <f t="shared" si="70"/>
        <v>0.87516325172440623</v>
      </c>
      <c r="CC40" s="79">
        <f t="shared" si="19"/>
        <v>0.10338943526723639</v>
      </c>
      <c r="CD40" s="33"/>
      <c r="CF40" s="36">
        <v>20157.790213668082</v>
      </c>
      <c r="CG40" s="36">
        <v>21180.283111073128</v>
      </c>
      <c r="CH40" s="81">
        <f t="shared" si="100"/>
        <v>-452.60452423370589</v>
      </c>
      <c r="CI40" s="36">
        <f t="shared" si="101"/>
        <v>-553.56562550347371</v>
      </c>
      <c r="CJ40" s="36">
        <v>11845.900471373752</v>
      </c>
      <c r="CK40" s="81">
        <f t="shared" si="73"/>
        <v>-132.39344829809852</v>
      </c>
      <c r="CM40" s="33">
        <f t="shared" si="84"/>
        <v>2019</v>
      </c>
      <c r="CN40" s="96">
        <f t="shared" si="91"/>
        <v>19705.185689434376</v>
      </c>
      <c r="CO40" s="97">
        <f>IF((CN40-DE$2-CT40)&gt;0, (CN40-DE$2-CT40),0)</f>
        <v>567.0966946531571</v>
      </c>
      <c r="CP40" s="97">
        <f t="shared" si="93"/>
        <v>4705.1856894343764</v>
      </c>
      <c r="CQ40" s="62">
        <f>V40</f>
        <v>11713.507023075654</v>
      </c>
      <c r="CR40" s="98" t="str">
        <f t="shared" si="85"/>
        <v>Y</v>
      </c>
      <c r="CS40" s="114" t="str">
        <f t="shared" si="95"/>
        <v>N</v>
      </c>
      <c r="CT40" s="99">
        <f t="shared" si="102"/>
        <v>4138.0889947812193</v>
      </c>
      <c r="CU40" s="100">
        <f>IF(CR40="N",0,IF(CS40="N",(BX40-BT40)+CT40,CT40))</f>
        <v>5519.9832743635761</v>
      </c>
      <c r="CV40" s="100">
        <f t="shared" si="105"/>
        <v>1089.8011124127888</v>
      </c>
      <c r="CW40" s="100"/>
      <c r="CX40" s="101">
        <f t="shared" si="96"/>
        <v>6609.784386776365</v>
      </c>
      <c r="CY40" s="102">
        <f t="shared" si="86"/>
        <v>1089.8011124127888</v>
      </c>
      <c r="CZ40" s="79">
        <v>0.1</v>
      </c>
      <c r="DA40" s="103">
        <f t="shared" si="97"/>
        <v>-413.80889947812193</v>
      </c>
      <c r="DB40" s="107">
        <f>IF(CX40&gt;CT40,CY40,(IF(CY40*-1&gt;(CT40*CZ40),CT40*CZ40*-1,CY40)))</f>
        <v>1089.8011124127888</v>
      </c>
      <c r="DC40" s="33"/>
      <c r="DD40" s="107">
        <f t="shared" si="104"/>
        <v>5025.1570023250924</v>
      </c>
      <c r="DE40" s="105">
        <f t="shared" si="98"/>
        <v>1089.8011124127888</v>
      </c>
      <c r="DF40" s="105">
        <f t="shared" si="99"/>
        <v>1089.8011124127888</v>
      </c>
      <c r="DH40" s="66">
        <f>P40/V40</f>
        <v>0</v>
      </c>
      <c r="DK40" s="106"/>
      <c r="DL40" s="106"/>
      <c r="DS40" s="14">
        <f>V40</f>
        <v>11713.507023075654</v>
      </c>
      <c r="DT40" s="14">
        <v>19861.298355492483</v>
      </c>
      <c r="DU40" s="14">
        <f>DT40-DS40</f>
        <v>8147.7913324168294</v>
      </c>
      <c r="DW40" s="14">
        <f>AJ40</f>
        <v>19705.185689434376</v>
      </c>
      <c r="DX40" s="14">
        <v>26393.298355492483</v>
      </c>
      <c r="DY40" s="14">
        <f>DX40-DW40</f>
        <v>6688.1126660581067</v>
      </c>
      <c r="EG40" s="14">
        <f>SUM(X40:Y40,AE40)</f>
        <v>1381.8942795823564</v>
      </c>
      <c r="EJ40" s="89">
        <f>$P40/V40</f>
        <v>0</v>
      </c>
      <c r="EL40" s="67"/>
      <c r="EM40" s="67">
        <f>V40/1000</f>
        <v>11.713507023075653</v>
      </c>
      <c r="EN40" s="67">
        <f>Z40/1000</f>
        <v>6.609784386776365</v>
      </c>
      <c r="EO40" s="67">
        <f>SUM(X40:Y40,AE40)/1000</f>
        <v>1.3818942795823563</v>
      </c>
      <c r="EP40" s="67">
        <f>AK40/1000</f>
        <v>0.92153179613527736</v>
      </c>
      <c r="ET40" s="66">
        <f>J40/L40</f>
        <v>0.18190340668559479</v>
      </c>
      <c r="EW40" s="14">
        <f>BX40-BT40</f>
        <v>1381.8942795823568</v>
      </c>
      <c r="EY40" s="14">
        <f>G40+H40</f>
        <v>362.29297692434648</v>
      </c>
      <c r="EZ40" s="14">
        <f>EY40+R40</f>
        <v>384.23910161069995</v>
      </c>
      <c r="FB40" s="14">
        <f>L40+SUM(S40,AE40,AK40)*FC40</f>
        <v>20604.7713608833</v>
      </c>
      <c r="FC40" s="66">
        <f>L40/SUM(L40,P40)</f>
        <v>1</v>
      </c>
      <c r="FE40" s="14">
        <f>ROUND(L40,-3)</f>
        <v>14000</v>
      </c>
    </row>
    <row r="41" spans="2:161" x14ac:dyDescent="0.2">
      <c r="B41" s="4">
        <v>2020</v>
      </c>
      <c r="C41" s="71">
        <f t="shared" si="53"/>
        <v>12828.597538855378</v>
      </c>
      <c r="D41" s="71">
        <f t="shared" si="82"/>
        <v>10238.597538855378</v>
      </c>
      <c r="E41" s="71">
        <f>'Bayesian Sum (10Feb26)'!H36</f>
        <v>2590</v>
      </c>
      <c r="F41" s="110"/>
      <c r="G41" s="14">
        <f>'[1]Data-Nisgaa &amp; Other FN Catch'!BI33</f>
        <v>266</v>
      </c>
      <c r="H41" s="119">
        <f>'Data-Sport-Inriver (CH - new)'!C33</f>
        <v>229.60246114462157</v>
      </c>
      <c r="I41" s="14">
        <f>'Data-Chin-Nisga''a'!N35</f>
        <v>1984.8</v>
      </c>
      <c r="J41" s="14">
        <f t="shared" si="106"/>
        <v>2480.4024611446216</v>
      </c>
      <c r="L41" s="72">
        <f>'Bayesian Sum (10Feb26)'!K36</f>
        <v>15309</v>
      </c>
      <c r="M41" s="120">
        <f t="shared" si="28"/>
        <v>1.4997874527704068E-2</v>
      </c>
      <c r="N41" s="56">
        <f>'Data-Coastal-Chin-Esc (new)'!J48</f>
        <v>870.64279376325646</v>
      </c>
      <c r="O41" s="74">
        <f t="shared" si="55"/>
        <v>0</v>
      </c>
      <c r="P41" s="14"/>
      <c r="Q41" s="110"/>
      <c r="R41" s="5">
        <f>'A6-Chin (NEW2+Khutz)'!R41-'A6b-Chin (LN&amp;CoastalCU)'!R41</f>
        <v>18.007017166292329</v>
      </c>
      <c r="S41" s="5">
        <f>'A6-Chin (NEW2+Khutz)'!S41-'A6b-Chin (LN&amp;CoastalCU)'!S41</f>
        <v>3533.6</v>
      </c>
      <c r="T41" s="14">
        <f t="shared" si="56"/>
        <v>3551.6070171662923</v>
      </c>
      <c r="U41" s="120">
        <f t="shared" si="83"/>
        <v>5.0701040625433617E-3</v>
      </c>
      <c r="V41" s="14">
        <f t="shared" si="3"/>
        <v>12828.597538855378</v>
      </c>
      <c r="W41" s="110"/>
      <c r="X41" s="14">
        <f t="shared" si="29"/>
        <v>266</v>
      </c>
      <c r="Y41" s="14">
        <f t="shared" si="107"/>
        <v>247.60947831091391</v>
      </c>
      <c r="Z41" s="111">
        <f t="shared" si="107"/>
        <v>5518.4</v>
      </c>
      <c r="AA41" s="111">
        <f t="shared" si="4"/>
        <v>6032.0094783109134</v>
      </c>
      <c r="AB41" s="110"/>
      <c r="AC41" s="14">
        <f>'A6-Chin (NEW2+Khutz)'!AC41-'A6b-Chin (LN&amp;CoastalCU)'!AC41</f>
        <v>119.8418999081434</v>
      </c>
      <c r="AD41" s="14">
        <f>'A6-Chin (NEW2+Khutz)'!AD41-'A6b-Chin (LN&amp;CoastalCU)'!AD41</f>
        <v>285.99817015972894</v>
      </c>
      <c r="AE41" s="14">
        <f t="shared" si="57"/>
        <v>405.84007006787238</v>
      </c>
      <c r="AF41" s="110"/>
      <c r="AJ41" s="14">
        <f t="shared" si="58"/>
        <v>19266.447087234163</v>
      </c>
      <c r="AK41" s="122">
        <f>'A6-Chin (NEW2+Khutz)'!AK41-'A6b-Chin (LN&amp;CoastalCU)'!AL41</f>
        <v>901.01376710009765</v>
      </c>
      <c r="AL41" s="111">
        <f t="shared" si="108"/>
        <v>20167.460854334262</v>
      </c>
      <c r="AM41" s="113">
        <v>505</v>
      </c>
      <c r="AN41" s="14">
        <f>'[1]Data-FW Catch Rates - new'!CE35</f>
        <v>10238.597538855378</v>
      </c>
      <c r="AO41" s="123">
        <f>AVERAGE(AO36:AO40)</f>
        <v>1.1028741729857523E-2</v>
      </c>
      <c r="AP41" s="60">
        <f t="shared" si="32"/>
        <v>13</v>
      </c>
      <c r="AQ41" s="59"/>
      <c r="AR41" s="77">
        <f>SUM(AE41,AA41,AK41)/AL41</f>
        <v>0.36389624695374884</v>
      </c>
      <c r="AS41" s="61">
        <f>I41/L41</f>
        <v>0.12964922594552225</v>
      </c>
      <c r="AT41" s="61">
        <f>H41/$L41</f>
        <v>1.4997874527704068E-2</v>
      </c>
      <c r="AU41" s="61">
        <f>J41/$L41</f>
        <v>0.16202250056467579</v>
      </c>
      <c r="AV41" s="61"/>
      <c r="AW41" s="33"/>
      <c r="AX41" s="61">
        <f>Z41/$AL41</f>
        <v>0.27362889358548181</v>
      </c>
      <c r="AY41" s="61">
        <f t="shared" si="37"/>
        <v>5.9423395326629698E-3</v>
      </c>
      <c r="AZ41" s="61">
        <f>SUM(Y41,AD41)/$AL41</f>
        <v>2.6458841414136836E-2</v>
      </c>
      <c r="BA41" s="61">
        <f>X41/AL41</f>
        <v>1.3189563223713062E-2</v>
      </c>
      <c r="BB41" s="61">
        <f t="shared" si="61"/>
        <v>0.31921963775599466</v>
      </c>
      <c r="BC41" s="61">
        <f>BC$53</f>
        <v>4.4676609197754125E-2</v>
      </c>
      <c r="BD41" s="78">
        <f t="shared" si="40"/>
        <v>0.36389624695374884</v>
      </c>
      <c r="BE41" s="17"/>
      <c r="BF41" s="17"/>
      <c r="BG41" s="22">
        <f>'[1]Data-PSC CH Tables'!C35</f>
        <v>12265.648310387985</v>
      </c>
      <c r="BH41" s="22">
        <f>'[1]Data-PSC CH Tables'!AG35</f>
        <v>20765.726660226421</v>
      </c>
      <c r="BI41" s="22">
        <f>'[1]Data-PSC CH Tables'!AI35</f>
        <v>21819.740489757143</v>
      </c>
      <c r="BJ41" s="17"/>
      <c r="BK41" s="22">
        <f t="shared" si="63"/>
        <v>-562.94922846739246</v>
      </c>
      <c r="BL41" s="22">
        <f t="shared" si="64"/>
        <v>1499.2795729922582</v>
      </c>
      <c r="BM41" s="22">
        <f t="shared" si="65"/>
        <v>1652.2796354228813</v>
      </c>
      <c r="BO41" s="33"/>
      <c r="BP41" s="33"/>
      <c r="BQ41" s="33"/>
      <c r="BS41" s="62">
        <f t="shared" si="66"/>
        <v>119.8418999081434</v>
      </c>
      <c r="BT41" s="62">
        <f t="shared" si="10"/>
        <v>5518.4</v>
      </c>
      <c r="BU41" s="62">
        <f t="shared" si="11"/>
        <v>266</v>
      </c>
      <c r="BV41" s="62">
        <f t="shared" si="12"/>
        <v>285.99817015972894</v>
      </c>
      <c r="BW41" s="62">
        <f t="shared" si="13"/>
        <v>247.60947831091391</v>
      </c>
      <c r="BX41" s="62">
        <f t="shared" si="67"/>
        <v>6437.8495483787856</v>
      </c>
      <c r="BY41" s="62">
        <f t="shared" si="15"/>
        <v>19266.447087234163</v>
      </c>
      <c r="BZ41" s="79">
        <f t="shared" si="68"/>
        <v>0.33414824846686275</v>
      </c>
      <c r="CA41" s="79">
        <f t="shared" si="69"/>
        <v>6.3039694702103313E-2</v>
      </c>
      <c r="CB41" s="79">
        <f t="shared" si="70"/>
        <v>0.93696030529789676</v>
      </c>
      <c r="CC41" s="79">
        <f t="shared" si="19"/>
        <v>0.1227729320424472</v>
      </c>
      <c r="CD41" s="33"/>
      <c r="CF41" s="36">
        <v>20410.336035638335</v>
      </c>
      <c r="CG41" s="36">
        <v>21445.639181909788</v>
      </c>
      <c r="CH41" s="81">
        <f t="shared" si="100"/>
        <v>-1143.888948404172</v>
      </c>
      <c r="CI41" s="36">
        <f t="shared" si="101"/>
        <v>-1278.1783275755261</v>
      </c>
      <c r="CJ41" s="36">
        <v>13847.668332862815</v>
      </c>
      <c r="CK41" s="81">
        <f t="shared" si="73"/>
        <v>-1019.0707940074371</v>
      </c>
      <c r="CM41" s="33">
        <f t="shared" si="84"/>
        <v>2020</v>
      </c>
      <c r="CN41" s="96">
        <f t="shared" si="91"/>
        <v>19266.447087234163</v>
      </c>
      <c r="CO41" s="97">
        <f>IF((CN41-DE$2-CT41)&gt;0, (CN41-DE$2-CT41),0)</f>
        <v>220.49319891498862</v>
      </c>
      <c r="CP41" s="97">
        <f t="shared" si="93"/>
        <v>4266.4470872341626</v>
      </c>
      <c r="CQ41" s="62">
        <f>V41</f>
        <v>12828.597538855378</v>
      </c>
      <c r="CR41" s="98" t="str">
        <f t="shared" si="85"/>
        <v>Y</v>
      </c>
      <c r="CS41" s="114" t="str">
        <f t="shared" si="95"/>
        <v>N</v>
      </c>
      <c r="CT41" s="99">
        <f t="shared" si="102"/>
        <v>4045.953888319174</v>
      </c>
      <c r="CU41" s="100">
        <f>IF(CR41="N",0,IF(CS41="N",(BX41-BT41)+CT41,CT41))</f>
        <v>4965.4034366979595</v>
      </c>
      <c r="CV41" s="100">
        <f t="shared" si="105"/>
        <v>552.9965633020397</v>
      </c>
      <c r="CW41" s="100"/>
      <c r="CX41" s="101">
        <f t="shared" si="96"/>
        <v>5518.4</v>
      </c>
      <c r="CY41" s="102">
        <f t="shared" si="86"/>
        <v>552.99656330204016</v>
      </c>
      <c r="CZ41" s="79">
        <v>0.1</v>
      </c>
      <c r="DA41" s="103">
        <f t="shared" si="97"/>
        <v>-404.59538883191743</v>
      </c>
      <c r="DB41" s="107">
        <f>IF(CX41&gt;CT41,CY41,(IF(CY41*-1&gt;(CT41*CZ41),CT41*CZ41*-1,CY41)))</f>
        <v>552.99656330204016</v>
      </c>
      <c r="DC41" s="33"/>
      <c r="DD41" s="107">
        <f t="shared" si="104"/>
        <v>5578.1535656271326</v>
      </c>
      <c r="DE41" s="105">
        <f t="shared" si="98"/>
        <v>552.99656330204016</v>
      </c>
      <c r="DF41" s="105">
        <f t="shared" si="99"/>
        <v>552.99656330204016</v>
      </c>
      <c r="DH41" s="66">
        <f>P41/V41</f>
        <v>0</v>
      </c>
      <c r="DK41" s="106"/>
      <c r="DL41" s="106"/>
      <c r="DS41" s="14">
        <f>V41</f>
        <v>12828.597538855378</v>
      </c>
      <c r="DT41" s="14">
        <v>19861.298355492483</v>
      </c>
      <c r="DU41" s="14">
        <f>DT41-DS41</f>
        <v>7032.7008166371052</v>
      </c>
      <c r="DW41" s="14">
        <f>AJ41</f>
        <v>19266.447087234163</v>
      </c>
      <c r="DX41" s="14">
        <v>26393.298355492483</v>
      </c>
      <c r="DY41" s="14">
        <f>DX41-DW41</f>
        <v>7126.8512682583205</v>
      </c>
      <c r="EG41" s="14">
        <f>SUM(X41:Y41,AE41)</f>
        <v>919.44954837878629</v>
      </c>
      <c r="EJ41" s="89">
        <f>$P41/V41</f>
        <v>0</v>
      </c>
      <c r="EL41" s="67"/>
      <c r="EM41" s="67">
        <f>V41/1000</f>
        <v>12.828597538855378</v>
      </c>
      <c r="EN41" s="67">
        <f>Z41/1000</f>
        <v>5.5183999999999997</v>
      </c>
      <c r="EO41" s="67">
        <f>SUM(X41:Y41,AE41)/1000</f>
        <v>0.91944954837878634</v>
      </c>
      <c r="EP41" s="67">
        <f>AK41/1000</f>
        <v>0.90101376710009762</v>
      </c>
      <c r="ET41" s="66">
        <f>J41/L41</f>
        <v>0.16202250056467579</v>
      </c>
      <c r="EW41" s="14">
        <f>BX41-BT41</f>
        <v>919.44954837878595</v>
      </c>
      <c r="EY41" s="14" t="e">
        <f>#REF!+H41</f>
        <v>#REF!</v>
      </c>
      <c r="EZ41" s="14" t="e">
        <f>EY41+R41</f>
        <v>#REF!</v>
      </c>
      <c r="FB41" s="14">
        <f>L41+SUM(S41,AE41,AK41)*FC41</f>
        <v>20149.45383716797</v>
      </c>
      <c r="FC41" s="66">
        <f>L41/SUM(L41,P41)</f>
        <v>1</v>
      </c>
      <c r="FE41" s="14">
        <f>ROUND(L41,-3)</f>
        <v>15000</v>
      </c>
    </row>
    <row r="42" spans="2:161" ht="14.45" customHeight="1" x14ac:dyDescent="0.2">
      <c r="B42" s="4">
        <v>2021</v>
      </c>
      <c r="C42" s="71">
        <f t="shared" si="53"/>
        <v>11766.207465205587</v>
      </c>
      <c r="D42" s="71">
        <f t="shared" si="82"/>
        <v>10134.207465205587</v>
      </c>
      <c r="E42" s="71">
        <f>'Bayesian Sum (10Feb26)'!H37</f>
        <v>1632</v>
      </c>
      <c r="F42" s="110"/>
      <c r="G42" s="14">
        <f>'[1]Data-Nisgaa &amp; Other FN Catch'!BI34</f>
        <v>299</v>
      </c>
      <c r="H42" s="119">
        <f>'Data-Sport-Inriver (CH - new)'!C34</f>
        <v>250.79253479441255</v>
      </c>
      <c r="I42" s="14">
        <f>'Data-Chin-Nisga''a'!N36</f>
        <v>1064</v>
      </c>
      <c r="J42" s="14">
        <f t="shared" si="106"/>
        <v>1613.7925347944124</v>
      </c>
      <c r="L42" s="72">
        <f>'Bayesian Sum (10Feb26)'!K37</f>
        <v>13380</v>
      </c>
      <c r="M42" s="120">
        <f t="shared" si="28"/>
        <v>1.8743836681196752E-2</v>
      </c>
      <c r="N42" s="56">
        <f>'Data-Coastal-Chin-Esc (new)'!J49</f>
        <v>737.4474409860419</v>
      </c>
      <c r="O42" s="74">
        <f t="shared" si="55"/>
        <v>0</v>
      </c>
      <c r="P42" s="14"/>
      <c r="Q42" s="110"/>
      <c r="R42" s="5">
        <f>'A6-Chin (NEW2+Khutz)'!R42-'A6b-Chin (LN&amp;CoastalCU)'!R42</f>
        <v>19.882273563201391</v>
      </c>
      <c r="S42" s="5">
        <f>'A6-Chin (NEW2+Khutz)'!S42-'A6b-Chin (LN&amp;CoastalCU)'!S42</f>
        <v>4422.2000000000007</v>
      </c>
      <c r="T42" s="14">
        <f t="shared" si="56"/>
        <v>4442.0822735632019</v>
      </c>
      <c r="U42" s="120">
        <f t="shared" si="83"/>
        <v>4.4758904357826961E-3</v>
      </c>
      <c r="V42" s="14">
        <f t="shared" si="3"/>
        <v>11766.207465205587</v>
      </c>
      <c r="W42" s="110"/>
      <c r="X42" s="14">
        <f t="shared" si="29"/>
        <v>299</v>
      </c>
      <c r="Y42" s="14">
        <f t="shared" si="107"/>
        <v>270.67480835761393</v>
      </c>
      <c r="Z42" s="111">
        <f t="shared" si="107"/>
        <v>5486.2000000000007</v>
      </c>
      <c r="AA42" s="111">
        <f t="shared" si="4"/>
        <v>6055.8748083576147</v>
      </c>
      <c r="AB42" s="110"/>
      <c r="AC42" s="14">
        <f>'A6-Chin (NEW2+Khutz)'!AC42-'A6b-Chin (LN&amp;CoastalCU)'!AC42</f>
        <v>19.22499361794323</v>
      </c>
      <c r="AD42" s="14">
        <f>'A6-Chin (NEW2+Khutz)'!AD42-'A6b-Chin (LN&amp;CoastalCU)'!AD42</f>
        <v>336.4551432028299</v>
      </c>
      <c r="AE42" s="14">
        <f t="shared" si="57"/>
        <v>355.68013682077316</v>
      </c>
      <c r="AF42" s="110"/>
      <c r="AJ42" s="14">
        <f t="shared" si="58"/>
        <v>18177.762410383977</v>
      </c>
      <c r="AK42" s="122">
        <f>'A6-Chin (NEW2+Khutz)'!AK42-'A6b-Chin (LN&amp;CoastalCU)'!AL42</f>
        <v>850.10039021065211</v>
      </c>
      <c r="AL42" s="111">
        <f t="shared" si="108"/>
        <v>19027.86280059463</v>
      </c>
      <c r="AM42" s="113">
        <v>914</v>
      </c>
      <c r="AN42" s="14">
        <f>'[1]Data-FW Catch Rates - new'!CE36</f>
        <v>10134.207465205587</v>
      </c>
      <c r="AO42" s="123">
        <f>AVERAGE(AO37:AO41)</f>
        <v>1.055049817040779E-2</v>
      </c>
      <c r="AP42" s="60">
        <f t="shared" si="32"/>
        <v>9</v>
      </c>
      <c r="AQ42" s="59"/>
      <c r="AR42" s="77">
        <f t="shared" ref="AR42:AR46" si="109">SUM(AE42,AA42,AK42)/AL42</f>
        <v>0.38163273571439194</v>
      </c>
      <c r="AS42" s="61">
        <f t="shared" ref="AS42:AS46" si="110">I42/L42</f>
        <v>7.9521674140508217E-2</v>
      </c>
      <c r="AT42" s="61">
        <f t="shared" ref="AT42:AT46" si="111">H42/$L42</f>
        <v>1.8743836681196752E-2</v>
      </c>
      <c r="AU42" s="61">
        <f t="shared" ref="AU42:AU46" si="112">J42/$L42</f>
        <v>0.1206122970698365</v>
      </c>
      <c r="AV42" s="61"/>
      <c r="AW42" s="33"/>
      <c r="AX42" s="61">
        <f t="shared" ref="AX42:AX46" si="113">Z42/$AL42</f>
        <v>0.28832455108035332</v>
      </c>
      <c r="AY42" s="61">
        <f t="shared" si="37"/>
        <v>1.01036011345123E-3</v>
      </c>
      <c r="AZ42" s="61">
        <f t="shared" ref="AZ42:AZ46" si="114">SUM(Y42,AD42)/$AL42</f>
        <v>3.1907416924483539E-2</v>
      </c>
      <c r="BA42" s="61">
        <f t="shared" ref="BA42:BA46" si="115">X42/AL42</f>
        <v>1.5713798398349608E-2</v>
      </c>
      <c r="BB42" s="61">
        <f t="shared" si="61"/>
        <v>0.3369561265166377</v>
      </c>
      <c r="BC42" s="61">
        <f t="shared" ref="BC42:BC46" si="116">BC$53</f>
        <v>4.4676609197754125E-2</v>
      </c>
      <c r="BD42" s="78">
        <f t="shared" si="40"/>
        <v>0.38163273571439194</v>
      </c>
      <c r="BE42" s="17"/>
      <c r="BF42" s="17"/>
      <c r="BG42" s="22">
        <f>'[1]Data-PSC CH Tables'!C36</f>
        <v>11249.867777777778</v>
      </c>
      <c r="BH42" s="22">
        <f>'[1]Data-PSC CH Tables'!AG36</f>
        <v>19510.674764809301</v>
      </c>
      <c r="BI42" s="22">
        <f>'[1]Data-PSC CH Tables'!AI36</f>
        <v>20500.985451358658</v>
      </c>
      <c r="BJ42" s="17"/>
      <c r="BK42" s="22">
        <f t="shared" si="63"/>
        <v>-516.33968742780962</v>
      </c>
      <c r="BL42" s="22">
        <f t="shared" si="64"/>
        <v>1332.9123544253234</v>
      </c>
      <c r="BM42" s="22">
        <f t="shared" si="65"/>
        <v>1473.1226507640276</v>
      </c>
      <c r="BO42" s="33"/>
      <c r="BP42" s="33"/>
      <c r="BQ42" s="33"/>
      <c r="BS42" s="62">
        <f t="shared" si="66"/>
        <v>19.22499361794323</v>
      </c>
      <c r="BT42" s="62">
        <f t="shared" si="10"/>
        <v>5486.2000000000007</v>
      </c>
      <c r="BU42" s="62">
        <f t="shared" si="11"/>
        <v>299</v>
      </c>
      <c r="BV42" s="62">
        <f t="shared" si="12"/>
        <v>336.4551432028299</v>
      </c>
      <c r="BW42" s="62">
        <f t="shared" si="13"/>
        <v>270.67480835761393</v>
      </c>
      <c r="BX42" s="62">
        <f t="shared" si="67"/>
        <v>6411.5549451783882</v>
      </c>
      <c r="BY42" s="62">
        <f t="shared" si="15"/>
        <v>18177.762410383977</v>
      </c>
      <c r="BZ42" s="79">
        <f t="shared" si="68"/>
        <v>0.35271420103476608</v>
      </c>
      <c r="CA42" s="79">
        <f t="shared" si="69"/>
        <v>5.5474863720578645E-2</v>
      </c>
      <c r="CB42" s="79">
        <f t="shared" si="70"/>
        <v>0.94452513627942136</v>
      </c>
      <c r="CC42" s="79">
        <f t="shared" si="19"/>
        <v>0.11706702548491422</v>
      </c>
      <c r="CD42" s="33"/>
      <c r="CF42" s="36">
        <v>19252.165198989482</v>
      </c>
      <c r="CG42" s="36">
        <v>20228.720762222187</v>
      </c>
      <c r="CH42" s="81">
        <f t="shared" si="100"/>
        <v>-1074.4027886055046</v>
      </c>
      <c r="CI42" s="36">
        <f t="shared" si="101"/>
        <v>-1200.8579616275565</v>
      </c>
      <c r="CJ42" s="36">
        <v>12700.872700164622</v>
      </c>
      <c r="CK42" s="81">
        <f t="shared" si="73"/>
        <v>-934.66523495903493</v>
      </c>
      <c r="CM42" s="33">
        <f t="shared" si="84"/>
        <v>2021</v>
      </c>
      <c r="CN42" s="96">
        <f t="shared" si="91"/>
        <v>18177.762410383977</v>
      </c>
      <c r="CO42" s="97">
        <f>IF((CN42-DE$2-CT42)&gt;0, (CN42-DE$2-CT42),0)</f>
        <v>0</v>
      </c>
      <c r="CP42" s="97">
        <f t="shared" si="93"/>
        <v>3817.3301061806351</v>
      </c>
      <c r="CQ42" s="62">
        <f>V42</f>
        <v>11766.207465205587</v>
      </c>
      <c r="CR42" s="98" t="str">
        <f t="shared" si="85"/>
        <v>Y</v>
      </c>
      <c r="CS42" s="114" t="str">
        <f t="shared" si="95"/>
        <v>N</v>
      </c>
      <c r="CT42" s="99">
        <f t="shared" si="102"/>
        <v>3817.3301061806351</v>
      </c>
      <c r="CU42" s="100">
        <f>IF(CR42="N",0,IF(CS42="N",(BX42-BT42)+CT42,CT42))</f>
        <v>4742.6850513590225</v>
      </c>
      <c r="CV42" s="100">
        <f t="shared" si="105"/>
        <v>743.51494864097822</v>
      </c>
      <c r="CW42" s="100"/>
      <c r="CX42" s="101">
        <f t="shared" si="96"/>
        <v>5486.2000000000007</v>
      </c>
      <c r="CY42" s="102">
        <f t="shared" si="86"/>
        <v>743.51494864097822</v>
      </c>
      <c r="CZ42" s="79">
        <v>0.1</v>
      </c>
      <c r="DA42" s="103">
        <f t="shared" si="97"/>
        <v>-381.73301061806353</v>
      </c>
      <c r="DB42" s="107">
        <f>IF(CX42&gt;CT42,CY42,(IF(CY42*-1&gt;(CT42*CZ42),CT42*CZ42*-1,CY42)))</f>
        <v>743.51494864097822</v>
      </c>
      <c r="DC42" s="33"/>
      <c r="DD42" s="107">
        <f t="shared" si="104"/>
        <v>6321.6685142681108</v>
      </c>
      <c r="DE42" s="105">
        <f t="shared" si="98"/>
        <v>743.51494864097822</v>
      </c>
      <c r="DF42" s="105">
        <f t="shared" si="99"/>
        <v>743.51494864097822</v>
      </c>
      <c r="DH42" s="66">
        <f>P42/V42</f>
        <v>0</v>
      </c>
      <c r="DK42" s="106"/>
      <c r="DL42" s="106"/>
      <c r="DS42" s="14">
        <f>V42</f>
        <v>11766.207465205587</v>
      </c>
      <c r="DT42" s="14">
        <v>19861.298355492483</v>
      </c>
      <c r="DU42" s="14">
        <f>DT42-DS42</f>
        <v>8095.090890286896</v>
      </c>
      <c r="DW42" s="14">
        <f>AJ42</f>
        <v>18177.762410383977</v>
      </c>
      <c r="DX42" s="14">
        <v>26393.298355492483</v>
      </c>
      <c r="DY42" s="14">
        <f>DX42-DW42</f>
        <v>8215.535945108506</v>
      </c>
      <c r="EG42" s="14">
        <f>SUM(X42:Y42,AE42)</f>
        <v>925.3549451783872</v>
      </c>
      <c r="EJ42" s="89">
        <f>$P42/V42</f>
        <v>0</v>
      </c>
      <c r="EL42" s="67"/>
      <c r="EM42" s="67">
        <f>V42/1000</f>
        <v>11.766207465205587</v>
      </c>
      <c r="EN42" s="67">
        <f>Z42/1000</f>
        <v>5.4862000000000011</v>
      </c>
      <c r="EO42" s="67">
        <f>SUM(X42:Y42,AE42)/1000</f>
        <v>0.92535494517838723</v>
      </c>
      <c r="EP42" s="67">
        <f>AK42/1000</f>
        <v>0.85010039021065209</v>
      </c>
      <c r="ET42" s="66">
        <f>J42/L42</f>
        <v>0.1206122970698365</v>
      </c>
      <c r="EW42" s="14">
        <f>BX42-BT42</f>
        <v>925.35494517838742</v>
      </c>
      <c r="EY42" s="14">
        <f>G41+H42</f>
        <v>516.79253479441252</v>
      </c>
      <c r="EZ42" s="14">
        <f>EY42+R42</f>
        <v>536.67480835761387</v>
      </c>
      <c r="FB42" s="14">
        <f>L42+SUM(S42,AE42,AK42)*FC42</f>
        <v>19007.980527031425</v>
      </c>
      <c r="FC42" s="66">
        <f>L42/SUM(L42,P42)</f>
        <v>1</v>
      </c>
      <c r="FE42" s="14">
        <f>ROUND(L42,-3)</f>
        <v>13000</v>
      </c>
    </row>
    <row r="43" spans="2:161" ht="14.45" customHeight="1" x14ac:dyDescent="0.2">
      <c r="B43" s="4">
        <v>2022</v>
      </c>
      <c r="C43" s="71">
        <f t="shared" si="53"/>
        <v>14410.16048847821</v>
      </c>
      <c r="D43" s="71">
        <f t="shared" si="82"/>
        <v>12027.16048847821</v>
      </c>
      <c r="E43" s="71">
        <f>'Bayesian Sum (10Feb26)'!H38</f>
        <v>2383</v>
      </c>
      <c r="F43" s="110"/>
      <c r="G43" s="14">
        <f>'[1]Data-Nisgaa &amp; Other FN Catch'!BI35</f>
        <v>38</v>
      </c>
      <c r="H43" s="119">
        <f>'Data-Sport-Inriver (CH - new)'!C35</f>
        <v>265.03951152179019</v>
      </c>
      <c r="I43" s="14">
        <f>'Data-Chin-Nisga''a'!N37</f>
        <v>1347.8</v>
      </c>
      <c r="J43" s="14">
        <f t="shared" si="106"/>
        <v>1650.8395115217902</v>
      </c>
      <c r="L43" s="72">
        <f>'Bayesian Sum (10Feb26)'!K38</f>
        <v>16061</v>
      </c>
      <c r="M43" s="120">
        <f>H43/L43</f>
        <v>1.6502055383960539E-2</v>
      </c>
      <c r="N43" s="56">
        <f>'Data-Coastal-Chin-Esc (new)'!J50</f>
        <v>8762.9333570423751</v>
      </c>
      <c r="O43" s="74">
        <f t="shared" si="55"/>
        <v>0</v>
      </c>
      <c r="P43" s="14"/>
      <c r="Q43" s="110"/>
      <c r="R43" s="5">
        <f>'A6-Chin (NEW2+Khutz)'!R43-'A6b-Chin (LN&amp;CoastalCU)'!R43</f>
        <v>21.262923746530795</v>
      </c>
      <c r="S43" s="5">
        <f>'A6-Chin (NEW2+Khutz)'!S43-'A6b-Chin (LN&amp;CoastalCU)'!S43</f>
        <v>2456.3999999999996</v>
      </c>
      <c r="T43" s="14">
        <f t="shared" si="56"/>
        <v>2477.6629237465304</v>
      </c>
      <c r="U43" s="120">
        <f t="shared" si="83"/>
        <v>8.5818468455663224E-3</v>
      </c>
      <c r="V43" s="14">
        <f t="shared" si="3"/>
        <v>14410.16048847821</v>
      </c>
      <c r="W43" s="110"/>
      <c r="X43" s="14">
        <f>G43</f>
        <v>38</v>
      </c>
      <c r="Y43" s="14">
        <f t="shared" si="107"/>
        <v>286.30243526832101</v>
      </c>
      <c r="Z43" s="111">
        <f t="shared" si="107"/>
        <v>3804.2</v>
      </c>
      <c r="AA43" s="111">
        <f t="shared" si="4"/>
        <v>4128.5024352683213</v>
      </c>
      <c r="AB43" s="110"/>
      <c r="AC43" s="14">
        <f>'A6-Chin (NEW2+Khutz)'!AC43-'A6b-Chin (LN&amp;CoastalCU)'!AC43</f>
        <v>53.353371687140893</v>
      </c>
      <c r="AD43" s="14">
        <f>'A6-Chin (NEW2+Khutz)'!AD43-'A6b-Chin (LN&amp;CoastalCU)'!AD43</f>
        <v>213.1966269493299</v>
      </c>
      <c r="AE43" s="14">
        <f t="shared" si="57"/>
        <v>266.54999863647078</v>
      </c>
      <c r="AF43" s="110"/>
      <c r="AJ43" s="14">
        <f t="shared" si="58"/>
        <v>18805.212922383002</v>
      </c>
      <c r="AK43" s="122">
        <f>'A6-Chin (NEW2+Khutz)'!AK43-'A6b-Chin (LN&amp;CoastalCU)'!AL43</f>
        <v>879.44371162976859</v>
      </c>
      <c r="AL43" s="111">
        <f t="shared" si="108"/>
        <v>19684.656634012768</v>
      </c>
      <c r="AM43" s="111"/>
      <c r="AN43" s="14">
        <f>'[1]Data-FW Catch Rates - new'!CE37</f>
        <v>12027.16048847821</v>
      </c>
      <c r="AO43" s="123">
        <f>AVERAGE(AO38:AO42)</f>
        <v>1.0229681171901862E-2</v>
      </c>
      <c r="AP43" s="60">
        <f t="shared" si="32"/>
        <v>14</v>
      </c>
      <c r="AQ43" s="59"/>
      <c r="AR43" s="77">
        <f t="shared" si="109"/>
        <v>0.2679496139353964</v>
      </c>
      <c r="AS43" s="61">
        <f t="shared" si="110"/>
        <v>8.3917564286159013E-2</v>
      </c>
      <c r="AT43" s="61">
        <f t="shared" si="111"/>
        <v>1.6502055383960539E-2</v>
      </c>
      <c r="AU43" s="61">
        <f t="shared" si="112"/>
        <v>0.10278559937250421</v>
      </c>
      <c r="AV43" s="61"/>
      <c r="AW43" s="33"/>
      <c r="AX43" s="61">
        <f t="shared" si="113"/>
        <v>0.19325711749661867</v>
      </c>
      <c r="AY43" s="61">
        <f t="shared" si="37"/>
        <v>2.7104039800700691E-3</v>
      </c>
      <c r="AZ43" s="61">
        <f t="shared" si="114"/>
        <v>2.5375045727471589E-2</v>
      </c>
      <c r="BA43" s="61">
        <f t="shared" si="115"/>
        <v>1.9304375334818122E-3</v>
      </c>
      <c r="BB43" s="61">
        <f t="shared" si="61"/>
        <v>0.22327300473764219</v>
      </c>
      <c r="BC43" s="61">
        <f t="shared" si="116"/>
        <v>4.4676609197754125E-2</v>
      </c>
      <c r="BD43" s="78">
        <f t="shared" si="40"/>
        <v>0.2679496139353964</v>
      </c>
      <c r="BE43" s="17"/>
      <c r="BF43" s="17"/>
      <c r="BG43" s="22">
        <f>'[1]Data-PSC CH Tables'!C37</f>
        <v>13408.493367742924</v>
      </c>
      <c r="BH43" s="22">
        <f>'[1]Data-PSC CH Tables'!AG37</f>
        <v>22857.040953893968</v>
      </c>
      <c r="BI43" s="22">
        <f>'[1]Data-PSC CH Tables'!AI37</f>
        <v>24017.204412738785</v>
      </c>
      <c r="BJ43" s="17"/>
      <c r="BK43" s="22">
        <f t="shared" si="63"/>
        <v>-1001.6671207352865</v>
      </c>
      <c r="BL43" s="22">
        <f t="shared" si="64"/>
        <v>4051.828031510966</v>
      </c>
      <c r="BM43" s="22">
        <f t="shared" si="65"/>
        <v>4332.547778726017</v>
      </c>
      <c r="BS43" s="62">
        <f t="shared" si="66"/>
        <v>53.353371687140893</v>
      </c>
      <c r="BT43" s="62">
        <f t="shared" si="10"/>
        <v>3804.2</v>
      </c>
      <c r="BU43" s="62">
        <f t="shared" si="11"/>
        <v>38</v>
      </c>
      <c r="BV43" s="62">
        <f t="shared" si="12"/>
        <v>213.1966269493299</v>
      </c>
      <c r="BW43" s="62">
        <f t="shared" si="13"/>
        <v>286.30243526832101</v>
      </c>
      <c r="BX43" s="62">
        <f t="shared" si="67"/>
        <v>4395.0524339047915</v>
      </c>
      <c r="BY43" s="62">
        <f t="shared" si="15"/>
        <v>18805.212922383002</v>
      </c>
      <c r="BZ43" s="79">
        <f t="shared" si="68"/>
        <v>0.23371457967772105</v>
      </c>
      <c r="CA43" s="79">
        <f t="shared" si="69"/>
        <v>6.0647740304580165E-2</v>
      </c>
      <c r="CB43" s="79">
        <f t="shared" si="70"/>
        <v>0.93935225969541991</v>
      </c>
      <c r="CC43" s="79">
        <f t="shared" si="19"/>
        <v>0.16673511314901884</v>
      </c>
      <c r="CD43" s="33"/>
      <c r="CF43" s="36">
        <v>21690.646120133384</v>
      </c>
      <c r="CG43" s="36">
        <v>22790.892296072077</v>
      </c>
      <c r="CH43" s="81">
        <f t="shared" si="100"/>
        <v>-2885.4331977503825</v>
      </c>
      <c r="CI43" s="36">
        <f t="shared" si="101"/>
        <v>-3106.2356620593091</v>
      </c>
      <c r="CJ43" s="36">
        <v>17133.787688818757</v>
      </c>
      <c r="CK43" s="81">
        <f t="shared" si="73"/>
        <v>-2723.6272003405466</v>
      </c>
      <c r="CM43" s="33">
        <f t="shared" si="84"/>
        <v>2022</v>
      </c>
      <c r="CN43" s="96">
        <f t="shared" si="91"/>
        <v>18805.212922383002</v>
      </c>
      <c r="CO43" s="97">
        <f>IF((CN43-DE$2-CT43)&gt;0, (CN43-DE$2-CT43),0)</f>
        <v>0</v>
      </c>
      <c r="CP43" s="97">
        <f t="shared" si="93"/>
        <v>3949.09471370043</v>
      </c>
      <c r="CQ43" s="62">
        <f>V43</f>
        <v>14410.16048847821</v>
      </c>
      <c r="CR43" s="98" t="str">
        <f t="shared" si="85"/>
        <v>Y</v>
      </c>
      <c r="CS43" s="114" t="str">
        <f t="shared" si="95"/>
        <v>N</v>
      </c>
      <c r="CT43" s="99">
        <f t="shared" si="102"/>
        <v>3949.09471370043</v>
      </c>
      <c r="CU43" s="100">
        <f>IF(CR43="N",0,IF(CS43="N",(BX43-BT43)+CT43,CT43))</f>
        <v>4539.9471476052222</v>
      </c>
      <c r="CV43" s="100">
        <f t="shared" si="105"/>
        <v>-735.74714760522193</v>
      </c>
      <c r="CW43" s="100"/>
      <c r="CX43" s="101">
        <f t="shared" si="96"/>
        <v>3804.2</v>
      </c>
      <c r="CY43" s="102">
        <f>CX43-CU43</f>
        <v>-735.74714760522238</v>
      </c>
      <c r="CZ43" s="79">
        <v>0.1</v>
      </c>
      <c r="DA43" s="103">
        <f t="shared" si="97"/>
        <v>-394.90947137004304</v>
      </c>
      <c r="DB43" s="107">
        <f>IF(CX43&gt;CT43,CY43,(IF(CY43*-1&gt;(CT43*CZ43),CT43*CZ43*-1,CY43)))</f>
        <v>-394.90947137004304</v>
      </c>
      <c r="DC43" s="33"/>
      <c r="DD43" s="107">
        <f t="shared" si="104"/>
        <v>5926.7590428980675</v>
      </c>
      <c r="DE43" s="105">
        <f t="shared" si="98"/>
        <v>-394.90947137004304</v>
      </c>
      <c r="DF43" s="105">
        <f t="shared" si="99"/>
        <v>394.90947137004304</v>
      </c>
      <c r="DH43" s="66">
        <f>P43/V43</f>
        <v>0</v>
      </c>
      <c r="DK43" s="106"/>
      <c r="DL43" s="106"/>
      <c r="DS43" s="14"/>
      <c r="DT43" s="14"/>
      <c r="DU43" s="14"/>
      <c r="DW43" s="14"/>
      <c r="DX43" s="14"/>
      <c r="DY43" s="14"/>
      <c r="EG43" s="14"/>
      <c r="EJ43" s="89"/>
      <c r="EL43" s="67"/>
      <c r="EM43" s="67"/>
      <c r="EN43" s="67"/>
      <c r="EO43" s="67"/>
      <c r="EP43" s="67"/>
      <c r="ET43" s="66"/>
      <c r="EW43" s="14"/>
      <c r="EY43" s="14"/>
      <c r="EZ43" s="14"/>
      <c r="FB43" s="14"/>
      <c r="FC43" s="66"/>
      <c r="FE43" s="14"/>
    </row>
    <row r="44" spans="2:161" ht="14.45" customHeight="1" x14ac:dyDescent="0.2">
      <c r="B44" s="4">
        <v>2023</v>
      </c>
      <c r="C44" s="71">
        <f t="shared" si="53"/>
        <v>9758.9535295539172</v>
      </c>
      <c r="D44" s="71">
        <f t="shared" si="82"/>
        <v>7850.9535295539172</v>
      </c>
      <c r="E44" s="71">
        <f>'Bayesian Sum (10Feb26)'!H39</f>
        <v>1908</v>
      </c>
      <c r="F44" s="110"/>
      <c r="G44" s="14">
        <f>'[1]Data-Nisgaa &amp; Other FN Catch'!BI36</f>
        <v>66</v>
      </c>
      <c r="H44" s="119">
        <f>'Data-Sport-Inriver (CH - new)'!C36</f>
        <v>193.24647044608315</v>
      </c>
      <c r="I44" s="14">
        <f>'Data-Chin-Nisga''a'!N38</f>
        <v>1587.8</v>
      </c>
      <c r="J44" s="14">
        <f t="shared" si="106"/>
        <v>1847.046470446083</v>
      </c>
      <c r="L44" s="72">
        <f>'Bayesian Sum (10Feb26)'!K39</f>
        <v>11606</v>
      </c>
      <c r="M44" s="120">
        <v>1.58026191252638E-2</v>
      </c>
      <c r="N44" s="56">
        <f>'Data-Coastal-Chin-Esc (new)'!J51</f>
        <v>946.07674023620609</v>
      </c>
      <c r="O44" s="74">
        <v>3.4938163140037641</v>
      </c>
      <c r="P44" s="14"/>
      <c r="Q44" s="110"/>
      <c r="R44" s="5">
        <f>'A6-Chin (NEW2+Khutz)'!R44-'A6b-Chin (LN&amp;CoastalCU)'!R44</f>
        <v>12.109732823077628</v>
      </c>
      <c r="S44" s="5">
        <f>'A6-Chin (NEW2+Khutz)'!S44-'A6b-Chin (LN&amp;CoastalCU)'!S44</f>
        <v>1618.3999999999999</v>
      </c>
      <c r="T44" s="14">
        <v>1664.1440192695411</v>
      </c>
      <c r="U44" s="120">
        <v>4.1226614171758977E-3</v>
      </c>
      <c r="V44" s="14">
        <f t="shared" si="3"/>
        <v>9758.9535295539172</v>
      </c>
      <c r="W44" s="110"/>
      <c r="X44" s="14">
        <f t="shared" ref="X44:X46" si="117">G44</f>
        <v>66</v>
      </c>
      <c r="Y44" s="14">
        <f t="shared" si="107"/>
        <v>205.35620326916077</v>
      </c>
      <c r="Z44" s="111">
        <f t="shared" si="107"/>
        <v>3206.2</v>
      </c>
      <c r="AA44" s="111">
        <f t="shared" si="4"/>
        <v>3477.5562032691605</v>
      </c>
      <c r="AB44" s="110"/>
      <c r="AC44" s="14">
        <f>'A6-Chin (NEW2+Khutz)'!AC44-'A6b-Chin (LN&amp;CoastalCU)'!AC44</f>
        <v>55.948680018239386</v>
      </c>
      <c r="AD44" s="14">
        <f>'A6-Chin (NEW2+Khutz)'!AD44-'A6b-Chin (LN&amp;CoastalCU)'!AD44</f>
        <v>211.1483016415589</v>
      </c>
      <c r="AE44" s="14">
        <f t="shared" si="57"/>
        <v>267.0969816597983</v>
      </c>
      <c r="AF44" s="110"/>
      <c r="AJ44" s="14">
        <f t="shared" si="58"/>
        <v>13503.606714482876</v>
      </c>
      <c r="AK44" s="122">
        <f>'A6-Chin (NEW2+Khutz)'!AK44-'A6b-Chin (LN&amp;CoastalCU)'!AL44</f>
        <v>631.50904264627684</v>
      </c>
      <c r="AL44" s="111">
        <f t="shared" si="108"/>
        <v>14135.115757129153</v>
      </c>
      <c r="AM44" s="111"/>
      <c r="AN44" s="14">
        <f>'[1]Data-FW Catch Rates - new'!CE38</f>
        <v>7850.9535295539172</v>
      </c>
      <c r="AO44" s="123">
        <f>AVERAGE(AO40:AO43)</f>
        <v>1.0501689394726132E-2</v>
      </c>
      <c r="AP44" s="60">
        <f t="shared" si="32"/>
        <v>4</v>
      </c>
      <c r="AQ44" s="59"/>
      <c r="AR44" s="77">
        <f t="shared" si="109"/>
        <v>0.30959507532636121</v>
      </c>
      <c r="AS44" s="61">
        <f t="shared" si="110"/>
        <v>0.13680854730311906</v>
      </c>
      <c r="AT44" s="61">
        <f t="shared" si="111"/>
        <v>1.6650566124942544E-2</v>
      </c>
      <c r="AU44" s="61">
        <f t="shared" si="112"/>
        <v>0.15914582719680193</v>
      </c>
      <c r="AV44" s="61"/>
      <c r="AW44" s="33"/>
      <c r="AX44" s="61">
        <f t="shared" si="113"/>
        <v>0.2268251675535751</v>
      </c>
      <c r="AY44" s="61">
        <f t="shared" si="37"/>
        <v>3.9581338405397385E-3</v>
      </c>
      <c r="AZ44" s="61">
        <f t="shared" si="114"/>
        <v>2.9465942272220335E-2</v>
      </c>
      <c r="BA44" s="61">
        <f t="shared" si="115"/>
        <v>4.6692224622718352E-3</v>
      </c>
      <c r="BB44" s="61">
        <f t="shared" si="61"/>
        <v>0.26491846612860698</v>
      </c>
      <c r="BC44" s="61">
        <f t="shared" si="116"/>
        <v>4.4676609197754125E-2</v>
      </c>
      <c r="BD44" s="78">
        <f t="shared" si="40"/>
        <v>0.30959507532636121</v>
      </c>
      <c r="BE44" s="17"/>
      <c r="BF44" s="17"/>
      <c r="BG44" s="22">
        <f>'[1]Data-PSC CH Tables'!C38</f>
        <v>10376</v>
      </c>
      <c r="BH44" s="22">
        <f>'[1]Data-PSC CH Tables'!AG38</f>
        <v>17521.200934380602</v>
      </c>
      <c r="BI44" s="22">
        <f>'[1]Data-PSC CH Tables'!AI38</f>
        <v>18410.200934380602</v>
      </c>
      <c r="BJ44" s="17"/>
      <c r="BK44" s="22">
        <v>-32.825950221804305</v>
      </c>
      <c r="BL44" s="22">
        <v>337.86488526275571</v>
      </c>
      <c r="BM44" s="22">
        <v>355.01402082668574</v>
      </c>
      <c r="BS44" s="62">
        <f t="shared" si="66"/>
        <v>55.948680018239386</v>
      </c>
      <c r="BT44" s="62">
        <f t="shared" si="10"/>
        <v>3206.2</v>
      </c>
      <c r="BU44" s="62">
        <f t="shared" si="11"/>
        <v>66</v>
      </c>
      <c r="BV44" s="62">
        <f t="shared" si="12"/>
        <v>211.1483016415589</v>
      </c>
      <c r="BW44" s="62">
        <f t="shared" si="13"/>
        <v>205.35620326916077</v>
      </c>
      <c r="BX44" s="62">
        <f t="shared" si="67"/>
        <v>3744.653184928959</v>
      </c>
      <c r="BY44" s="62">
        <f t="shared" si="15"/>
        <v>13503.606714482876</v>
      </c>
      <c r="BZ44" s="79">
        <f t="shared" si="68"/>
        <v>0.27730763077635751</v>
      </c>
      <c r="CA44" s="79">
        <f t="shared" si="69"/>
        <v>7.1327561851329491E-2</v>
      </c>
      <c r="CB44" s="79">
        <f t="shared" si="70"/>
        <v>0.9286724381486704</v>
      </c>
      <c r="CC44" s="79">
        <f t="shared" si="19"/>
        <v>0.14430658869705254</v>
      </c>
      <c r="CD44" s="33"/>
      <c r="CF44" s="36">
        <v>16423.386838410668</v>
      </c>
      <c r="CG44" s="36">
        <v>17256.454164521841</v>
      </c>
      <c r="CH44" s="81">
        <f t="shared" si="100"/>
        <v>-2919.7801239277924</v>
      </c>
      <c r="CI44" s="36">
        <f t="shared" si="101"/>
        <v>-3121.3384073926882</v>
      </c>
      <c r="CJ44" s="36">
        <v>12583.333078026088</v>
      </c>
      <c r="CK44" s="81">
        <f t="shared" si="73"/>
        <v>-2824.3795484721704</v>
      </c>
      <c r="CM44" s="33">
        <f t="shared" si="84"/>
        <v>2023</v>
      </c>
      <c r="CN44" s="96">
        <f t="shared" si="91"/>
        <v>13503.606714482876</v>
      </c>
      <c r="CO44" s="97">
        <f>IF((CN44-DE$2-CT44)&gt;0, (CN44-DE$2-CT44),0)</f>
        <v>0</v>
      </c>
      <c r="CP44" s="97">
        <f t="shared" si="93"/>
        <v>2835.757410041404</v>
      </c>
      <c r="CQ44" s="62">
        <f>V44</f>
        <v>9758.9535295539172</v>
      </c>
      <c r="CR44" s="98" t="str">
        <f t="shared" si="85"/>
        <v>Y</v>
      </c>
      <c r="CS44" s="114" t="str">
        <f t="shared" si="95"/>
        <v>N</v>
      </c>
      <c r="CT44" s="99">
        <f t="shared" si="102"/>
        <v>2835.757410041404</v>
      </c>
      <c r="CU44" s="100">
        <f>IF(CR44="N",0,IF(CS44="N",(BX44-BT44)+CT44,CT44))</f>
        <v>3374.2105949703632</v>
      </c>
      <c r="CV44" s="100">
        <f t="shared" si="105"/>
        <v>-168.0105949703634</v>
      </c>
      <c r="CW44" s="100"/>
      <c r="CX44" s="101">
        <f t="shared" si="96"/>
        <v>3206.2</v>
      </c>
      <c r="CY44" s="102">
        <f t="shared" ref="CY44" si="118">CX44-CU44</f>
        <v>-168.0105949703634</v>
      </c>
      <c r="CZ44" s="79">
        <v>0.1</v>
      </c>
      <c r="DA44" s="103">
        <f t="shared" si="97"/>
        <v>-283.57574100414041</v>
      </c>
      <c r="DB44" s="107">
        <f>IF(CX44&gt;CT44,CY44,(IF(CY44*-1&gt;(CT44*CZ44),CT44*CZ44*-1,CY44)))</f>
        <v>-168.0105949703634</v>
      </c>
      <c r="DC44" s="33"/>
      <c r="DD44" s="107">
        <f t="shared" si="104"/>
        <v>5758.7484479277045</v>
      </c>
      <c r="DE44" s="105">
        <f t="shared" si="98"/>
        <v>-168.0105949703634</v>
      </c>
      <c r="DF44" s="105">
        <f t="shared" si="99"/>
        <v>168.0105949703634</v>
      </c>
      <c r="DH44" s="66"/>
      <c r="DK44" s="106"/>
      <c r="DL44" s="106"/>
      <c r="DS44" s="14"/>
      <c r="DT44" s="14"/>
      <c r="DU44" s="14"/>
      <c r="DW44" s="14"/>
      <c r="DX44" s="14"/>
      <c r="DY44" s="14"/>
      <c r="EG44" s="14"/>
      <c r="EJ44" s="89"/>
      <c r="EL44" s="67"/>
      <c r="EM44" s="67"/>
      <c r="EN44" s="67"/>
      <c r="EO44" s="67"/>
      <c r="EP44" s="67"/>
      <c r="ET44" s="66"/>
      <c r="EW44" s="14"/>
      <c r="EY44" s="14"/>
      <c r="EZ44" s="14"/>
      <c r="FB44" s="14"/>
      <c r="FC44" s="66"/>
      <c r="FE44" s="14"/>
    </row>
    <row r="45" spans="2:161" ht="14.45" customHeight="1" x14ac:dyDescent="0.2">
      <c r="B45" s="4">
        <v>2024</v>
      </c>
      <c r="C45" s="71">
        <f t="shared" si="53"/>
        <v>12477.710267528219</v>
      </c>
      <c r="D45" s="71">
        <f t="shared" si="82"/>
        <v>10196.710267528219</v>
      </c>
      <c r="E45" s="71">
        <f>'Bayesian Sum (10Feb26)'!H40</f>
        <v>2281</v>
      </c>
      <c r="F45" s="110"/>
      <c r="G45" s="14">
        <f>'[1]Data-Nisgaa &amp; Other FN Catch'!BI37</f>
        <v>99</v>
      </c>
      <c r="H45" s="119">
        <f>'Data-Sport-Inriver (CH - new)'!C37</f>
        <v>240.33973247178227</v>
      </c>
      <c r="I45" s="14">
        <f>'Data-Chin-Nisga''a'!N39</f>
        <v>2381.9500000000003</v>
      </c>
      <c r="J45" s="14">
        <f t="shared" si="106"/>
        <v>2721.2897324717824</v>
      </c>
      <c r="L45" s="72">
        <f>'Bayesian Sum (10Feb26)'!K40</f>
        <v>15199</v>
      </c>
      <c r="M45" s="120">
        <v>1.578818744720448E-2</v>
      </c>
      <c r="N45" s="56">
        <f>'Data-Coastal-Chin-Esc (new)'!J52</f>
        <v>1842.5724046542823</v>
      </c>
      <c r="O45" s="74">
        <v>2.7085729349364494</v>
      </c>
      <c r="P45" s="14"/>
      <c r="Q45" s="110"/>
      <c r="R45" s="5">
        <f>'A6-Chin (NEW2+Khutz)'!R45-'A6b-Chin (LN&amp;CoastalCU)'!R45</f>
        <v>23.581915619964867</v>
      </c>
      <c r="S45" s="5">
        <f>'A6-Chin (NEW2+Khutz)'!S45-'A6b-Chin (LN&amp;CoastalCU)'!S45</f>
        <v>3440.4775314261187</v>
      </c>
      <c r="T45" s="14">
        <v>3526.4680589840427</v>
      </c>
      <c r="U45" s="120">
        <v>4.1226614171760972E-3</v>
      </c>
      <c r="V45" s="14">
        <f t="shared" si="3"/>
        <v>12477.710267528219</v>
      </c>
      <c r="W45" s="110"/>
      <c r="X45" s="14">
        <f t="shared" si="117"/>
        <v>99</v>
      </c>
      <c r="Y45" s="14">
        <f t="shared" si="107"/>
        <v>263.92164809174716</v>
      </c>
      <c r="Z45" s="111">
        <f t="shared" si="107"/>
        <v>5822.4275314261195</v>
      </c>
      <c r="AA45" s="111">
        <f t="shared" si="4"/>
        <v>6185.349179517867</v>
      </c>
      <c r="AB45" s="110"/>
      <c r="AC45" s="14">
        <f>'A6-Chin (NEW2+Khutz)'!AC45-'A6b-Chin (LN&amp;CoastalCU)'!AC45</f>
        <v>94.26514588970862</v>
      </c>
      <c r="AD45" s="14">
        <f>'A6-Chin (NEW2+Khutz)'!AD45-'A6b-Chin (LN&amp;CoastalCU)'!AD45</f>
        <v>239.35376922360362</v>
      </c>
      <c r="AE45" s="14">
        <f t="shared" si="57"/>
        <v>333.61891511331226</v>
      </c>
      <c r="AF45" s="110"/>
      <c r="AJ45" s="14">
        <f t="shared" si="58"/>
        <v>18996.678362159397</v>
      </c>
      <c r="AK45" s="122">
        <f>'A6-Chin (NEW2+Khutz)'!AK45-'A6b-Chin (LN&amp;CoastalCU)'!AL45</f>
        <v>888.39777546838491</v>
      </c>
      <c r="AL45" s="111">
        <f t="shared" si="108"/>
        <v>19885.076137627781</v>
      </c>
      <c r="AM45" s="111"/>
      <c r="AN45" s="14">
        <f>'[1]Data-FW Catch Rates - new'!CE39</f>
        <v>10196.710267528219</v>
      </c>
      <c r="AO45" s="123">
        <v>8.957931551251911E-3</v>
      </c>
      <c r="AP45" s="60">
        <v>15</v>
      </c>
      <c r="AQ45" s="59"/>
      <c r="AR45" s="77">
        <f t="shared" si="109"/>
        <v>0.37250880101398681</v>
      </c>
      <c r="AS45" s="61">
        <f t="shared" si="110"/>
        <v>0.15671754720705311</v>
      </c>
      <c r="AT45" s="61">
        <f t="shared" si="111"/>
        <v>1.5812864824776781E-2</v>
      </c>
      <c r="AU45" s="61">
        <f t="shared" si="112"/>
        <v>0.17904399845198909</v>
      </c>
      <c r="AV45" s="61"/>
      <c r="AW45" s="33"/>
      <c r="AX45" s="61">
        <f t="shared" si="113"/>
        <v>0.29280388423600545</v>
      </c>
      <c r="AY45" s="61">
        <f t="shared" si="37"/>
        <v>4.740497106336658E-3</v>
      </c>
      <c r="AZ45" s="61">
        <f t="shared" si="114"/>
        <v>2.5309202430611851E-2</v>
      </c>
      <c r="BA45" s="61">
        <f t="shared" si="115"/>
        <v>4.9786080432785481E-3</v>
      </c>
      <c r="BB45" s="61">
        <f t="shared" si="61"/>
        <v>0.32783219181623252</v>
      </c>
      <c r="BC45" s="61">
        <f t="shared" si="116"/>
        <v>4.4676609197754125E-2</v>
      </c>
      <c r="BD45" s="78">
        <f t="shared" si="40"/>
        <v>0.37250880101398681</v>
      </c>
      <c r="BE45" s="17"/>
      <c r="BF45" s="17"/>
      <c r="BG45" s="22"/>
      <c r="BH45" s="22"/>
      <c r="BI45" s="22"/>
      <c r="BJ45" s="17"/>
      <c r="BK45" s="22">
        <v>-12544.066728678405</v>
      </c>
      <c r="BL45" s="22">
        <v>-23961.587890781317</v>
      </c>
      <c r="BM45" s="22">
        <v>-25177.815255594567</v>
      </c>
      <c r="BS45" s="62">
        <v>138.36080344994667</v>
      </c>
      <c r="BT45" s="62">
        <v>5831.8275314261191</v>
      </c>
      <c r="BU45" s="62">
        <v>99</v>
      </c>
      <c r="BV45" s="62">
        <v>355.66851453784363</v>
      </c>
      <c r="BW45" s="62">
        <v>274.33026002970627</v>
      </c>
      <c r="BX45" s="62">
        <v>6699.1871094436156</v>
      </c>
      <c r="BY45" s="62">
        <v>23961.587890781317</v>
      </c>
      <c r="BZ45" s="79">
        <v>0.27958026571440109</v>
      </c>
      <c r="CA45" s="79">
        <v>7.3744666318003568E-2</v>
      </c>
      <c r="CB45" s="79">
        <v>0.92625533368199653</v>
      </c>
      <c r="CC45" s="79">
        <v>0.15365302332161643</v>
      </c>
      <c r="CD45" s="33"/>
      <c r="CF45" s="36">
        <v>23456.256403506191</v>
      </c>
      <c r="CG45" s="36">
        <v>24646.062196605195</v>
      </c>
      <c r="CH45" s="81">
        <f t="shared" si="100"/>
        <v>-4459.5780413467946</v>
      </c>
      <c r="CI45" s="36">
        <f t="shared" si="101"/>
        <v>-4760.9860589774144</v>
      </c>
      <c r="CJ45" s="36">
        <v>16727.626612050368</v>
      </c>
      <c r="CK45" s="81">
        <f t="shared" si="73"/>
        <v>-4249.9163445221493</v>
      </c>
      <c r="CM45" s="33">
        <f t="shared" si="84"/>
        <v>2024</v>
      </c>
      <c r="CN45" s="96">
        <f t="shared" si="91"/>
        <v>18996.678362159397</v>
      </c>
      <c r="CO45" s="97">
        <v>3929.65443371724</v>
      </c>
      <c r="CP45" s="97">
        <v>8961.5878907813167</v>
      </c>
      <c r="CQ45" s="62">
        <v>17262.400781337699</v>
      </c>
      <c r="CR45" s="98" t="s">
        <v>108</v>
      </c>
      <c r="CS45" s="114" t="s">
        <v>108</v>
      </c>
      <c r="CT45" s="99">
        <v>5031.9334570640767</v>
      </c>
      <c r="CU45" s="100">
        <v>5031.9334570640767</v>
      </c>
      <c r="CV45" s="100">
        <v>-67.465503655454086</v>
      </c>
      <c r="CW45" s="100"/>
      <c r="CX45" s="101">
        <v>5831.8275314261191</v>
      </c>
      <c r="CY45" s="102">
        <v>799.89407436204237</v>
      </c>
      <c r="CZ45" s="79">
        <v>0.1</v>
      </c>
      <c r="DA45" s="103">
        <f t="shared" si="97"/>
        <v>-503.19334570640768</v>
      </c>
      <c r="DB45" s="107">
        <v>799.89407436204237</v>
      </c>
      <c r="DC45" s="33"/>
      <c r="DD45" s="107">
        <f t="shared" si="104"/>
        <v>6558.6425222897469</v>
      </c>
      <c r="DE45" s="105">
        <f t="shared" si="98"/>
        <v>799.89407436204237</v>
      </c>
      <c r="DF45" s="105">
        <f t="shared" si="99"/>
        <v>799.89407436204237</v>
      </c>
      <c r="DH45" s="66">
        <v>0.27333011858699652</v>
      </c>
      <c r="DK45" s="106"/>
      <c r="DL45" s="106"/>
      <c r="DS45" s="14"/>
      <c r="DT45" s="14"/>
      <c r="DU45" s="14"/>
      <c r="DW45" s="14"/>
      <c r="DX45" s="14"/>
      <c r="DY45" s="14"/>
      <c r="EG45" s="14"/>
      <c r="EJ45" s="89"/>
      <c r="EL45" s="67"/>
      <c r="EM45" s="67"/>
      <c r="EN45" s="67"/>
      <c r="EO45" s="67"/>
      <c r="EP45" s="67"/>
      <c r="ET45" s="66"/>
      <c r="EW45" s="14"/>
      <c r="EY45" s="14"/>
      <c r="EZ45" s="14"/>
      <c r="FB45" s="14"/>
      <c r="FC45" s="66"/>
      <c r="FE45" s="14"/>
    </row>
    <row r="46" spans="2:161" ht="14.45" customHeight="1" x14ac:dyDescent="0.2">
      <c r="B46" s="4">
        <v>2025</v>
      </c>
      <c r="C46" s="71">
        <f t="shared" si="53"/>
        <v>10359.972690145158</v>
      </c>
      <c r="D46" s="71">
        <f t="shared" si="82"/>
        <v>8529.9726901451577</v>
      </c>
      <c r="E46" s="71">
        <f>'Bayesian Sum (10Feb26)'!H41</f>
        <v>1830</v>
      </c>
      <c r="F46" s="110"/>
      <c r="G46" s="14">
        <f>'[1]Data-Nisgaa &amp; Other FN Catch'!BI38</f>
        <v>55</v>
      </c>
      <c r="H46" s="119">
        <f>'Data-Sport-Inriver (CH - new)'!C38</f>
        <v>198.77730985484322</v>
      </c>
      <c r="I46" s="14">
        <f>'Data-Chin-Nisga''a'!N40</f>
        <v>1712.25</v>
      </c>
      <c r="J46" s="14">
        <f t="shared" si="106"/>
        <v>1966.0273098548432</v>
      </c>
      <c r="L46" s="72">
        <f>'Bayesian Sum (10Feb26)'!K41</f>
        <v>12326</v>
      </c>
      <c r="M46" s="120">
        <f>H46/L46</f>
        <v>1.6126668007045531E-2</v>
      </c>
      <c r="N46" s="56">
        <f>'Data-Coastal-Chin-Esc (new)'!J53</f>
        <v>6441.1506860547242</v>
      </c>
      <c r="O46" s="74">
        <f t="shared" si="55"/>
        <v>0</v>
      </c>
      <c r="P46" s="14"/>
      <c r="Q46" s="110"/>
      <c r="R46" s="5">
        <f>'A6-Chin (NEW2+Khutz)'!R46-'A6b-Chin (LN&amp;CoastalCU)'!R46</f>
        <v>27.858118424716402</v>
      </c>
      <c r="S46" s="5">
        <f>'A6-Chin (NEW2+Khutz)'!S46-'A6b-Chin (LN&amp;CoastalCU)'!S46</f>
        <v>3205.941025796807</v>
      </c>
      <c r="T46" s="14">
        <f>SUM(R46:S46)</f>
        <v>3233.7991442215234</v>
      </c>
      <c r="U46" s="120">
        <f>R46/SUM(T46,P46)</f>
        <v>8.6146718402397016E-3</v>
      </c>
      <c r="V46" s="14">
        <f>SUM(P46,C46)</f>
        <v>10359.972690145158</v>
      </c>
      <c r="W46" s="110"/>
      <c r="X46" s="14">
        <f t="shared" si="117"/>
        <v>55</v>
      </c>
      <c r="Y46" s="14">
        <f t="shared" si="107"/>
        <v>226.63542827955962</v>
      </c>
      <c r="Z46" s="111">
        <f t="shared" si="107"/>
        <v>4918.1910257968066</v>
      </c>
      <c r="AA46" s="111">
        <f t="shared" si="4"/>
        <v>5199.8264540763666</v>
      </c>
      <c r="AB46" s="110"/>
      <c r="AC46" s="14">
        <f>'A6-Chin (NEW2+Khutz)'!AC46-'A6b-Chin (LN&amp;CoastalCU)'!AC46</f>
        <v>53.982723870401315</v>
      </c>
      <c r="AD46" s="14">
        <f>'A6-Chin (NEW2+Khutz)'!AD46-'A6b-Chin (LN&amp;CoastalCU)'!AD46</f>
        <v>244.46103748626274</v>
      </c>
      <c r="AE46" s="14">
        <f t="shared" si="57"/>
        <v>298.44376135666403</v>
      </c>
      <c r="AF46" s="110"/>
      <c r="AJ46" s="14">
        <f t="shared" si="58"/>
        <v>15858.242905578189</v>
      </c>
      <c r="AK46" s="122">
        <f>'A6-Chin (NEW2+Khutz)'!AK46-'A6b-Chin (LN&amp;CoastalCU)'!AL46</f>
        <v>741.62584908614986</v>
      </c>
      <c r="AL46" s="111">
        <f t="shared" si="108"/>
        <v>16599.868754664338</v>
      </c>
      <c r="AM46" s="111"/>
      <c r="AN46" s="14">
        <f>'[1]Data-FW Catch Rates - new'!CE40</f>
        <v>8529.9726901451577</v>
      </c>
      <c r="AO46" s="123">
        <f>AVERAGE(AO41:AO45)</f>
        <v>1.0253708403629044E-2</v>
      </c>
      <c r="AP46" s="60">
        <f>RANK(L46,L$13:L$46,1)</f>
        <v>6</v>
      </c>
      <c r="AQ46" s="59"/>
      <c r="AR46" s="77">
        <f t="shared" si="109"/>
        <v>0.37590032528214146</v>
      </c>
      <c r="AS46" s="61">
        <f t="shared" si="110"/>
        <v>0.13891367840337498</v>
      </c>
      <c r="AT46" s="61">
        <f t="shared" si="111"/>
        <v>1.6126668007045531E-2</v>
      </c>
      <c r="AU46" s="61">
        <f t="shared" si="112"/>
        <v>0.15950245901791685</v>
      </c>
      <c r="AV46" s="61"/>
      <c r="AW46" s="33"/>
      <c r="AX46" s="61">
        <f t="shared" si="113"/>
        <v>0.2962789103025204</v>
      </c>
      <c r="AY46" s="61">
        <f t="shared" si="37"/>
        <v>3.2519970289062016E-3</v>
      </c>
      <c r="AZ46" s="61">
        <f t="shared" si="114"/>
        <v>2.8379529544982133E-2</v>
      </c>
      <c r="BA46" s="61">
        <f t="shared" si="115"/>
        <v>3.3132792079784215E-3</v>
      </c>
      <c r="BB46" s="61">
        <f t="shared" si="61"/>
        <v>0.33122371608438722</v>
      </c>
      <c r="BC46" s="61">
        <f t="shared" si="116"/>
        <v>4.4676609197754125E-2</v>
      </c>
      <c r="BD46" s="78">
        <f t="shared" si="40"/>
        <v>0.37590032528214146</v>
      </c>
      <c r="BE46" s="17"/>
      <c r="BF46" s="17"/>
      <c r="BG46" s="22"/>
      <c r="BH46" s="22"/>
      <c r="BI46" s="22"/>
      <c r="BJ46" s="17"/>
      <c r="BK46" s="22">
        <f t="shared" si="63"/>
        <v>-10359.972690145158</v>
      </c>
      <c r="BL46" s="22">
        <f t="shared" si="64"/>
        <v>-15858.242905578189</v>
      </c>
      <c r="BM46" s="22">
        <f t="shared" si="65"/>
        <v>-16599.868754664338</v>
      </c>
      <c r="BS46" s="62">
        <f t="shared" si="66"/>
        <v>53.982723870401315</v>
      </c>
      <c r="BT46" s="62">
        <f t="shared" si="10"/>
        <v>4918.1910257968066</v>
      </c>
      <c r="BU46" s="62">
        <f t="shared" si="11"/>
        <v>55</v>
      </c>
      <c r="BV46" s="62">
        <f t="shared" si="12"/>
        <v>244.46103748626274</v>
      </c>
      <c r="BW46" s="62">
        <f t="shared" si="13"/>
        <v>226.63542827955962</v>
      </c>
      <c r="BX46" s="62">
        <f t="shared" si="67"/>
        <v>5498.2702154330309</v>
      </c>
      <c r="BY46" s="62">
        <f t="shared" si="15"/>
        <v>15858.242905578189</v>
      </c>
      <c r="BZ46" s="79">
        <f t="shared" si="68"/>
        <v>0.34671370896324183</v>
      </c>
      <c r="CA46" s="79">
        <f t="shared" si="69"/>
        <v>5.4279573331802736E-2</v>
      </c>
      <c r="CB46" s="79">
        <f t="shared" si="70"/>
        <v>0.94572042666819722</v>
      </c>
      <c r="CC46" s="79">
        <f t="shared" si="19"/>
        <v>0.11885227597028834</v>
      </c>
      <c r="CD46" s="33"/>
      <c r="CF46" s="36">
        <v>28915.348636395611</v>
      </c>
      <c r="CG46" s="36">
        <v>30382.063900981411</v>
      </c>
      <c r="CH46" s="81">
        <f t="shared" si="100"/>
        <v>-13057.105730817422</v>
      </c>
      <c r="CI46" s="36">
        <f t="shared" si="101"/>
        <v>-13782.195146317074</v>
      </c>
      <c r="CJ46" s="36">
        <v>22891.063396597052</v>
      </c>
      <c r="CK46" s="81">
        <f t="shared" si="73"/>
        <v>-12531.090706451894</v>
      </c>
      <c r="CM46" s="33">
        <f t="shared" si="84"/>
        <v>2025</v>
      </c>
      <c r="CN46" s="96">
        <f t="shared" si="91"/>
        <v>15858.242905578189</v>
      </c>
      <c r="CO46" s="97">
        <f>IF((CN46-DE$2-CT46)&gt;0, (CN46-DE$2-CT46),0)</f>
        <v>0</v>
      </c>
      <c r="CP46" s="97">
        <f t="shared" si="93"/>
        <v>3330.2310101714193</v>
      </c>
      <c r="CQ46" s="62">
        <f>V46</f>
        <v>10359.972690145158</v>
      </c>
      <c r="CR46" s="98" t="str">
        <f>IF(ROUND(CQ46,-3)&gt;=DE$3,"Y","N")</f>
        <v>Y</v>
      </c>
      <c r="CS46" s="114" t="str">
        <f>IF(CQ46&gt;DE$2,"Y","N")</f>
        <v>N</v>
      </c>
      <c r="CT46" s="99">
        <f t="shared" si="102"/>
        <v>3330.2310101714193</v>
      </c>
      <c r="CU46" s="100">
        <f>IF(CR46="N",0,IF(CS46="N",(BX46-BT46)+CT46,CT46))</f>
        <v>3910.3101998076436</v>
      </c>
      <c r="CV46" s="100">
        <f>CX46-CT46-(BX46-CX46)</f>
        <v>1007.880825989163</v>
      </c>
      <c r="CW46" s="100"/>
      <c r="CX46" s="101">
        <f>BT46</f>
        <v>4918.1910257968066</v>
      </c>
      <c r="CY46" s="102">
        <f>CX46-CU46</f>
        <v>1007.880825989163</v>
      </c>
      <c r="CZ46" s="79">
        <v>0.1</v>
      </c>
      <c r="DA46" s="103">
        <f t="shared" si="97"/>
        <v>-333.02310101714193</v>
      </c>
      <c r="DB46" s="107">
        <f>IF(CX46&gt;CT46,CY46,(IF(CY46*-1&gt;(CT46*CZ46),CT46*CZ46*-1,CY46)))</f>
        <v>1007.880825989163</v>
      </c>
      <c r="DC46" s="33"/>
      <c r="DD46" s="107">
        <f t="shared" si="104"/>
        <v>7566.5233482789099</v>
      </c>
      <c r="DE46" s="105">
        <f t="shared" si="98"/>
        <v>1007.880825989163</v>
      </c>
      <c r="DF46" s="105">
        <f t="shared" si="99"/>
        <v>1007.880825989163</v>
      </c>
      <c r="DH46" s="66">
        <f>P46/V46</f>
        <v>0</v>
      </c>
      <c r="DK46" s="106"/>
      <c r="DL46" s="106"/>
      <c r="DS46" s="14"/>
      <c r="DT46" s="14"/>
      <c r="DU46" s="14"/>
      <c r="DW46" s="14"/>
      <c r="DX46" s="14"/>
      <c r="DY46" s="14"/>
      <c r="EG46" s="14"/>
      <c r="EJ46" s="89"/>
      <c r="EL46" s="67"/>
      <c r="EM46" s="67"/>
      <c r="EN46" s="67"/>
      <c r="EO46" s="67"/>
      <c r="EP46" s="67"/>
      <c r="ET46" s="66"/>
      <c r="EW46" s="14"/>
      <c r="EY46" s="14"/>
      <c r="EZ46" s="14"/>
      <c r="FB46" s="14"/>
      <c r="FC46" s="66"/>
      <c r="FE46" s="14"/>
    </row>
    <row r="47" spans="2:161" ht="4.5" customHeight="1" x14ac:dyDescent="0.2">
      <c r="B47" s="4"/>
      <c r="C47" s="4"/>
      <c r="D47" s="4"/>
      <c r="E47" s="4"/>
      <c r="AQ47" s="59"/>
      <c r="EG47" s="14"/>
      <c r="EW47" s="14">
        <f t="shared" si="27"/>
        <v>0</v>
      </c>
    </row>
    <row r="48" spans="2:161" x14ac:dyDescent="0.2">
      <c r="B48" s="4" t="s">
        <v>109</v>
      </c>
      <c r="C48" s="4"/>
      <c r="D48" s="4"/>
      <c r="E48" s="4"/>
      <c r="DE48" s="124">
        <f>SUM(DE21:DE47)</f>
        <v>3677.4673160176262</v>
      </c>
      <c r="DF48" s="124">
        <f>SUM(DF21:DF47)</f>
        <v>41010.893177335907</v>
      </c>
      <c r="EC48" s="3">
        <f>AVERAGE(EC21:EC47)</f>
        <v>0.64630494604890709</v>
      </c>
      <c r="EG48" s="14"/>
    </row>
    <row r="49" spans="1:150" x14ac:dyDescent="0.2">
      <c r="B49" s="4" t="s">
        <v>110</v>
      </c>
      <c r="C49" s="71">
        <f>ROUND(AVERAGE(C13:C20),-2)</f>
        <v>19400</v>
      </c>
      <c r="D49" s="71">
        <f t="shared" ref="D49:E49" si="119">ROUND(AVERAGE(D13:D20),-2)</f>
        <v>15800</v>
      </c>
      <c r="E49" s="71">
        <f t="shared" si="119"/>
        <v>3200</v>
      </c>
      <c r="G49" s="14">
        <f t="shared" ref="G49:L49" si="120">ROUND(AVERAGE(G13:G20),-2)</f>
        <v>300</v>
      </c>
      <c r="H49" s="14">
        <f t="shared" si="120"/>
        <v>600</v>
      </c>
      <c r="I49" s="14">
        <f t="shared" si="120"/>
        <v>1700</v>
      </c>
      <c r="J49" s="14">
        <f t="shared" si="120"/>
        <v>2600</v>
      </c>
      <c r="K49" s="3" t="e">
        <f t="shared" si="120"/>
        <v>#DIV/0!</v>
      </c>
      <c r="L49" s="14">
        <f t="shared" si="120"/>
        <v>22000</v>
      </c>
      <c r="P49" s="14" t="e">
        <f>ROUND(AVERAGE(P13:P20),-2)</f>
        <v>#DIV/0!</v>
      </c>
      <c r="R49" s="125" t="s">
        <v>106</v>
      </c>
      <c r="S49" s="14">
        <f>ROUND(AVERAGE(S13:S20),-2)</f>
        <v>5200</v>
      </c>
      <c r="T49" s="14">
        <f>ROUND(AVERAGE(T13:T20),-2)</f>
        <v>5200</v>
      </c>
      <c r="V49" s="14">
        <f>ROUND(AVERAGE(V13:V20),-2)</f>
        <v>19400</v>
      </c>
      <c r="W49" s="14"/>
      <c r="X49" s="14">
        <f>ROUND(AVERAGE(X13:X20),-2)</f>
        <v>300</v>
      </c>
      <c r="Y49" s="14">
        <f>ROUND(AVERAGE(Y13:Y20),-2)</f>
        <v>600</v>
      </c>
      <c r="Z49" s="14">
        <f>ROUND(AVERAGE(Z13:Z20),-2)</f>
        <v>7000</v>
      </c>
      <c r="AA49" s="14">
        <f>ROUND(AVERAGE(AA13:AA20),-2)</f>
        <v>7800</v>
      </c>
      <c r="AC49" s="14">
        <f>ROUND(AVERAGE(AC13:AC20),-2)</f>
        <v>5200</v>
      </c>
      <c r="AD49" s="14">
        <f>ROUND(AVERAGE(AD13:AD20),-2)</f>
        <v>3100</v>
      </c>
      <c r="AE49" s="14">
        <f>ROUND(AVERAGE(AE13:AE20),-2)</f>
        <v>8300</v>
      </c>
      <c r="AG49" s="14"/>
      <c r="AH49" s="14"/>
      <c r="AI49" s="14"/>
      <c r="AJ49" s="14">
        <f>ROUND(AVERAGE(AJ13:AJ20),-2)</f>
        <v>35500</v>
      </c>
      <c r="AK49" s="14">
        <f>ROUND(AVERAGE(AK13:AK20),-2)</f>
        <v>1700</v>
      </c>
      <c r="AL49" s="14">
        <f>ROUND(AVERAGE(AL13:AL20),-2)</f>
        <v>37200</v>
      </c>
      <c r="AR49" s="77">
        <f>AVERAGE(AR13:AR30)</f>
        <v>0.43789454853290993</v>
      </c>
      <c r="AS49" s="61">
        <f>AVERAGE(AS13:AS30)</f>
        <v>0.10068705109613391</v>
      </c>
      <c r="AT49" s="61">
        <f>AVERAGE(AT13:AT30)</f>
        <v>3.2930714398283767E-2</v>
      </c>
      <c r="AU49" s="61">
        <f>AVERAGE(AU13:AU30)</f>
        <v>0.14298442301899852</v>
      </c>
      <c r="AV49" s="61"/>
      <c r="AW49" s="33"/>
      <c r="AX49" s="61">
        <f>AVERAGE(AX13:AX47)</f>
        <v>0.22396222529865928</v>
      </c>
      <c r="AY49" s="61">
        <f>AVERAGE(AY13:AY47)</f>
        <v>7.7993910328878646E-2</v>
      </c>
      <c r="AZ49" s="61">
        <f>AVERAGE(AZ13:AZ47)</f>
        <v>6.3594684699567111E-2</v>
      </c>
      <c r="BA49" s="61"/>
      <c r="BB49" s="61">
        <f>AVERAGE(BB13:BB47)</f>
        <v>0.37137708661231256</v>
      </c>
      <c r="BC49" s="61">
        <f>AVERAGE(BC13:BC47)</f>
        <v>4.2696160563560244E-2</v>
      </c>
      <c r="DE49" s="3">
        <v>-9031</v>
      </c>
      <c r="ES49" s="3" t="s">
        <v>111</v>
      </c>
      <c r="ET49" s="66">
        <f>AVERAGE($ES$13:$ET$48)</f>
        <v>0.14892506260996255</v>
      </c>
    </row>
    <row r="50" spans="1:150" x14ac:dyDescent="0.2">
      <c r="B50" s="4" t="s">
        <v>112</v>
      </c>
      <c r="C50" s="71">
        <f>ROUND(AVERAGE(C21:C47),-2)</f>
        <v>15700</v>
      </c>
      <c r="D50" s="71">
        <f>ROUND(AVERAGE(D21:D47),-2)</f>
        <v>13000</v>
      </c>
      <c r="E50" s="71">
        <f>ROUND(AVERAGE(E21:E47),-2)</f>
        <v>2700</v>
      </c>
      <c r="G50" s="14">
        <f t="shared" ref="G50:L50" si="121">ROUND(AVERAGE(G21:G47),-2)</f>
        <v>100</v>
      </c>
      <c r="H50" s="14">
        <f t="shared" si="121"/>
        <v>600</v>
      </c>
      <c r="I50" s="14">
        <f t="shared" si="121"/>
        <v>2200</v>
      </c>
      <c r="J50" s="14">
        <f t="shared" si="121"/>
        <v>2900</v>
      </c>
      <c r="K50" s="3" t="e">
        <f t="shared" si="121"/>
        <v>#DIV/0!</v>
      </c>
      <c r="L50" s="14">
        <f t="shared" si="121"/>
        <v>18600</v>
      </c>
      <c r="P50" s="14" t="e">
        <f>ROUND(AVERAGE(P21:P47),-2)</f>
        <v>#DIV/0!</v>
      </c>
      <c r="R50" s="14">
        <f>ROUND(AVERAGE(R21:R47),-2)</f>
        <v>100</v>
      </c>
      <c r="S50" s="14">
        <f>ROUND(AVERAGE(S21:S47),-2)</f>
        <v>3500</v>
      </c>
      <c r="T50" s="14">
        <f>ROUND(AVERAGE(T21:T47),-2)</f>
        <v>3600</v>
      </c>
      <c r="V50" s="14">
        <f>ROUND(AVERAGE(V21:V47),-2)</f>
        <v>15700</v>
      </c>
      <c r="W50" s="14"/>
      <c r="X50" s="14">
        <f>ROUND(AVERAGE(X21:X47),-2)</f>
        <v>100</v>
      </c>
      <c r="Y50" s="14">
        <f>ROUND(AVERAGE(Y21:Y47),-2)</f>
        <v>700</v>
      </c>
      <c r="Z50" s="14">
        <f>ROUND(AVERAGE(Z21:Z47),-2)</f>
        <v>5700</v>
      </c>
      <c r="AA50" s="14">
        <f>ROUND(AVERAGE(AA21:AA47),-2)</f>
        <v>6500</v>
      </c>
      <c r="AC50" s="14">
        <f>ROUND(AVERAGE(AC21:AC47),-2)</f>
        <v>1700</v>
      </c>
      <c r="AD50" s="14">
        <f>ROUND(AVERAGE(AD21:AD47),-2)</f>
        <v>700</v>
      </c>
      <c r="AE50" s="14">
        <f>ROUND(AVERAGE(AE21:AE47),-2)</f>
        <v>2400</v>
      </c>
      <c r="AG50" s="14" t="e">
        <f t="shared" ref="AG50:AL50" si="122">ROUND(AVERAGE(AG21:AG47),-2)</f>
        <v>#DIV/0!</v>
      </c>
      <c r="AH50" s="14" t="e">
        <f t="shared" si="122"/>
        <v>#DIV/0!</v>
      </c>
      <c r="AI50" s="14" t="e">
        <f t="shared" si="122"/>
        <v>#DIV/0!</v>
      </c>
      <c r="AJ50" s="14">
        <f t="shared" si="122"/>
        <v>24600</v>
      </c>
      <c r="AK50" s="14">
        <f t="shared" si="122"/>
        <v>1100</v>
      </c>
      <c r="AL50" s="14">
        <f t="shared" si="122"/>
        <v>25700</v>
      </c>
      <c r="AR50" s="77">
        <f t="shared" ref="AR50:AU51" si="123">AVERAGE(AR21:AR30)</f>
        <v>0.39858595527723623</v>
      </c>
      <c r="AS50" s="61">
        <f t="shared" si="123"/>
        <v>0.11374661675412474</v>
      </c>
      <c r="AT50" s="61">
        <f t="shared" si="123"/>
        <v>3.5718157917741508E-2</v>
      </c>
      <c r="AU50" s="61">
        <f t="shared" si="123"/>
        <v>0.15712112163898054</v>
      </c>
      <c r="AV50" s="61"/>
      <c r="AW50" s="33"/>
      <c r="AX50" s="61">
        <f t="shared" ref="AX50:AZ51" si="124">AVERAGE(AX21:AX47)</f>
        <v>0.23200791468457649</v>
      </c>
      <c r="AY50" s="61">
        <f t="shared" si="124"/>
        <v>5.9237055210383242E-2</v>
      </c>
      <c r="AZ50" s="61">
        <f t="shared" si="124"/>
        <v>5.2772955599621849E-2</v>
      </c>
      <c r="BA50" s="61"/>
      <c r="BB50" s="61">
        <f>AVERAGE(BB21:BB47)</f>
        <v>0.3495884172838245</v>
      </c>
      <c r="BC50" s="61">
        <f>AVERAGE(BC21:BC47)</f>
        <v>4.2036508991546886E-2</v>
      </c>
      <c r="BE50" s="3" t="s">
        <v>112</v>
      </c>
      <c r="CF50" s="126">
        <f>ROUND(AVERAGE(CF21:CF47),-2)</f>
        <v>27000</v>
      </c>
      <c r="CG50" s="126">
        <f>ROUND(AVERAGE(CG21:CG47),-2)</f>
        <v>28200</v>
      </c>
      <c r="CH50" s="126">
        <f t="shared" ref="CH50:CK50" si="125">ROUND(AVERAGE(CH21:CH47),-2)</f>
        <v>-2200</v>
      </c>
      <c r="CI50" s="126">
        <f t="shared" si="125"/>
        <v>-2400</v>
      </c>
      <c r="CJ50" s="126">
        <f t="shared" si="125"/>
        <v>17500</v>
      </c>
      <c r="CK50" s="126">
        <f t="shared" si="125"/>
        <v>-1800</v>
      </c>
      <c r="DE50" s="124">
        <f>DE49-DE48</f>
        <v>-12708.467316017626</v>
      </c>
      <c r="DK50" s="127">
        <f>AVERAGE(DK21:DK47)</f>
        <v>9.1602117498536931E-2</v>
      </c>
      <c r="DL50" s="127">
        <f>AVERAGE(DL21:DL47)</f>
        <v>3.6767993833691691E-2</v>
      </c>
      <c r="ES50" s="3" t="s">
        <v>113</v>
      </c>
      <c r="ET50" s="66">
        <f>AVERAGE($ES$23:$ET$48)</f>
        <v>0.15609585246267665</v>
      </c>
    </row>
    <row r="51" spans="1:150" x14ac:dyDescent="0.2">
      <c r="B51" s="4" t="s">
        <v>114</v>
      </c>
      <c r="C51" s="71">
        <f>ROUND(AVERAGE(C15:C47),-2)</f>
        <v>16300</v>
      </c>
      <c r="D51" s="71">
        <f>ROUND(AVERAGE(D15:D47),-2)</f>
        <v>13500</v>
      </c>
      <c r="E51" s="71">
        <f>ROUND(AVERAGE(E15:E47),-2)</f>
        <v>2800</v>
      </c>
      <c r="G51" s="14">
        <f>ROUND(AVERAGE(G15:G47),-2)</f>
        <v>100</v>
      </c>
      <c r="H51" s="14">
        <f>ROUND(AVERAGE(H15:H47),-2)</f>
        <v>500</v>
      </c>
      <c r="I51" s="14">
        <f>ROUND(AVERAGE(I15:I47),-2)</f>
        <v>2100</v>
      </c>
      <c r="J51" s="14">
        <f>ROUND(AVERAGE(J15:J47),-2)</f>
        <v>2800</v>
      </c>
      <c r="K51" s="3" t="e">
        <f>ROUND(AVERAGE(K15:K47),-2)</f>
        <v>#DIV/0!</v>
      </c>
      <c r="L51" s="14">
        <f>ROUND(AVERAGE(L15:L47),-1)</f>
        <v>19090</v>
      </c>
      <c r="P51" s="14" t="e">
        <f>ROUND(AVERAGE(P15:P47),-2)</f>
        <v>#DIV/0!</v>
      </c>
      <c r="R51" s="14">
        <f>ROUND(AVERAGE(R15:R47),-2)</f>
        <v>100</v>
      </c>
      <c r="S51" s="14">
        <f>ROUND(AVERAGE(S15:S47),-2)</f>
        <v>3900</v>
      </c>
      <c r="T51" s="14">
        <f>ROUND(AVERAGE(T15:T47),-2)</f>
        <v>4000</v>
      </c>
      <c r="V51" s="14">
        <f>ROUND(AVERAGE(V15:V47),-2)</f>
        <v>16300</v>
      </c>
      <c r="W51" s="14"/>
      <c r="X51" s="14">
        <f>ROUND(AVERAGE(X15:X47),-2)</f>
        <v>100</v>
      </c>
      <c r="Y51" s="14">
        <f>ROUND(AVERAGE(Y15:Y47),-2)</f>
        <v>600</v>
      </c>
      <c r="Z51" s="14">
        <f>ROUND(AVERAGE(Z15:Z47),-2)</f>
        <v>6000</v>
      </c>
      <c r="AA51" s="14">
        <f>ROUND(AVERAGE(AA15:AA47),-2)</f>
        <v>6700</v>
      </c>
      <c r="AC51" s="14">
        <f>ROUND(AVERAGE(AC15:AC47),-2)</f>
        <v>2300</v>
      </c>
      <c r="AD51" s="14">
        <f>ROUND(AVERAGE(AD15:AD47),-2)</f>
        <v>1100</v>
      </c>
      <c r="AE51" s="14">
        <f>ROUND(AVERAGE(AE15:AE47),-2)</f>
        <v>3400</v>
      </c>
      <c r="AG51" s="14" t="e">
        <f t="shared" ref="AG51:AL51" si="126">ROUND(AVERAGE(AG15:AG47),-2)</f>
        <v>#DIV/0!</v>
      </c>
      <c r="AH51" s="14" t="e">
        <f t="shared" si="126"/>
        <v>#DIV/0!</v>
      </c>
      <c r="AI51" s="14" t="e">
        <f t="shared" si="126"/>
        <v>#DIV/0!</v>
      </c>
      <c r="AJ51" s="14">
        <f t="shared" si="126"/>
        <v>26500</v>
      </c>
      <c r="AK51" s="14">
        <f t="shared" si="126"/>
        <v>1200</v>
      </c>
      <c r="AL51" s="14">
        <f t="shared" si="126"/>
        <v>27600</v>
      </c>
      <c r="AR51" s="77">
        <f t="shared" si="123"/>
        <v>0.38324782820381043</v>
      </c>
      <c r="AS51" s="61">
        <f t="shared" si="123"/>
        <v>0.11074912822449556</v>
      </c>
      <c r="AT51" s="61">
        <f t="shared" si="123"/>
        <v>3.3645120747684283E-2</v>
      </c>
      <c r="AU51" s="61">
        <f t="shared" si="123"/>
        <v>0.1522611965865962</v>
      </c>
      <c r="AV51" s="61"/>
      <c r="AW51" s="33"/>
      <c r="AX51" s="61">
        <f t="shared" si="124"/>
        <v>0.23012089522076259</v>
      </c>
      <c r="AY51" s="61">
        <f t="shared" si="124"/>
        <v>5.9628149844172314E-2</v>
      </c>
      <c r="AZ51" s="61">
        <f t="shared" si="124"/>
        <v>5.2314291459931897E-2</v>
      </c>
      <c r="BA51" s="61"/>
      <c r="BB51" s="61">
        <f>AVERAGE(BB22:BB48)</f>
        <v>0.34779586830484982</v>
      </c>
      <c r="BC51" s="61">
        <f>AVERAGE(BC22:BC48)</f>
        <v>4.1926718854247341E-2</v>
      </c>
      <c r="BE51" s="3" t="s">
        <v>114</v>
      </c>
      <c r="CF51" s="126">
        <f>ROUND(AVERAGE(CF15:CF47),-2)</f>
        <v>28900</v>
      </c>
      <c r="CG51" s="126">
        <f>ROUND(AVERAGE(CG15:CG47),-2)</f>
        <v>30300</v>
      </c>
      <c r="CH51" s="126">
        <f t="shared" ref="CH51:CK51" si="127">ROUND(AVERAGE(CH15:CH47),-2)</f>
        <v>-1300</v>
      </c>
      <c r="CI51" s="126">
        <f t="shared" si="127"/>
        <v>-1400</v>
      </c>
      <c r="CJ51" s="126">
        <f t="shared" si="127"/>
        <v>18000</v>
      </c>
      <c r="CK51" s="126">
        <f t="shared" si="127"/>
        <v>-1700</v>
      </c>
      <c r="DH51" s="66">
        <f>AVERAGE(DH$13:DH47)</f>
        <v>8.2827308662726216E-3</v>
      </c>
      <c r="DK51" s="127">
        <f>AVERAGE(DK22:DK48)</f>
        <v>9.522245626342983E-2</v>
      </c>
      <c r="DL51" s="127">
        <f>AVERAGE(DL22:DL48)</f>
        <v>3.7568793551444928E-2</v>
      </c>
      <c r="ES51" s="3" t="s">
        <v>113</v>
      </c>
      <c r="ET51" s="66">
        <f>AVERAGE($ES$23:$ET$48)</f>
        <v>0.15609585246267665</v>
      </c>
    </row>
    <row r="52" spans="1:150" ht="4.5" customHeight="1" thickBot="1" x14ac:dyDescent="0.25">
      <c r="B52" s="4"/>
      <c r="C52" s="71"/>
      <c r="D52" s="71"/>
      <c r="E52" s="71"/>
      <c r="G52" s="14"/>
      <c r="H52" s="14"/>
      <c r="I52" s="14"/>
      <c r="J52" s="14"/>
      <c r="L52" s="14"/>
      <c r="P52" s="14"/>
      <c r="R52" s="14"/>
      <c r="S52" s="14"/>
      <c r="T52" s="14"/>
      <c r="V52" s="14"/>
      <c r="X52" s="14"/>
      <c r="Y52" s="14"/>
      <c r="Z52" s="14"/>
      <c r="AA52" s="14"/>
      <c r="AC52" s="14"/>
      <c r="AD52" s="14"/>
      <c r="AE52" s="14"/>
      <c r="AG52" s="14"/>
      <c r="AH52" s="14"/>
      <c r="AI52" s="14"/>
      <c r="AJ52" s="14"/>
      <c r="AK52" s="14"/>
      <c r="AL52" s="14"/>
      <c r="AR52" s="128"/>
      <c r="AS52" s="106"/>
      <c r="AT52" s="106"/>
      <c r="AU52" s="106"/>
      <c r="AV52" s="106"/>
      <c r="AX52" s="106"/>
      <c r="AY52" s="106"/>
      <c r="AZ52" s="106"/>
      <c r="BA52" s="106"/>
      <c r="BB52" s="106"/>
      <c r="BC52" s="106"/>
      <c r="BG52" s="3"/>
      <c r="BH52" s="3"/>
      <c r="BI52" s="3"/>
      <c r="BK52" s="3"/>
      <c r="BL52" s="3"/>
      <c r="BM52" s="3"/>
      <c r="CF52" s="8"/>
      <c r="CG52" s="8"/>
      <c r="DK52" s="127"/>
      <c r="DL52" s="127"/>
    </row>
    <row r="53" spans="1:150" ht="13.5" thickBot="1" x14ac:dyDescent="0.25">
      <c r="B53" s="4" t="s">
        <v>115</v>
      </c>
      <c r="C53" s="71">
        <f>MIN(C$13:C47)</f>
        <v>5793.8</v>
      </c>
      <c r="D53" s="71">
        <f>MIN(D$13:D47)</f>
        <v>4591.8</v>
      </c>
      <c r="E53" s="71">
        <f>MIN(E$13:E47)</f>
        <v>1202</v>
      </c>
      <c r="G53" s="14">
        <f>MIN(G$13:G47)</f>
        <v>24</v>
      </c>
      <c r="H53" s="14">
        <f>MIN(H$13:H47)</f>
        <v>82</v>
      </c>
      <c r="I53" s="14">
        <f>MIN(I$13:I47)</f>
        <v>1054.2</v>
      </c>
      <c r="J53" s="14">
        <f>MIN(J$13:J47)</f>
        <v>1276.2</v>
      </c>
      <c r="L53" s="14">
        <f>MIN(L$13:L47)</f>
        <v>7070</v>
      </c>
      <c r="P53" s="14">
        <f>MIN(P$13:P47)</f>
        <v>0</v>
      </c>
      <c r="R53" s="14">
        <f>MIN(R$13:R47)</f>
        <v>0.86242083168467465</v>
      </c>
      <c r="S53" s="14">
        <f>MIN(S$13:S47)</f>
        <v>1618.3999999999999</v>
      </c>
      <c r="T53" s="14">
        <f>MIN(T$13:T47)</f>
        <v>1664.1440192695411</v>
      </c>
      <c r="V53" s="14">
        <f>MIN(V$13:V47)</f>
        <v>5793.8</v>
      </c>
      <c r="X53" s="14">
        <f>MIN(X$13:X47)</f>
        <v>24</v>
      </c>
      <c r="Y53" s="14">
        <f>MIN(Y$13:Y47)</f>
        <v>82</v>
      </c>
      <c r="Z53" s="14">
        <f>MIN(Z$13:Z47)</f>
        <v>3206.2</v>
      </c>
      <c r="AA53" s="14">
        <f>MIN(AA$13:AA47)</f>
        <v>3477.5562032691605</v>
      </c>
      <c r="AC53" s="14">
        <f>MIN(AC$13:AC47)</f>
        <v>19.22499361794323</v>
      </c>
      <c r="AD53" s="14">
        <f>MIN(AD$13:AD47)</f>
        <v>205.39868584198717</v>
      </c>
      <c r="AE53" s="14">
        <f>MIN(AE$13:AE47)</f>
        <v>266.54999863647078</v>
      </c>
      <c r="AG53" s="14">
        <f>MIN(AG$13:AG47)</f>
        <v>0</v>
      </c>
      <c r="AH53" s="14">
        <f>MIN(AH$13:AH47)</f>
        <v>0</v>
      </c>
      <c r="AI53" s="14">
        <f>MIN(AI$13:AI47)</f>
        <v>0</v>
      </c>
      <c r="AJ53" s="14">
        <f>MIN(AJ$13:AJ47)</f>
        <v>11582.726555563861</v>
      </c>
      <c r="AK53" s="14">
        <f>MIN(AK$13:AK47)</f>
        <v>162.16699679781513</v>
      </c>
      <c r="AL53" s="14">
        <f>MIN(AL$13:AL47)</f>
        <v>12200.865617397763</v>
      </c>
      <c r="AR53" s="77">
        <f>MIN(AR$13:AR47)</f>
        <v>0.26035178014923493</v>
      </c>
      <c r="AS53" s="106"/>
      <c r="AT53" s="106"/>
      <c r="AU53" s="106"/>
      <c r="AV53" s="106"/>
      <c r="AX53" s="106"/>
      <c r="AY53" s="106"/>
      <c r="AZ53" s="106"/>
      <c r="BA53" s="106"/>
      <c r="BB53" s="129" t="s">
        <v>116</v>
      </c>
      <c r="BC53" s="130">
        <f>AVERAGE(BC28:BC38)</f>
        <v>4.4676609197754125E-2</v>
      </c>
      <c r="BE53" s="3" t="s">
        <v>115</v>
      </c>
      <c r="CF53" s="126">
        <f>MIN(CF$13:CF47)</f>
        <v>11083.400911215593</v>
      </c>
      <c r="CG53" s="126">
        <f>MIN(CG$13:CG47)</f>
        <v>11765.400911215593</v>
      </c>
      <c r="CH53" s="126">
        <f>MIN(CH$13:CH47)</f>
        <v>-13057.105730817422</v>
      </c>
      <c r="CI53" s="126">
        <f>MIN(CI$13:CI47)</f>
        <v>-13782.195146317074</v>
      </c>
      <c r="CJ53" s="126">
        <f>MIN(CJ$13:CJ47)</f>
        <v>4989.2409112155929</v>
      </c>
      <c r="CK53" s="126">
        <f>MIN(CK$13:CK47)</f>
        <v>-12531.090706451894</v>
      </c>
      <c r="DH53" s="66">
        <f>MIN(DH$13:DH47)</f>
        <v>0</v>
      </c>
      <c r="DK53" s="127"/>
      <c r="DL53" s="127"/>
      <c r="EI53" s="131">
        <f>AVERAGE(EI29:EI31)</f>
        <v>0</v>
      </c>
      <c r="EJ53" s="131">
        <f>AVERAGE(EJ31)</f>
        <v>0</v>
      </c>
      <c r="ET53" s="66">
        <f>MIN($ES$13:$ET$48)</f>
        <v>7.8982399053394464E-2</v>
      </c>
    </row>
    <row r="54" spans="1:150" x14ac:dyDescent="0.2">
      <c r="B54" s="4" t="s">
        <v>117</v>
      </c>
      <c r="C54" s="71">
        <f>MAX(C$13:C47)</f>
        <v>30740</v>
      </c>
      <c r="D54" s="71">
        <f>MAX(D$13:D47)</f>
        <v>25724</v>
      </c>
      <c r="E54" s="71">
        <f>MAX(E$13:E47)</f>
        <v>5317</v>
      </c>
      <c r="G54" s="14">
        <f>MAX(G$13:G47)</f>
        <v>612</v>
      </c>
      <c r="H54" s="14">
        <f>MAX(H$13:H47)</f>
        <v>1339</v>
      </c>
      <c r="I54" s="14">
        <f>MAX(I$13:I47)</f>
        <v>5457</v>
      </c>
      <c r="J54" s="14">
        <f>MAX(J$13:J47)</f>
        <v>6374</v>
      </c>
      <c r="L54" s="14">
        <f>MAX(L$13:L47)</f>
        <v>35715</v>
      </c>
      <c r="P54" s="14">
        <f>MAX(P$13:P47)</f>
        <v>0</v>
      </c>
      <c r="R54" s="14">
        <f>MAX(R$13:R47)</f>
        <v>454.35555358686236</v>
      </c>
      <c r="S54" s="14">
        <f>MAX(S$13:S47)</f>
        <v>7171.1346122711311</v>
      </c>
      <c r="T54" s="14">
        <f>MAX(T$13:T47)</f>
        <v>7171.1346122711311</v>
      </c>
      <c r="V54" s="14">
        <f>MAX(V$13:V47)</f>
        <v>30740</v>
      </c>
      <c r="X54" s="14">
        <f>MAX(X$13:X47)</f>
        <v>612</v>
      </c>
      <c r="Y54" s="14">
        <f>MAX(Y$13:Y47)</f>
        <v>1409.0572015091905</v>
      </c>
      <c r="Z54" s="14">
        <f>MAX(Z$13:Z47)</f>
        <v>11270</v>
      </c>
      <c r="AA54" s="14">
        <f>MAX(AA$13:AA47)</f>
        <v>12467.784000068936</v>
      </c>
      <c r="AC54" s="14">
        <f>MAX(AC$13:AC47)</f>
        <v>7148.6732285933958</v>
      </c>
      <c r="AD54" s="14">
        <f>MAX(AD$13:AD47)</f>
        <v>4195.5804945186637</v>
      </c>
      <c r="AE54" s="14">
        <f>MAX(AE$13:AE47)</f>
        <v>11344.253723112059</v>
      </c>
      <c r="AG54" s="14">
        <f>MAX(AG$13:AG47)</f>
        <v>0</v>
      </c>
      <c r="AH54" s="14">
        <f>MAX(AH$13:AH47)</f>
        <v>0</v>
      </c>
      <c r="AI54" s="14">
        <f>MAX(AI$13:AI47)</f>
        <v>0</v>
      </c>
      <c r="AJ54" s="14">
        <f>MAX(AJ$13:AJ47)</f>
        <v>45169.994222952148</v>
      </c>
      <c r="AK54" s="14">
        <f>MAX(AK$13:AK47)</f>
        <v>2118.8422519578617</v>
      </c>
      <c r="AL54" s="14">
        <f>MAX(AL$13:AL47)</f>
        <v>47288.836474910007</v>
      </c>
      <c r="AR54" s="77">
        <f>MAX(AR$13:AR47)</f>
        <v>0.58309504598941253</v>
      </c>
      <c r="AS54" s="106"/>
      <c r="AT54" s="106"/>
      <c r="AU54" s="106"/>
      <c r="AV54" s="106"/>
      <c r="AX54" s="106"/>
      <c r="AY54" s="106"/>
      <c r="AZ54" s="106"/>
      <c r="BA54" s="106"/>
      <c r="BB54" s="106"/>
      <c r="BC54" s="106"/>
      <c r="BE54" s="3" t="s">
        <v>117</v>
      </c>
      <c r="CF54" s="126">
        <f>MAX(CF$13:CF47)</f>
        <v>47505.849332349782</v>
      </c>
      <c r="CG54" s="126">
        <f>MAX(CG$13:CG47)</f>
        <v>49905.849332349782</v>
      </c>
      <c r="CH54" s="126">
        <f>MAX(CH$13:CH47)</f>
        <v>5787.7480244114631</v>
      </c>
      <c r="CI54" s="126">
        <f>MAX(CI$13:CI47)</f>
        <v>6282.4874905563993</v>
      </c>
      <c r="CJ54" s="126">
        <f>MAX(CJ$13:CJ47)</f>
        <v>31863.840516420514</v>
      </c>
      <c r="CK54" s="126">
        <f>MAX(CK$13:CK47)</f>
        <v>2442.8038674311465</v>
      </c>
      <c r="DH54" s="66">
        <f>MAX(DH$13:DH47)</f>
        <v>0.27333011858699652</v>
      </c>
      <c r="DK54" s="127"/>
      <c r="DL54" s="127"/>
      <c r="EI54" s="131">
        <f>1-EI53</f>
        <v>1</v>
      </c>
      <c r="ET54" s="66">
        <f>MIN($ES$23:$ET$48)</f>
        <v>8.8409563409563408E-2</v>
      </c>
    </row>
    <row r="55" spans="1:150" ht="6" customHeight="1" x14ac:dyDescent="0.2">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c r="AJ55" s="13"/>
      <c r="AK55" s="13"/>
      <c r="AL55" s="13"/>
    </row>
    <row r="56" spans="1:150" ht="15.75" customHeight="1" x14ac:dyDescent="0.2">
      <c r="A56" s="132" t="s">
        <v>118</v>
      </c>
      <c r="B56" s="133" t="s">
        <v>119</v>
      </c>
      <c r="AS56" s="985" t="s">
        <v>120</v>
      </c>
      <c r="AT56" s="985"/>
      <c r="BS56" s="33"/>
      <c r="BT56" s="33" t="s">
        <v>121</v>
      </c>
      <c r="BU56" s="33" t="s">
        <v>122</v>
      </c>
      <c r="BV56" s="33" t="s">
        <v>57</v>
      </c>
      <c r="BW56" s="33" t="s">
        <v>43</v>
      </c>
      <c r="BX56" s="33"/>
      <c r="BY56" s="33" t="s">
        <v>123</v>
      </c>
      <c r="BZ56" s="33" t="s">
        <v>124</v>
      </c>
      <c r="CA56" s="33"/>
      <c r="EI56" s="5">
        <f>C33*EI53</f>
        <v>0</v>
      </c>
      <c r="EJ56" s="14">
        <f>$C33+EI56</f>
        <v>9380.7999999999993</v>
      </c>
      <c r="EK56" s="89">
        <f>EI56/EJ56</f>
        <v>0</v>
      </c>
      <c r="ET56" s="66">
        <f>MAX($ES$13:$ET$48)</f>
        <v>0.21926133475453194</v>
      </c>
    </row>
    <row r="57" spans="1:150" ht="15.75" customHeight="1" thickBot="1" x14ac:dyDescent="0.25">
      <c r="A57" s="132" t="s">
        <v>125</v>
      </c>
      <c r="B57" s="133" t="s">
        <v>126</v>
      </c>
      <c r="AR57" s="134">
        <v>2011</v>
      </c>
      <c r="AS57" s="134">
        <v>2011</v>
      </c>
      <c r="AT57" s="135">
        <v>2012</v>
      </c>
      <c r="AU57" s="134">
        <v>2013</v>
      </c>
      <c r="AV57" s="134">
        <v>2014</v>
      </c>
      <c r="AW57" s="134">
        <v>2015</v>
      </c>
      <c r="AX57" s="134">
        <v>2016</v>
      </c>
      <c r="AY57" s="134">
        <v>2017</v>
      </c>
      <c r="AZ57" s="33">
        <v>2018</v>
      </c>
      <c r="BA57" s="33">
        <v>2019</v>
      </c>
      <c r="BB57" s="33">
        <v>2020</v>
      </c>
      <c r="BC57" s="33">
        <v>2021</v>
      </c>
      <c r="BD57" s="33">
        <v>2022</v>
      </c>
      <c r="BE57" s="33">
        <v>2023</v>
      </c>
      <c r="BF57" s="33">
        <v>2024</v>
      </c>
      <c r="BG57" s="33">
        <v>2025</v>
      </c>
      <c r="BO57" s="33">
        <v>1986</v>
      </c>
      <c r="BS57" s="33">
        <f t="shared" ref="BS57:BS75" si="128">B13</f>
        <v>1992</v>
      </c>
      <c r="BT57" s="77"/>
      <c r="BU57" s="77"/>
      <c r="BV57" s="77"/>
      <c r="BW57" s="77"/>
      <c r="BX57" s="33"/>
      <c r="BY57" s="62">
        <f t="shared" ref="BY57:BY74" si="129">P13</f>
        <v>0</v>
      </c>
      <c r="BZ57" s="62">
        <f t="shared" ref="BZ57:BZ74" si="130">V13</f>
        <v>16808</v>
      </c>
      <c r="CA57" s="136">
        <f>BY57/BZ57</f>
        <v>0</v>
      </c>
      <c r="EI57" s="5">
        <f>C33*(EJ53)</f>
        <v>0</v>
      </c>
      <c r="EJ57" s="14">
        <f>$C33+EI57</f>
        <v>9380.7999999999993</v>
      </c>
      <c r="EK57" s="89">
        <f>EI57/EJ57</f>
        <v>0</v>
      </c>
      <c r="ET57" s="66">
        <f>MAX($ES$23:$ET$48)</f>
        <v>0.19755851022471038</v>
      </c>
    </row>
    <row r="58" spans="1:150" ht="15.75" customHeight="1" thickBot="1" x14ac:dyDescent="0.25">
      <c r="A58" s="132" t="s">
        <v>127</v>
      </c>
      <c r="B58" s="133" t="s">
        <v>128</v>
      </c>
      <c r="AQ58" s="137"/>
      <c r="AR58" s="138">
        <f>CA74</f>
        <v>0</v>
      </c>
      <c r="AS58" s="138">
        <f>AK31/AJ31</f>
        <v>3.0038072069939307E-2</v>
      </c>
      <c r="AT58" s="139">
        <f>AK31/AJ31</f>
        <v>3.0038072069939307E-2</v>
      </c>
      <c r="AU58" s="140">
        <f>AT58</f>
        <v>3.0038072069939307E-2</v>
      </c>
      <c r="AV58" s="140">
        <f>AU58</f>
        <v>3.0038072069939307E-2</v>
      </c>
      <c r="AW58" s="140">
        <f>AV58</f>
        <v>3.0038072069939307E-2</v>
      </c>
      <c r="AX58" s="140">
        <f>AW58</f>
        <v>3.0038072069939307E-2</v>
      </c>
      <c r="AY58" s="140">
        <f>AX58</f>
        <v>3.0038072069939307E-2</v>
      </c>
      <c r="AZ58" s="78">
        <f>BC39</f>
        <v>4.4676609197754125E-2</v>
      </c>
      <c r="BA58" s="78">
        <f>BC39</f>
        <v>4.4676609197754125E-2</v>
      </c>
      <c r="BB58" s="78">
        <f>BC41</f>
        <v>4.4676609197754125E-2</v>
      </c>
      <c r="BC58" s="78">
        <f>$BC42</f>
        <v>4.4676609197754125E-2</v>
      </c>
      <c r="BD58" s="78">
        <f>$BC42</f>
        <v>4.4676609197754125E-2</v>
      </c>
      <c r="BE58" s="78">
        <f>$BC46</f>
        <v>4.4676609197754125E-2</v>
      </c>
      <c r="BF58" s="78">
        <f>$BC46</f>
        <v>4.4676609197754125E-2</v>
      </c>
      <c r="BG58" s="78">
        <f>$BC46</f>
        <v>4.4676609197754125E-2</v>
      </c>
      <c r="BJ58" s="17"/>
      <c r="BO58" s="78">
        <f>BC53</f>
        <v>4.4676609197754125E-2</v>
      </c>
      <c r="BS58" s="33">
        <f t="shared" si="128"/>
        <v>1993</v>
      </c>
      <c r="BT58" s="77">
        <f>G13/$J13</f>
        <v>0.18777770989835516</v>
      </c>
      <c r="BU58" s="77">
        <f>I13/$J13</f>
        <v>0.40138184311815206</v>
      </c>
      <c r="BV58" s="77">
        <f>H13/$J13</f>
        <v>0.4108404469834927</v>
      </c>
      <c r="BW58" s="77">
        <f>J13/$J13</f>
        <v>1</v>
      </c>
      <c r="BX58" s="33"/>
      <c r="BY58" s="62">
        <f t="shared" si="129"/>
        <v>0</v>
      </c>
      <c r="BZ58" s="62">
        <f t="shared" si="130"/>
        <v>24814</v>
      </c>
      <c r="CA58" s="136">
        <f>BY58/BZ58</f>
        <v>0</v>
      </c>
    </row>
    <row r="59" spans="1:150" ht="15.75" customHeight="1" x14ac:dyDescent="0.2">
      <c r="A59" s="132" t="s">
        <v>129</v>
      </c>
      <c r="B59" s="133" t="s">
        <v>130</v>
      </c>
      <c r="AN59" s="3">
        <v>676</v>
      </c>
      <c r="AR59" s="14"/>
      <c r="AS59" s="14"/>
      <c r="AT59" s="14"/>
      <c r="BG59" s="3"/>
      <c r="BS59" s="33">
        <f t="shared" si="128"/>
        <v>1994</v>
      </c>
      <c r="BT59" s="77">
        <f>G14/$J14</f>
        <v>0.19298074669137172</v>
      </c>
      <c r="BU59" s="77">
        <f>I14/$J14</f>
        <v>0.49085246331259752</v>
      </c>
      <c r="BV59" s="77">
        <f>H14/$J14</f>
        <v>0.31616678999603071</v>
      </c>
      <c r="BW59" s="77">
        <f>J14/$J14</f>
        <v>1</v>
      </c>
      <c r="BX59" s="33"/>
      <c r="BY59" s="62">
        <f t="shared" si="129"/>
        <v>0</v>
      </c>
      <c r="BZ59" s="62">
        <f t="shared" si="130"/>
        <v>23639.335228763888</v>
      </c>
      <c r="CA59" s="136">
        <f t="shared" ref="CA59:CA64" si="131">BY59/BZ59</f>
        <v>0</v>
      </c>
    </row>
    <row r="60" spans="1:150" ht="15.75" x14ac:dyDescent="0.2">
      <c r="A60" s="132" t="s">
        <v>131</v>
      </c>
      <c r="B60" s="133" t="s">
        <v>132</v>
      </c>
      <c r="AN60" s="3">
        <v>1731</v>
      </c>
      <c r="AR60" s="127">
        <f t="shared" ref="AR60:BE60" si="132">1-AR58</f>
        <v>1</v>
      </c>
      <c r="AS60" s="127">
        <f t="shared" si="132"/>
        <v>0.96996192793006064</v>
      </c>
      <c r="AT60" s="127">
        <f t="shared" si="132"/>
        <v>0.96996192793006064</v>
      </c>
      <c r="AU60" s="127">
        <f t="shared" si="132"/>
        <v>0.96996192793006064</v>
      </c>
      <c r="AV60" s="127">
        <f t="shared" si="132"/>
        <v>0.96996192793006064</v>
      </c>
      <c r="AW60" s="127">
        <f t="shared" si="132"/>
        <v>0.96996192793006064</v>
      </c>
      <c r="AX60" s="127">
        <f t="shared" si="132"/>
        <v>0.96996192793006064</v>
      </c>
      <c r="AY60" s="127">
        <f t="shared" si="132"/>
        <v>0.96996192793006064</v>
      </c>
      <c r="AZ60" s="127">
        <f t="shared" si="132"/>
        <v>0.95532339080224582</v>
      </c>
      <c r="BA60" s="127">
        <f t="shared" si="132"/>
        <v>0.95532339080224582</v>
      </c>
      <c r="BB60" s="127">
        <f t="shared" si="132"/>
        <v>0.95532339080224582</v>
      </c>
      <c r="BC60" s="127">
        <f t="shared" si="132"/>
        <v>0.95532339080224582</v>
      </c>
      <c r="BD60" s="127">
        <f t="shared" si="132"/>
        <v>0.95532339080224582</v>
      </c>
      <c r="BE60" s="127">
        <f t="shared" si="132"/>
        <v>0.95532339080224582</v>
      </c>
      <c r="BF60" s="127">
        <f>1-BF58</f>
        <v>0.95532339080224582</v>
      </c>
      <c r="BG60" s="127">
        <f>1-BG58</f>
        <v>0.95532339080224582</v>
      </c>
      <c r="BJ60" s="127"/>
      <c r="BO60" s="127">
        <f>1-BO58</f>
        <v>0.95532339080224582</v>
      </c>
      <c r="BS60" s="33">
        <f t="shared" si="128"/>
        <v>1995</v>
      </c>
      <c r="BT60" s="77">
        <f t="shared" ref="BT60:BT65" si="133">G16/$J16</f>
        <v>2.7913572764141074E-2</v>
      </c>
      <c r="BU60" s="77">
        <f t="shared" ref="BU60:BU65" si="134">I16/$J16</f>
        <v>0.70264291235977494</v>
      </c>
      <c r="BV60" s="77">
        <f t="shared" ref="BV60:BV65" si="135">H16/$J16</f>
        <v>0.26944351487608398</v>
      </c>
      <c r="BW60" s="77">
        <f t="shared" ref="BW60:BW65" si="136">J16/$J16</f>
        <v>1</v>
      </c>
      <c r="BX60" s="33"/>
      <c r="BY60" s="62">
        <f t="shared" si="129"/>
        <v>0</v>
      </c>
      <c r="BZ60" s="62">
        <f t="shared" si="130"/>
        <v>9184.6096579476871</v>
      </c>
      <c r="CA60" s="136">
        <f t="shared" si="131"/>
        <v>0</v>
      </c>
    </row>
    <row r="61" spans="1:150" ht="15.75" customHeight="1" x14ac:dyDescent="0.2">
      <c r="A61" s="132" t="s">
        <v>133</v>
      </c>
      <c r="B61" s="141" t="s">
        <v>134</v>
      </c>
      <c r="AN61" s="3">
        <v>1824</v>
      </c>
      <c r="AQ61" s="3" t="s">
        <v>63</v>
      </c>
      <c r="AR61" s="72">
        <f>C32/AR60</f>
        <v>10555.2</v>
      </c>
      <c r="AS61" s="72">
        <f>AJ32/AS60</f>
        <v>18273.145048712264</v>
      </c>
      <c r="AT61" s="72">
        <f>$AJ33/AT60</f>
        <v>15448.790682857438</v>
      </c>
      <c r="AU61" s="72">
        <f>$AJ34/AU60</f>
        <v>16750.064656136245</v>
      </c>
      <c r="AV61" s="72">
        <f>$AJ35/AV60</f>
        <v>23979.475923435195</v>
      </c>
      <c r="AW61" s="72">
        <f>$AJ36/AW60</f>
        <v>32377.680657332945</v>
      </c>
      <c r="AX61" s="72">
        <f>$AJ37/AX60</f>
        <v>18826.777228496143</v>
      </c>
      <c r="AY61" s="72">
        <f>$AJ38/AY60</f>
        <v>11941.423907515507</v>
      </c>
      <c r="AZ61" s="72">
        <f>$AJ39/AZ60</f>
        <v>25389.188138665293</v>
      </c>
      <c r="BA61" s="72">
        <f>$AJ40/BA60</f>
        <v>20626.717485569654</v>
      </c>
      <c r="BB61" s="72">
        <f>$AJ41/BB60</f>
        <v>20167.460854334258</v>
      </c>
      <c r="BC61" s="72">
        <f>$AJ42/BC60</f>
        <v>19027.862800594627</v>
      </c>
      <c r="BD61" s="72">
        <f>$AJ43/BD60</f>
        <v>19684.656634012768</v>
      </c>
      <c r="BE61" s="72">
        <f>$AJ44/BE60</f>
        <v>14135.115757129151</v>
      </c>
      <c r="BF61" s="72">
        <f>$AJ45/BF60</f>
        <v>19885.076137627781</v>
      </c>
      <c r="BG61" s="72">
        <f>$AJ46/BG60</f>
        <v>16599.868754664338</v>
      </c>
      <c r="BJ61" s="14"/>
      <c r="BO61" s="14">
        <f>$AJ7/BO60</f>
        <v>50586.893907443977</v>
      </c>
      <c r="BS61" s="33">
        <f t="shared" si="128"/>
        <v>1996</v>
      </c>
      <c r="BT61" s="77">
        <f t="shared" si="133"/>
        <v>2.075976917669126E-2</v>
      </c>
      <c r="BU61" s="77">
        <f t="shared" si="134"/>
        <v>0.77715023291959995</v>
      </c>
      <c r="BV61" s="77">
        <f t="shared" si="135"/>
        <v>0.2020899979037088</v>
      </c>
      <c r="BW61" s="77">
        <f t="shared" si="136"/>
        <v>1</v>
      </c>
      <c r="BX61" s="33"/>
      <c r="BY61" s="62">
        <f t="shared" si="129"/>
        <v>0</v>
      </c>
      <c r="BZ61" s="62">
        <f t="shared" si="130"/>
        <v>21721.665471087395</v>
      </c>
      <c r="CA61" s="136">
        <f t="shared" si="131"/>
        <v>0</v>
      </c>
    </row>
    <row r="62" spans="1:150" ht="15.75" customHeight="1" x14ac:dyDescent="0.2">
      <c r="A62" s="132"/>
      <c r="B62" s="141" t="s">
        <v>135</v>
      </c>
      <c r="AN62" s="3">
        <v>2214</v>
      </c>
      <c r="AQ62" s="3" t="s">
        <v>62</v>
      </c>
      <c r="AR62" s="14">
        <f>C32</f>
        <v>10555.2</v>
      </c>
      <c r="AS62" s="14">
        <f>AJ32</f>
        <v>17724.25500079459</v>
      </c>
      <c r="AT62" s="14">
        <f>$AJ33</f>
        <v>14984.738794932358</v>
      </c>
      <c r="AU62" s="14">
        <f>$AJ34</f>
        <v>16246.925006819079</v>
      </c>
      <c r="AV62" s="14">
        <f>$AJ35</f>
        <v>23259.178697447674</v>
      </c>
      <c r="AW62" s="14">
        <f>$AJ36</f>
        <v>31405.117552290496</v>
      </c>
      <c r="AX62" s="14">
        <f>$AJ37</f>
        <v>18261.257137261884</v>
      </c>
      <c r="AY62" s="14">
        <f>$AJ38</f>
        <v>11582.726555563861</v>
      </c>
      <c r="AZ62" s="14">
        <f>$AJ39</f>
        <v>24254.885302345887</v>
      </c>
      <c r="BA62" s="14">
        <f>$AJ40</f>
        <v>19705.185689434376</v>
      </c>
      <c r="BB62" s="14">
        <f>$AJ41</f>
        <v>19266.447087234163</v>
      </c>
      <c r="BC62" s="14">
        <f>$AJ42</f>
        <v>18177.762410383977</v>
      </c>
      <c r="BD62" s="14">
        <f>$AJ43</f>
        <v>18805.212922383002</v>
      </c>
      <c r="BE62" s="14">
        <f>$AJ44</f>
        <v>13503.606714482876</v>
      </c>
      <c r="BF62" s="14">
        <f>$AJ45</f>
        <v>18996.678362159397</v>
      </c>
      <c r="BG62" s="14">
        <f>$AJ46</f>
        <v>15858.242905578189</v>
      </c>
      <c r="BJ62" s="14"/>
      <c r="BO62" s="14">
        <f>$AJ7</f>
        <v>48326.843017812847</v>
      </c>
      <c r="BS62" s="33">
        <f t="shared" si="128"/>
        <v>1997</v>
      </c>
      <c r="BT62" s="77">
        <f t="shared" si="133"/>
        <v>1.9332995545298253E-2</v>
      </c>
      <c r="BU62" s="77">
        <f t="shared" si="134"/>
        <v>0.8849450996816397</v>
      </c>
      <c r="BV62" s="77">
        <f t="shared" si="135"/>
        <v>9.5721904773062083E-2</v>
      </c>
      <c r="BW62" s="77">
        <f t="shared" si="136"/>
        <v>1</v>
      </c>
      <c r="BX62" s="33"/>
      <c r="BY62" s="62">
        <f t="shared" si="129"/>
        <v>0</v>
      </c>
      <c r="BZ62" s="62">
        <f t="shared" si="130"/>
        <v>21372.273291925467</v>
      </c>
      <c r="CA62" s="136">
        <f t="shared" si="131"/>
        <v>0</v>
      </c>
    </row>
    <row r="63" spans="1:150" ht="15.75" customHeight="1" thickBot="1" x14ac:dyDescent="0.25">
      <c r="A63" s="132"/>
      <c r="B63" s="141" t="s">
        <v>136</v>
      </c>
      <c r="AN63" s="3">
        <f>SUM(AN59:AN62)</f>
        <v>6445</v>
      </c>
      <c r="AR63" s="142">
        <f t="shared" ref="AR63:BC63" si="137">AR61-AR62</f>
        <v>0</v>
      </c>
      <c r="AS63" s="143">
        <f t="shared" si="137"/>
        <v>548.89004791767366</v>
      </c>
      <c r="AT63" s="143">
        <f t="shared" si="137"/>
        <v>464.05188792507943</v>
      </c>
      <c r="AU63" s="143">
        <f t="shared" si="137"/>
        <v>503.13964931716509</v>
      </c>
      <c r="AV63" s="143">
        <f t="shared" si="137"/>
        <v>720.29722598752051</v>
      </c>
      <c r="AW63" s="143">
        <f t="shared" si="137"/>
        <v>972.56310504244902</v>
      </c>
      <c r="AX63" s="143">
        <f t="shared" si="137"/>
        <v>565.52009123425887</v>
      </c>
      <c r="AY63" s="143">
        <f t="shared" si="137"/>
        <v>358.69735195164685</v>
      </c>
      <c r="AZ63" s="143">
        <f t="shared" si="137"/>
        <v>1134.3028363194062</v>
      </c>
      <c r="BA63" s="143">
        <f t="shared" si="137"/>
        <v>921.53179613527755</v>
      </c>
      <c r="BB63" s="143">
        <f t="shared" si="137"/>
        <v>901.01376710009572</v>
      </c>
      <c r="BC63" s="143">
        <f t="shared" si="137"/>
        <v>850.10039021064949</v>
      </c>
      <c r="BD63" s="143">
        <f>BD61-BD62</f>
        <v>879.44371162976677</v>
      </c>
      <c r="BE63" s="143">
        <f>BE61-BE62</f>
        <v>631.5090426462757</v>
      </c>
      <c r="BF63" s="143">
        <f>BF61-BF62</f>
        <v>888.39777546838377</v>
      </c>
      <c r="BG63" s="143">
        <f>BG61-BG62</f>
        <v>741.62584908614917</v>
      </c>
      <c r="BJ63" s="14"/>
      <c r="BO63" s="143">
        <f>BO61-BO62</f>
        <v>2260.0508896311294</v>
      </c>
      <c r="BS63" s="33">
        <f t="shared" si="128"/>
        <v>1998</v>
      </c>
      <c r="BT63" s="77">
        <f t="shared" si="133"/>
        <v>0.16151685393258428</v>
      </c>
      <c r="BU63" s="77">
        <f t="shared" si="134"/>
        <v>0.74672284644194753</v>
      </c>
      <c r="BV63" s="77">
        <f t="shared" si="135"/>
        <v>9.1760299625468167E-2</v>
      </c>
      <c r="BW63" s="77">
        <f t="shared" si="136"/>
        <v>1</v>
      </c>
      <c r="BX63" s="33"/>
      <c r="BY63" s="62">
        <f t="shared" si="129"/>
        <v>0</v>
      </c>
      <c r="BZ63" s="62">
        <f t="shared" si="130"/>
        <v>24908</v>
      </c>
      <c r="CA63" s="136">
        <f t="shared" si="131"/>
        <v>0</v>
      </c>
    </row>
    <row r="64" spans="1:150" ht="15.75" customHeight="1" thickBot="1" x14ac:dyDescent="0.25">
      <c r="B64" s="141" t="s">
        <v>137</v>
      </c>
      <c r="AR64" s="144">
        <f t="shared" ref="AR64:BC64" si="138">AR63/AR61</f>
        <v>0</v>
      </c>
      <c r="AS64" s="144">
        <f t="shared" si="138"/>
        <v>3.003807206993931E-2</v>
      </c>
      <c r="AT64" s="144">
        <f t="shared" si="138"/>
        <v>3.0038072069939362E-2</v>
      </c>
      <c r="AU64" s="144">
        <f t="shared" si="138"/>
        <v>3.0038072069939394E-2</v>
      </c>
      <c r="AV64" s="144">
        <f t="shared" si="138"/>
        <v>3.0038072069939293E-2</v>
      </c>
      <c r="AW64" s="144">
        <f t="shared" si="138"/>
        <v>3.0038072069939373E-2</v>
      </c>
      <c r="AX64" s="144">
        <f t="shared" si="138"/>
        <v>3.0038072069939283E-2</v>
      </c>
      <c r="AY64" s="144">
        <f t="shared" si="138"/>
        <v>3.0038072069939289E-2</v>
      </c>
      <c r="AZ64" s="144">
        <f t="shared" si="138"/>
        <v>4.4676609197754222E-2</v>
      </c>
      <c r="BA64" s="144">
        <f t="shared" si="138"/>
        <v>4.4676609197754152E-2</v>
      </c>
      <c r="BB64" s="144">
        <f t="shared" si="138"/>
        <v>4.4676609197754104E-2</v>
      </c>
      <c r="BC64" s="144">
        <f t="shared" si="138"/>
        <v>4.4676609197754125E-2</v>
      </c>
      <c r="BD64" s="144">
        <f>BD63/BD61</f>
        <v>4.4676609197754132E-2</v>
      </c>
      <c r="BE64" s="144">
        <f>BE63/BE61</f>
        <v>4.4676609197754139E-2</v>
      </c>
      <c r="BF64" s="144">
        <f>BF63/BF61</f>
        <v>4.4676609197754194E-2</v>
      </c>
      <c r="BG64" s="144">
        <f>BG63/BG61</f>
        <v>4.4676609197754194E-2</v>
      </c>
      <c r="BJ64" s="14"/>
      <c r="BO64" s="144">
        <f>BO63/BO61</f>
        <v>4.4676609197754236E-2</v>
      </c>
      <c r="BS64" s="33">
        <f t="shared" si="128"/>
        <v>1999</v>
      </c>
      <c r="BT64" s="77">
        <f t="shared" si="133"/>
        <v>0.10249601699415826</v>
      </c>
      <c r="BU64" s="77">
        <f t="shared" si="134"/>
        <v>0.85395645246946361</v>
      </c>
      <c r="BV64" s="77">
        <f t="shared" si="135"/>
        <v>4.3547530536378123E-2</v>
      </c>
      <c r="BW64" s="77">
        <f t="shared" si="136"/>
        <v>1</v>
      </c>
      <c r="BX64" s="33"/>
      <c r="BY64" s="62">
        <f t="shared" si="129"/>
        <v>0</v>
      </c>
      <c r="BZ64" s="62">
        <f t="shared" si="130"/>
        <v>13069</v>
      </c>
      <c r="CA64" s="136">
        <f t="shared" si="131"/>
        <v>0</v>
      </c>
    </row>
    <row r="65" spans="1:79" ht="15.75" customHeight="1" x14ac:dyDescent="0.2">
      <c r="A65" s="132" t="s">
        <v>138</v>
      </c>
      <c r="B65" s="133" t="s">
        <v>139</v>
      </c>
      <c r="AR65" s="145">
        <f>P32/V32</f>
        <v>0</v>
      </c>
      <c r="BE65" s="14"/>
      <c r="BF65" s="14"/>
      <c r="BJ65" s="14"/>
      <c r="BS65" s="33">
        <f t="shared" si="128"/>
        <v>2000</v>
      </c>
      <c r="BT65" s="77">
        <f t="shared" si="133"/>
        <v>1.3725490196078431E-2</v>
      </c>
      <c r="BU65" s="77">
        <f t="shared" si="134"/>
        <v>0.69971988795518203</v>
      </c>
      <c r="BV65" s="77">
        <f t="shared" si="135"/>
        <v>0.28655462184873948</v>
      </c>
      <c r="BW65" s="77">
        <f t="shared" si="136"/>
        <v>1</v>
      </c>
      <c r="BX65" s="33"/>
      <c r="BY65" s="62">
        <f t="shared" si="129"/>
        <v>0</v>
      </c>
      <c r="BZ65" s="62">
        <f t="shared" si="130"/>
        <v>18085</v>
      </c>
      <c r="CA65" s="136">
        <f>BY65/BZ65</f>
        <v>0</v>
      </c>
    </row>
    <row r="66" spans="1:79" ht="15.75" customHeight="1" x14ac:dyDescent="0.2">
      <c r="A66" s="132" t="s">
        <v>140</v>
      </c>
      <c r="B66" s="133" t="s">
        <v>141</v>
      </c>
      <c r="AS66" s="136">
        <f>AK32/AL32</f>
        <v>7.2069065267087187E-2</v>
      </c>
      <c r="AT66" s="136">
        <f>AK31/AL31</f>
        <v>2.9162098843177255E-2</v>
      </c>
      <c r="AZ66" s="3">
        <f>AZ62/(1-AZ58)</f>
        <v>25389.188138665293</v>
      </c>
      <c r="BC66" s="3">
        <f>BO62/(1-BO58)</f>
        <v>50586.893907443977</v>
      </c>
      <c r="BS66" s="33">
        <f t="shared" si="128"/>
        <v>2001</v>
      </c>
      <c r="BT66" s="77">
        <f t="shared" ref="BT66:BT74" si="139">G23/$J23</f>
        <v>5.5331623305240017E-2</v>
      </c>
      <c r="BU66" s="77">
        <f t="shared" ref="BU66:BU74" si="140">I23/$J23</f>
        <v>0.68706485892268232</v>
      </c>
      <c r="BV66" s="77">
        <f t="shared" ref="BV66:BV74" si="141">H23/$J23</f>
        <v>0.25760351777207768</v>
      </c>
      <c r="BW66" s="77">
        <f t="shared" ref="BW66:BW74" si="142">J23/$J23</f>
        <v>1</v>
      </c>
      <c r="BX66" s="33"/>
      <c r="BY66" s="62">
        <f t="shared" si="129"/>
        <v>0</v>
      </c>
      <c r="BZ66" s="62">
        <f t="shared" si="130"/>
        <v>29341</v>
      </c>
      <c r="CA66" s="136">
        <f t="shared" ref="CA66:CA73" si="143">BY66/BZ66</f>
        <v>0</v>
      </c>
    </row>
    <row r="67" spans="1:79" ht="15.75" customHeight="1" x14ac:dyDescent="0.2">
      <c r="A67" s="132" t="s">
        <v>142</v>
      </c>
      <c r="B67" s="133" t="s">
        <v>143</v>
      </c>
      <c r="BS67" s="33">
        <f t="shared" si="128"/>
        <v>2002</v>
      </c>
      <c r="BT67" s="77">
        <f t="shared" si="139"/>
        <v>5.008301051466519E-2</v>
      </c>
      <c r="BU67" s="77">
        <f t="shared" si="140"/>
        <v>0.66491422246817933</v>
      </c>
      <c r="BV67" s="77">
        <f t="shared" si="141"/>
        <v>0.28500276701715549</v>
      </c>
      <c r="BW67" s="77">
        <f t="shared" si="142"/>
        <v>1</v>
      </c>
      <c r="BX67" s="33"/>
      <c r="BY67" s="62">
        <f t="shared" si="129"/>
        <v>0</v>
      </c>
      <c r="BZ67" s="62">
        <f t="shared" si="130"/>
        <v>14360</v>
      </c>
      <c r="CA67" s="136">
        <f t="shared" si="143"/>
        <v>0</v>
      </c>
    </row>
    <row r="68" spans="1:79" ht="15.75" customHeight="1" x14ac:dyDescent="0.2">
      <c r="A68" s="132" t="s">
        <v>144</v>
      </c>
      <c r="B68" s="133" t="s">
        <v>145</v>
      </c>
      <c r="BS68" s="33">
        <f t="shared" si="128"/>
        <v>2003</v>
      </c>
      <c r="BT68" s="77">
        <f t="shared" si="139"/>
        <v>8.0212038780777012E-2</v>
      </c>
      <c r="BU68" s="77">
        <f t="shared" si="140"/>
        <v>0.69554300062774643</v>
      </c>
      <c r="BV68" s="77">
        <f t="shared" si="141"/>
        <v>0.22424496059147658</v>
      </c>
      <c r="BW68" s="77">
        <f t="shared" si="142"/>
        <v>1</v>
      </c>
      <c r="BX68" s="33"/>
      <c r="BY68" s="62">
        <f t="shared" si="129"/>
        <v>0</v>
      </c>
      <c r="BZ68" s="62">
        <f t="shared" si="130"/>
        <v>30740</v>
      </c>
      <c r="CA68" s="136">
        <f t="shared" si="143"/>
        <v>0</v>
      </c>
    </row>
    <row r="69" spans="1:79" x14ac:dyDescent="0.2">
      <c r="B69" s="133" t="s">
        <v>146</v>
      </c>
      <c r="AR69" s="3" t="s">
        <v>147</v>
      </c>
      <c r="BS69" s="33">
        <f t="shared" si="128"/>
        <v>2004</v>
      </c>
      <c r="BT69" s="77">
        <f t="shared" si="139"/>
        <v>5.832138668056823E-2</v>
      </c>
      <c r="BU69" s="77">
        <f t="shared" si="140"/>
        <v>0.74618793170858855</v>
      </c>
      <c r="BV69" s="77">
        <f t="shared" si="141"/>
        <v>0.19549068161084324</v>
      </c>
      <c r="BW69" s="77">
        <f t="shared" si="142"/>
        <v>1</v>
      </c>
      <c r="BX69" s="33"/>
      <c r="BY69" s="62">
        <f t="shared" si="129"/>
        <v>0</v>
      </c>
      <c r="BZ69" s="62">
        <f t="shared" si="130"/>
        <v>13736.6</v>
      </c>
      <c r="CA69" s="136">
        <f t="shared" si="143"/>
        <v>0</v>
      </c>
    </row>
    <row r="70" spans="1:79" ht="15.75" x14ac:dyDescent="0.2">
      <c r="A70" s="132" t="s">
        <v>148</v>
      </c>
      <c r="B70" s="133" t="s">
        <v>149</v>
      </c>
      <c r="BS70" s="33">
        <f t="shared" si="128"/>
        <v>2005</v>
      </c>
      <c r="BT70" s="77">
        <f t="shared" si="139"/>
        <v>9.0254136647929709E-2</v>
      </c>
      <c r="BU70" s="77">
        <f t="shared" si="140"/>
        <v>0.70944501622991063</v>
      </c>
      <c r="BV70" s="77">
        <f t="shared" si="141"/>
        <v>0.20030084712215979</v>
      </c>
      <c r="BW70" s="77">
        <f t="shared" si="142"/>
        <v>1</v>
      </c>
      <c r="BX70" s="33"/>
      <c r="BY70" s="62">
        <f t="shared" si="129"/>
        <v>0</v>
      </c>
      <c r="BZ70" s="62">
        <f t="shared" si="130"/>
        <v>13109.8</v>
      </c>
      <c r="CA70" s="136">
        <f t="shared" si="143"/>
        <v>0</v>
      </c>
    </row>
    <row r="71" spans="1:79" ht="15.75" x14ac:dyDescent="0.2">
      <c r="A71" s="132"/>
      <c r="B71" s="132"/>
      <c r="C71" s="132"/>
      <c r="D71" s="132"/>
      <c r="E71" s="132"/>
      <c r="F71" s="132"/>
      <c r="G71" s="132"/>
      <c r="H71" s="132"/>
      <c r="I71" s="132"/>
      <c r="J71" s="132"/>
      <c r="K71" s="132"/>
      <c r="L71" s="132"/>
      <c r="M71" s="132"/>
      <c r="N71" s="132"/>
      <c r="O71" s="132"/>
      <c r="P71" s="132"/>
      <c r="Q71" s="132"/>
      <c r="R71" s="132"/>
      <c r="S71" s="132"/>
      <c r="T71" s="132"/>
      <c r="U71" s="132"/>
      <c r="V71" s="132"/>
      <c r="W71" s="132"/>
      <c r="X71" s="132"/>
      <c r="Y71" s="132"/>
      <c r="Z71" s="132"/>
      <c r="AA71" s="132"/>
      <c r="AB71" s="132"/>
      <c r="AC71" s="132"/>
      <c r="AD71" s="132"/>
      <c r="AE71" s="132"/>
      <c r="AF71" s="132"/>
      <c r="AG71" s="132"/>
      <c r="AH71" s="132"/>
      <c r="AI71" s="132"/>
      <c r="AJ71" s="132"/>
      <c r="AK71" s="132"/>
      <c r="AL71" s="132"/>
      <c r="AM71" s="132"/>
      <c r="AN71" s="132"/>
      <c r="BS71" s="33">
        <f t="shared" si="128"/>
        <v>2006</v>
      </c>
      <c r="BT71" s="77">
        <f t="shared" si="139"/>
        <v>4.7229219143576822E-3</v>
      </c>
      <c r="BU71" s="77">
        <f t="shared" si="140"/>
        <v>0.80537625944584379</v>
      </c>
      <c r="BV71" s="77">
        <f t="shared" si="141"/>
        <v>0.18990081863979846</v>
      </c>
      <c r="BW71" s="77">
        <f t="shared" si="142"/>
        <v>1</v>
      </c>
      <c r="BX71" s="33"/>
      <c r="BY71" s="62">
        <f t="shared" si="129"/>
        <v>0</v>
      </c>
      <c r="BZ71" s="62">
        <f t="shared" si="130"/>
        <v>22580.6</v>
      </c>
      <c r="CA71" s="136">
        <f t="shared" si="143"/>
        <v>0</v>
      </c>
    </row>
    <row r="72" spans="1:79" ht="15.75" x14ac:dyDescent="0.2">
      <c r="A72" s="132"/>
      <c r="B72" s="132"/>
      <c r="C72" s="132"/>
      <c r="D72" s="132"/>
      <c r="E72" s="132"/>
      <c r="F72" s="132"/>
      <c r="G72" s="132"/>
      <c r="H72" s="132"/>
      <c r="I72" s="132"/>
      <c r="J72" s="132"/>
      <c r="K72" s="132"/>
      <c r="L72" s="132"/>
      <c r="M72" s="132"/>
      <c r="N72" s="132"/>
      <c r="O72" s="132"/>
      <c r="P72" s="132"/>
      <c r="Q72" s="132"/>
      <c r="R72" s="132"/>
      <c r="S72" s="132"/>
      <c r="T72" s="132"/>
      <c r="U72" s="132"/>
      <c r="V72" s="132"/>
      <c r="W72" s="132"/>
      <c r="X72" s="132"/>
      <c r="Y72" s="132"/>
      <c r="Z72" s="132"/>
      <c r="AA72" s="132"/>
      <c r="AB72" s="132"/>
      <c r="AC72" s="132"/>
      <c r="AD72" s="132"/>
      <c r="AE72" s="132"/>
      <c r="AF72" s="132"/>
      <c r="AG72" s="132"/>
      <c r="AH72" s="132"/>
      <c r="AI72" s="132"/>
      <c r="AJ72" s="132"/>
      <c r="AK72" s="132"/>
      <c r="AL72" s="132"/>
      <c r="AM72" s="132"/>
      <c r="AN72" s="132"/>
      <c r="BS72" s="33">
        <f t="shared" si="128"/>
        <v>2007</v>
      </c>
      <c r="BT72" s="77">
        <f t="shared" si="139"/>
        <v>8.5243974132863026E-2</v>
      </c>
      <c r="BU72" s="77">
        <f t="shared" si="140"/>
        <v>0.53507740544777582</v>
      </c>
      <c r="BV72" s="77">
        <f t="shared" si="141"/>
        <v>0.37967862041936118</v>
      </c>
      <c r="BW72" s="77">
        <f t="shared" si="142"/>
        <v>1</v>
      </c>
      <c r="BX72" s="33"/>
      <c r="BY72" s="62">
        <f t="shared" si="129"/>
        <v>0</v>
      </c>
      <c r="BZ72" s="62">
        <f t="shared" si="130"/>
        <v>20640.400000000001</v>
      </c>
      <c r="CA72" s="136">
        <f t="shared" si="143"/>
        <v>0</v>
      </c>
    </row>
    <row r="73" spans="1:79" ht="15.75" x14ac:dyDescent="0.2">
      <c r="A73" s="132"/>
      <c r="B73" s="132"/>
      <c r="C73" s="132"/>
      <c r="D73" s="132"/>
      <c r="E73" s="132"/>
      <c r="F73" s="132"/>
      <c r="G73" s="132"/>
      <c r="H73" s="132"/>
      <c r="I73" s="132"/>
      <c r="J73" s="132"/>
      <c r="K73" s="132"/>
      <c r="L73" s="132"/>
      <c r="M73" s="132"/>
      <c r="N73" s="132"/>
      <c r="O73" s="132"/>
      <c r="P73" s="132"/>
      <c r="Q73" s="132"/>
      <c r="R73" s="132"/>
      <c r="S73" s="132"/>
      <c r="T73" s="132"/>
      <c r="U73" s="132"/>
      <c r="V73" s="132"/>
      <c r="W73" s="132"/>
      <c r="X73" s="132"/>
      <c r="Y73" s="132"/>
      <c r="Z73" s="132"/>
      <c r="AA73" s="132"/>
      <c r="AB73" s="132"/>
      <c r="AC73" s="132"/>
      <c r="AD73" s="132"/>
      <c r="AE73" s="132"/>
      <c r="AF73" s="132"/>
      <c r="AG73" s="132"/>
      <c r="AH73" s="132"/>
      <c r="AI73" s="132"/>
      <c r="AJ73" s="132"/>
      <c r="AK73" s="132"/>
      <c r="AL73" s="132"/>
      <c r="AM73" s="132"/>
      <c r="AN73" s="132"/>
      <c r="BS73" s="33">
        <f t="shared" si="128"/>
        <v>2008</v>
      </c>
      <c r="BT73" s="77">
        <f t="shared" si="139"/>
        <v>3.679212449659424E-2</v>
      </c>
      <c r="BU73" s="77">
        <f t="shared" si="140"/>
        <v>0.69696216377467313</v>
      </c>
      <c r="BV73" s="77">
        <f t="shared" si="141"/>
        <v>0.26624571172873268</v>
      </c>
      <c r="BW73" s="77">
        <f t="shared" si="142"/>
        <v>1</v>
      </c>
      <c r="BX73" s="33"/>
      <c r="BY73" s="62">
        <f t="shared" si="129"/>
        <v>0</v>
      </c>
      <c r="BZ73" s="62">
        <f t="shared" si="130"/>
        <v>21046.799999999999</v>
      </c>
      <c r="CA73" s="136">
        <f t="shared" si="143"/>
        <v>0</v>
      </c>
    </row>
    <row r="74" spans="1:79" x14ac:dyDescent="0.2">
      <c r="A74" s="3">
        <v>1</v>
      </c>
      <c r="B74" s="3">
        <v>1</v>
      </c>
      <c r="C74" s="3">
        <v>2</v>
      </c>
      <c r="D74" s="3">
        <v>3</v>
      </c>
      <c r="E74" s="3">
        <v>4</v>
      </c>
      <c r="F74" s="3">
        <v>5</v>
      </c>
      <c r="G74" s="3">
        <v>6</v>
      </c>
      <c r="H74" s="3">
        <v>7</v>
      </c>
      <c r="I74" s="3">
        <v>8</v>
      </c>
      <c r="J74" s="3">
        <v>9</v>
      </c>
      <c r="K74" s="3">
        <v>10</v>
      </c>
      <c r="L74" s="3">
        <v>11</v>
      </c>
      <c r="M74" s="3">
        <v>12</v>
      </c>
      <c r="N74" s="3">
        <v>13</v>
      </c>
      <c r="O74" s="3">
        <v>14</v>
      </c>
      <c r="P74" s="3">
        <v>15</v>
      </c>
      <c r="Q74" s="3">
        <v>16</v>
      </c>
      <c r="R74" s="3">
        <v>17</v>
      </c>
      <c r="S74" s="3">
        <v>18</v>
      </c>
      <c r="T74" s="3">
        <v>19</v>
      </c>
      <c r="U74" s="3">
        <v>20</v>
      </c>
      <c r="V74" s="3">
        <v>21</v>
      </c>
      <c r="W74" s="3">
        <v>22</v>
      </c>
      <c r="X74" s="3">
        <v>23</v>
      </c>
      <c r="Y74" s="3">
        <v>24</v>
      </c>
      <c r="Z74" s="3">
        <v>25</v>
      </c>
      <c r="AA74" s="3">
        <v>26</v>
      </c>
      <c r="AB74" s="3">
        <v>27</v>
      </c>
      <c r="AC74" s="3">
        <v>28</v>
      </c>
      <c r="AD74" s="3">
        <v>29</v>
      </c>
      <c r="AE74" s="3">
        <v>30</v>
      </c>
      <c r="AF74" s="3">
        <v>31</v>
      </c>
      <c r="AG74" s="3">
        <v>32</v>
      </c>
      <c r="AH74" s="3">
        <v>33</v>
      </c>
      <c r="AI74" s="3">
        <v>34</v>
      </c>
      <c r="AJ74" s="3">
        <v>35</v>
      </c>
      <c r="AK74" s="3">
        <v>36</v>
      </c>
      <c r="AL74" s="3">
        <v>37</v>
      </c>
      <c r="BS74" s="33">
        <f t="shared" si="128"/>
        <v>2009</v>
      </c>
      <c r="BT74" s="77">
        <f t="shared" si="139"/>
        <v>3.7577931505679389E-2</v>
      </c>
      <c r="BU74" s="77">
        <f t="shared" si="140"/>
        <v>0.73439234776667517</v>
      </c>
      <c r="BV74" s="77">
        <f t="shared" si="141"/>
        <v>0.22802972072764538</v>
      </c>
      <c r="BW74" s="77">
        <f t="shared" si="142"/>
        <v>1</v>
      </c>
      <c r="BX74" s="33"/>
      <c r="BY74" s="62">
        <f t="shared" si="129"/>
        <v>0</v>
      </c>
      <c r="BZ74" s="62">
        <f t="shared" si="130"/>
        <v>26500.400000000001</v>
      </c>
      <c r="CA74" s="136">
        <f>BY74/BZ74</f>
        <v>0</v>
      </c>
    </row>
    <row r="75" spans="1:79" ht="15.75" x14ac:dyDescent="0.2">
      <c r="A75" s="132"/>
      <c r="BS75" s="33">
        <f t="shared" si="128"/>
        <v>2010</v>
      </c>
      <c r="BT75" s="77"/>
      <c r="BU75" s="77"/>
      <c r="BV75" s="77"/>
      <c r="BW75" s="77"/>
      <c r="BX75" s="33"/>
      <c r="BY75" s="62"/>
      <c r="BZ75" s="62"/>
      <c r="CA75" s="136"/>
    </row>
    <row r="76" spans="1:79" ht="15.75" x14ac:dyDescent="0.2">
      <c r="A76" s="132"/>
      <c r="B76" s="3">
        <v>2018</v>
      </c>
      <c r="BS76" s="3" t="s">
        <v>150</v>
      </c>
      <c r="BT76" s="131">
        <f>AVERAGE(BT65:BT73)</f>
        <v>5.274296740767484E-2</v>
      </c>
      <c r="BU76" s="131">
        <f>AVERAGE(BU65:BU73)</f>
        <v>0.69336563850895361</v>
      </c>
      <c r="BV76" s="131">
        <f>AVERAGE(BV65:BV73)</f>
        <v>0.25389139408337158</v>
      </c>
      <c r="BW76" s="131">
        <f>AVERAGE(BW65:BW73)</f>
        <v>1</v>
      </c>
      <c r="BY76" s="14">
        <f>AVERAGE(BY65:BY75)</f>
        <v>0</v>
      </c>
      <c r="BZ76" s="14">
        <f>AVERAGE(BZ65:BZ75)</f>
        <v>21014.059999999998</v>
      </c>
      <c r="CA76" s="145">
        <f>BY76/BZ76</f>
        <v>0</v>
      </c>
    </row>
    <row r="77" spans="1:79" ht="15.75" x14ac:dyDescent="0.2">
      <c r="A77" s="132"/>
    </row>
    <row r="78" spans="1:79" ht="15.75" x14ac:dyDescent="0.2">
      <c r="A78" s="132"/>
      <c r="B78" s="3">
        <v>2017</v>
      </c>
      <c r="C78" s="14">
        <f>AVERAGE(C15:C37)</f>
        <v>18068.568854335848</v>
      </c>
      <c r="D78" s="14"/>
      <c r="E78" s="14"/>
      <c r="L78" s="14">
        <f>AVERAGE(L15:L37)</f>
        <v>21115.260869565216</v>
      </c>
      <c r="M78" s="3">
        <f>L38/L78</f>
        <v>0.33482892035638762</v>
      </c>
      <c r="AJ78" s="14">
        <f>AVERAGE(AJ15:AJ37)</f>
        <v>29894.153505837774</v>
      </c>
      <c r="AK78" s="3">
        <f>AJ38/AJ78</f>
        <v>0.38745792060316975</v>
      </c>
      <c r="AR78" s="66">
        <f>AVERAGE(AR15:AR37)</f>
        <v>0.42548693226764989</v>
      </c>
      <c r="AS78" s="66">
        <f>AR38-AR78</f>
        <v>9.9645121335304232E-2</v>
      </c>
    </row>
    <row r="79" spans="1:79" ht="15.75" x14ac:dyDescent="0.2">
      <c r="A79" s="132"/>
      <c r="L79" s="66"/>
      <c r="AR79" s="146"/>
    </row>
    <row r="80" spans="1:79" ht="15.75" x14ac:dyDescent="0.2">
      <c r="A80" s="132"/>
    </row>
    <row r="81" spans="1:38" ht="15.75" x14ac:dyDescent="0.2">
      <c r="A81" s="132"/>
    </row>
    <row r="82" spans="1:38" ht="15.75" x14ac:dyDescent="0.2">
      <c r="A82" s="132"/>
    </row>
    <row r="83" spans="1:38" ht="15.75" x14ac:dyDescent="0.2">
      <c r="A83" s="132"/>
    </row>
    <row r="84" spans="1:38" ht="15.75" x14ac:dyDescent="0.2">
      <c r="A84" s="132"/>
      <c r="B84" s="3" t="s">
        <v>151</v>
      </c>
      <c r="C84" s="14">
        <f>ROUND(AVERAGE(C13:C29),-3)</f>
        <v>20000</v>
      </c>
      <c r="D84" s="14"/>
      <c r="E84" s="14"/>
      <c r="F84" s="14" t="e">
        <f t="shared" ref="F84:AL84" si="144">ROUND(AVERAGE(F13:F29),-3)</f>
        <v>#DIV/0!</v>
      </c>
      <c r="G84" s="14">
        <f t="shared" si="144"/>
        <v>0</v>
      </c>
      <c r="H84" s="14">
        <f t="shared" si="144"/>
        <v>1000</v>
      </c>
      <c r="I84" s="14">
        <f t="shared" si="144"/>
        <v>2000</v>
      </c>
      <c r="J84" s="14">
        <f t="shared" si="144"/>
        <v>3000</v>
      </c>
      <c r="K84" s="14" t="e">
        <f t="shared" si="144"/>
        <v>#DIV/0!</v>
      </c>
      <c r="L84" s="14">
        <f t="shared" si="144"/>
        <v>23000</v>
      </c>
      <c r="M84" s="14"/>
      <c r="N84" s="14">
        <f t="shared" si="144"/>
        <v>1000</v>
      </c>
      <c r="O84" s="14">
        <f t="shared" si="144"/>
        <v>0</v>
      </c>
      <c r="P84" s="14" t="e">
        <f t="shared" si="144"/>
        <v>#DIV/0!</v>
      </c>
      <c r="Q84" s="14" t="e">
        <f t="shared" si="144"/>
        <v>#DIV/0!</v>
      </c>
      <c r="R84" s="14">
        <f t="shared" si="144"/>
        <v>0</v>
      </c>
      <c r="S84" s="14">
        <f t="shared" si="144"/>
        <v>5000</v>
      </c>
      <c r="T84" s="14">
        <f t="shared" si="144"/>
        <v>5000</v>
      </c>
      <c r="U84" s="14"/>
      <c r="V84" s="14">
        <f t="shared" si="144"/>
        <v>20000</v>
      </c>
      <c r="W84" s="14"/>
      <c r="X84" s="14">
        <f t="shared" si="144"/>
        <v>0</v>
      </c>
      <c r="Y84" s="14">
        <f t="shared" si="144"/>
        <v>1000</v>
      </c>
      <c r="Z84" s="14">
        <f t="shared" si="144"/>
        <v>7000</v>
      </c>
      <c r="AA84" s="14">
        <f t="shared" si="144"/>
        <v>8000</v>
      </c>
      <c r="AB84" s="14"/>
      <c r="AC84" s="14">
        <f t="shared" si="144"/>
        <v>4000</v>
      </c>
      <c r="AD84" s="14">
        <f t="shared" si="144"/>
        <v>2000</v>
      </c>
      <c r="AE84" s="14">
        <f t="shared" si="144"/>
        <v>6000</v>
      </c>
      <c r="AF84" s="14"/>
      <c r="AG84" s="14" t="e">
        <f t="shared" si="144"/>
        <v>#DIV/0!</v>
      </c>
      <c r="AH84" s="14" t="e">
        <f t="shared" si="144"/>
        <v>#DIV/0!</v>
      </c>
      <c r="AI84" s="14" t="e">
        <f t="shared" si="144"/>
        <v>#DIV/0!</v>
      </c>
      <c r="AJ84" s="14">
        <f t="shared" si="144"/>
        <v>34000</v>
      </c>
      <c r="AK84" s="14">
        <f t="shared" si="144"/>
        <v>1000</v>
      </c>
      <c r="AL84" s="14">
        <f t="shared" si="144"/>
        <v>36000</v>
      </c>
    </row>
    <row r="85" spans="1:38" ht="15.75" x14ac:dyDescent="0.2">
      <c r="A85" s="132"/>
    </row>
    <row r="86" spans="1:38" ht="15.75" x14ac:dyDescent="0.2">
      <c r="A86" s="132"/>
    </row>
    <row r="87" spans="1:38" ht="15.75" x14ac:dyDescent="0.2">
      <c r="A87" s="132"/>
      <c r="AJ87" s="14">
        <f>AJ41-AJ51</f>
        <v>-7233.5529127658374</v>
      </c>
    </row>
    <row r="88" spans="1:38" x14ac:dyDescent="0.2">
      <c r="AJ88" s="145">
        <f>AJ87/AJ51</f>
        <v>-0.2729642608590882</v>
      </c>
    </row>
    <row r="90" spans="1:38" x14ac:dyDescent="0.2">
      <c r="L90" s="3">
        <v>2017</v>
      </c>
      <c r="N90" s="3">
        <v>1998</v>
      </c>
      <c r="O90" s="3">
        <f>L90-N90+1</f>
        <v>20</v>
      </c>
      <c r="T90" s="18" t="s">
        <v>152</v>
      </c>
      <c r="U90" s="18"/>
      <c r="V90" s="3">
        <f>COUNTIF(V32:V47,"&gt;=15000")</f>
        <v>2</v>
      </c>
    </row>
    <row r="91" spans="1:38" x14ac:dyDescent="0.2">
      <c r="V91" s="3">
        <f>COUNT(V32:V48)</f>
        <v>15</v>
      </c>
    </row>
    <row r="93" spans="1:38" x14ac:dyDescent="0.2">
      <c r="L93" s="66">
        <f>L41/L51</f>
        <v>0.8019381875327396</v>
      </c>
    </row>
  </sheetData>
  <mergeCells count="34">
    <mergeCell ref="CF4:CI4"/>
    <mergeCell ref="DA4:DA5"/>
    <mergeCell ref="DB4:DB5"/>
    <mergeCell ref="CV5:CV6"/>
    <mergeCell ref="CW5:CW6"/>
    <mergeCell ref="AS56:AT56"/>
    <mergeCell ref="X4:AA4"/>
    <mergeCell ref="AC4:AE4"/>
    <mergeCell ref="AG4:AI4"/>
    <mergeCell ref="AJ4:AJ5"/>
    <mergeCell ref="BG4:BI4"/>
    <mergeCell ref="BK4:BM4"/>
    <mergeCell ref="C3:L3"/>
    <mergeCell ref="P3:T3"/>
    <mergeCell ref="V3:AJ3"/>
    <mergeCell ref="AK3:AK5"/>
    <mergeCell ref="AL3:AL5"/>
    <mergeCell ref="C4:E4"/>
    <mergeCell ref="G4:J4"/>
    <mergeCell ref="L4:L5"/>
    <mergeCell ref="R4:T4"/>
    <mergeCell ref="V4:V5"/>
    <mergeCell ref="CD1:CD5"/>
    <mergeCell ref="BS1:BS5"/>
    <mergeCell ref="BT1:BT5"/>
    <mergeCell ref="BU1:BU5"/>
    <mergeCell ref="BV1:BV5"/>
    <mergeCell ref="BW1:BW5"/>
    <mergeCell ref="BX1:BX5"/>
    <mergeCell ref="BY1:BY5"/>
    <mergeCell ref="BZ1:BZ5"/>
    <mergeCell ref="CA1:CA5"/>
    <mergeCell ref="CB1:CB5"/>
    <mergeCell ref="CC1:CC5"/>
  </mergeCells>
  <conditionalFormatting sqref="CJ7:CJ46">
    <cfRule type="cellIs" dxfId="4" priority="1" operator="lessThan">
      <formula>15000</formula>
    </cfRule>
  </conditionalFormatting>
  <pageMargins left="0.7" right="0.7" top="0.75" bottom="0.75" header="0.3" footer="0.3"/>
  <pageSetup scale="54" orientation="landscape" r:id="rId1"/>
  <headerFooter>
    <oddHeader>&amp;R&amp;"Calibri"&amp;12&amp;K000000 Unclassified - Non-Classifié&amp;1#_x000D_</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3F4E7-16B4-4D76-B8B5-E48CAA78C511}">
  <sheetPr>
    <tabColor rgb="FF00FF00"/>
    <pageSetUpPr fitToPage="1"/>
  </sheetPr>
  <dimension ref="A1:FF93"/>
  <sheetViews>
    <sheetView showGridLines="0" zoomScale="110" zoomScaleNormal="110" workbookViewId="0">
      <pane xSplit="6" ySplit="6" topLeftCell="G13" activePane="bottomRight" state="frozen"/>
      <selection activeCell="C49" sqref="C49:E49"/>
      <selection pane="topRight" activeCell="C49" sqref="C49:E49"/>
      <selection pane="bottomLeft" activeCell="C49" sqref="C49:E49"/>
      <selection pane="bottomRight" activeCell="R26" sqref="R26"/>
    </sheetView>
  </sheetViews>
  <sheetFormatPr defaultColWidth="9.140625" defaultRowHeight="12.75" x14ac:dyDescent="0.2"/>
  <cols>
    <col min="1" max="1" width="1.42578125" style="3" customWidth="1"/>
    <col min="2" max="2" width="12.7109375" style="3" customWidth="1"/>
    <col min="3" max="4" width="7" style="3" customWidth="1"/>
    <col min="5" max="5" width="7.42578125" style="3" bestFit="1" customWidth="1"/>
    <col min="6" max="6" width="1.5703125" style="3" customWidth="1"/>
    <col min="7" max="7" width="6" style="3" customWidth="1"/>
    <col min="8" max="8" width="6.5703125" style="3" customWidth="1"/>
    <col min="9" max="9" width="7.85546875" style="3" customWidth="1"/>
    <col min="10" max="10" width="6.5703125" style="3" customWidth="1"/>
    <col min="11" max="11" width="1.42578125" style="3" customWidth="1"/>
    <col min="12" max="12" width="7.42578125" style="3" customWidth="1"/>
    <col min="13" max="13" width="5.85546875" style="3" customWidth="1"/>
    <col min="14" max="14" width="7.85546875" style="3" customWidth="1"/>
    <col min="15" max="15" width="6.42578125" style="3" customWidth="1"/>
    <col min="16" max="16" width="8.85546875" style="3" customWidth="1"/>
    <col min="17" max="17" width="6.7109375" style="3" customWidth="1"/>
    <col min="18" max="18" width="6.42578125" style="3" bestFit="1" customWidth="1"/>
    <col min="19" max="19" width="8.7109375" style="3" customWidth="1"/>
    <col min="20" max="20" width="7.140625" style="3" customWidth="1"/>
    <col min="21" max="21" width="6" style="3" bestFit="1" customWidth="1"/>
    <col min="22" max="22" width="8.85546875" style="3" bestFit="1" customWidth="1"/>
    <col min="23" max="23" width="1.85546875" style="3" customWidth="1"/>
    <col min="24" max="24" width="5.140625" style="3" customWidth="1"/>
    <col min="25" max="25" width="6.5703125" style="3" customWidth="1"/>
    <col min="26" max="26" width="7.42578125" style="3" customWidth="1"/>
    <col min="27" max="27" width="7.140625" style="3" bestFit="1" customWidth="1"/>
    <col min="28" max="28" width="2.85546875" style="3" customWidth="1"/>
    <col min="29" max="29" width="7.42578125" style="3" customWidth="1"/>
    <col min="30" max="30" width="7.42578125" style="3" bestFit="1" customWidth="1"/>
    <col min="31" max="31" width="7.140625" style="3" bestFit="1" customWidth="1"/>
    <col min="32" max="32" width="2.42578125" style="3" customWidth="1"/>
    <col min="33" max="33" width="7.42578125" style="3" hidden="1" customWidth="1"/>
    <col min="34" max="34" width="6" style="3" hidden="1" customWidth="1"/>
    <col min="35" max="35" width="7.5703125" style="3" hidden="1" customWidth="1"/>
    <col min="36" max="36" width="8.85546875" style="3" customWidth="1"/>
    <col min="37" max="37" width="7.5703125" style="3" customWidth="1"/>
    <col min="38" max="38" width="7.85546875" style="3" customWidth="1"/>
    <col min="39" max="39" width="8" style="3" customWidth="1"/>
    <col min="40" max="40" width="5.5703125" style="3" customWidth="1"/>
    <col min="41" max="41" width="9.42578125" style="3" customWidth="1"/>
    <col min="42" max="42" width="8.5703125" style="3" customWidth="1"/>
    <col min="43" max="43" width="8.5703125" style="4" customWidth="1"/>
    <col min="44" max="44" width="8.5703125" style="3" customWidth="1"/>
    <col min="45" max="45" width="7.85546875" style="3" customWidth="1"/>
    <col min="46" max="46" width="9.140625" style="3" customWidth="1"/>
    <col min="47" max="47" width="7.5703125" style="3" customWidth="1"/>
    <col min="48" max="49" width="9.140625" style="3" customWidth="1"/>
    <col min="50" max="50" width="6.85546875" style="3" customWidth="1"/>
    <col min="51" max="51" width="7.42578125" style="3" customWidth="1"/>
    <col min="52" max="54" width="6.5703125" style="3" customWidth="1"/>
    <col min="55" max="55" width="6.42578125" style="3" customWidth="1"/>
    <col min="56" max="58" width="7.42578125" style="3" customWidth="1"/>
    <col min="59" max="59" width="7.42578125" style="3" hidden="1" customWidth="1"/>
    <col min="60" max="60" width="11" style="5" hidden="1" customWidth="1"/>
    <col min="61" max="61" width="7.42578125" style="5" hidden="1" customWidth="1"/>
    <col min="62" max="62" width="7.42578125" style="6" hidden="1" customWidth="1"/>
    <col min="63" max="63" width="7.42578125" style="3" hidden="1" customWidth="1"/>
    <col min="64" max="64" width="11" style="6" hidden="1" customWidth="1"/>
    <col min="65" max="66" width="7.42578125" style="6" hidden="1" customWidth="1"/>
    <col min="67" max="67" width="5.5703125" style="3" hidden="1" customWidth="1"/>
    <col min="68" max="71" width="7.42578125" style="3" hidden="1" customWidth="1"/>
    <col min="72" max="72" width="10.140625" style="3" hidden="1" customWidth="1"/>
    <col min="73" max="79" width="0" style="3" hidden="1" customWidth="1"/>
    <col min="80" max="80" width="9.42578125" style="3" hidden="1" customWidth="1"/>
    <col min="81" max="84" width="0" style="3" hidden="1" customWidth="1"/>
    <col min="85" max="86" width="9.140625" style="7"/>
    <col min="87" max="90" width="9.140625" style="8"/>
    <col min="91" max="92" width="9.140625" style="3"/>
    <col min="93" max="95" width="7.5703125" style="18" customWidth="1"/>
    <col min="96" max="96" width="9.140625" style="3"/>
    <col min="97" max="97" width="11.42578125" style="3" customWidth="1"/>
    <col min="98" max="99" width="9.140625" style="3"/>
    <col min="100" max="100" width="13.42578125" style="3" customWidth="1"/>
    <col min="101" max="102" width="11.5703125" style="3" customWidth="1"/>
    <col min="103" max="106" width="9.140625" style="3"/>
    <col min="107" max="108" width="11.140625" style="3" customWidth="1"/>
    <col min="109" max="117" width="9.140625" style="3"/>
    <col min="118" max="118" width="2.85546875" style="3" customWidth="1"/>
    <col min="119" max="139" width="9.140625" style="3"/>
    <col min="140" max="140" width="8.42578125" style="3" bestFit="1" customWidth="1"/>
    <col min="141" max="143" width="9.140625" style="3"/>
    <col min="144" max="144" width="12.140625" style="3" customWidth="1"/>
    <col min="145" max="145" width="9.140625" style="3"/>
    <col min="146" max="146" width="12.140625" style="3" customWidth="1"/>
    <col min="147" max="16384" width="9.140625" style="3"/>
  </cols>
  <sheetData>
    <row r="1" spans="1:162" ht="26.25" customHeight="1" x14ac:dyDescent="0.25">
      <c r="A1" s="1" t="s">
        <v>627</v>
      </c>
      <c r="B1" s="1"/>
      <c r="C1" s="2" t="s">
        <v>631</v>
      </c>
      <c r="D1" s="2"/>
      <c r="E1" s="2"/>
      <c r="AO1" s="3">
        <v>0.25</v>
      </c>
      <c r="AP1" s="3">
        <f>AO1*V39</f>
        <v>687.97534460470411</v>
      </c>
      <c r="AY1" s="3" t="s">
        <v>1</v>
      </c>
      <c r="BT1" s="970" t="s">
        <v>2</v>
      </c>
      <c r="BU1" s="970" t="s">
        <v>3</v>
      </c>
      <c r="BV1" s="970" t="s">
        <v>4</v>
      </c>
      <c r="BW1" s="970" t="s">
        <v>5</v>
      </c>
      <c r="BX1" s="970" t="s">
        <v>6</v>
      </c>
      <c r="BY1" s="970" t="s">
        <v>7</v>
      </c>
      <c r="BZ1" s="970" t="s">
        <v>8</v>
      </c>
      <c r="CA1" s="970" t="s">
        <v>9</v>
      </c>
      <c r="CB1" s="970" t="s">
        <v>10</v>
      </c>
      <c r="CC1" s="970" t="s">
        <v>11</v>
      </c>
      <c r="CD1" s="970" t="s">
        <v>12</v>
      </c>
      <c r="CE1" s="970" t="s">
        <v>13</v>
      </c>
      <c r="CN1" s="9" t="s">
        <v>14</v>
      </c>
      <c r="CO1" s="10"/>
      <c r="CP1" s="10"/>
      <c r="CQ1" s="10"/>
      <c r="CR1" s="9"/>
      <c r="CS1" s="9"/>
      <c r="CT1" s="11"/>
      <c r="CU1" s="11"/>
      <c r="CV1" s="11"/>
      <c r="CW1" s="11"/>
      <c r="CX1" s="11"/>
      <c r="CY1" s="11"/>
      <c r="DB1" s="12" t="s">
        <v>15</v>
      </c>
      <c r="DC1" s="12">
        <v>0.21</v>
      </c>
      <c r="DD1" s="12"/>
      <c r="DE1" s="12" t="s">
        <v>16</v>
      </c>
      <c r="DF1" s="11">
        <v>12600</v>
      </c>
      <c r="DG1" s="11"/>
    </row>
    <row r="2" spans="1:162" x14ac:dyDescent="0.2">
      <c r="A2" s="13"/>
      <c r="B2" s="13"/>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Y2" s="14">
        <f>AVERAGE(Z27:Z38)</f>
        <v>171.5</v>
      </c>
      <c r="AZ2" s="14">
        <f>AVERAGE(AC27:AC38)</f>
        <v>302.80316987779605</v>
      </c>
      <c r="BA2" s="14">
        <f>AVERAGE(AD27:AD38,Y27:Y38)</f>
        <v>76.0824596791727</v>
      </c>
      <c r="BB2" s="14">
        <f>AVERAGE(X27:X38)</f>
        <v>0</v>
      </c>
      <c r="BC2" s="14">
        <f>SUM(AY2:BB2)</f>
        <v>550.38562955696875</v>
      </c>
      <c r="BD2" s="5">
        <f>AVERAGE(AL27:AL38)</f>
        <v>138.01421136160812</v>
      </c>
      <c r="BT2" s="971"/>
      <c r="BU2" s="971"/>
      <c r="BV2" s="971"/>
      <c r="BW2" s="971"/>
      <c r="BX2" s="971"/>
      <c r="BY2" s="971"/>
      <c r="BZ2" s="971"/>
      <c r="CA2" s="971"/>
      <c r="CB2" s="971"/>
      <c r="CC2" s="971"/>
      <c r="CD2" s="971"/>
      <c r="CE2" s="971"/>
      <c r="CN2" s="11"/>
      <c r="CO2" s="15"/>
      <c r="CP2" s="15"/>
      <c r="CQ2" s="15"/>
      <c r="CR2" s="11"/>
      <c r="CS2" s="11"/>
      <c r="CT2" s="11"/>
      <c r="CU2" s="11"/>
      <c r="CV2" s="11"/>
      <c r="CW2" s="11"/>
      <c r="CX2" s="11"/>
      <c r="CY2" s="11"/>
      <c r="DB2" s="12"/>
      <c r="DC2" s="12"/>
      <c r="DD2" s="12"/>
      <c r="DE2" s="12" t="s">
        <v>17</v>
      </c>
      <c r="DF2" s="11">
        <v>15000</v>
      </c>
      <c r="DG2" s="11"/>
    </row>
    <row r="3" spans="1:162" ht="14.25" customHeight="1" x14ac:dyDescent="0.25">
      <c r="C3" s="974" t="s">
        <v>18</v>
      </c>
      <c r="D3" s="974"/>
      <c r="E3" s="974"/>
      <c r="F3" s="974"/>
      <c r="G3" s="974"/>
      <c r="H3" s="974"/>
      <c r="I3" s="974"/>
      <c r="J3" s="974"/>
      <c r="K3" s="974"/>
      <c r="L3" s="974"/>
      <c r="P3" s="974" t="s">
        <v>19</v>
      </c>
      <c r="Q3" s="974"/>
      <c r="R3" s="974"/>
      <c r="S3" s="974"/>
      <c r="T3" s="974"/>
      <c r="V3" s="974" t="s">
        <v>20</v>
      </c>
      <c r="W3" s="974"/>
      <c r="X3" s="974"/>
      <c r="Y3" s="974"/>
      <c r="Z3" s="974"/>
      <c r="AA3" s="974"/>
      <c r="AB3" s="974"/>
      <c r="AC3" s="974"/>
      <c r="AD3" s="974"/>
      <c r="AE3" s="974"/>
      <c r="AF3" s="974"/>
      <c r="AG3" s="974"/>
      <c r="AH3" s="974"/>
      <c r="AI3" s="974"/>
      <c r="AJ3" s="974"/>
      <c r="AK3" s="4"/>
      <c r="AL3" s="975" t="s">
        <v>21</v>
      </c>
      <c r="AM3" s="978" t="s">
        <v>22</v>
      </c>
      <c r="AY3" s="17">
        <f t="shared" ref="AY3:BD3" si="0">AVERAGE(AY27:AY38)</f>
        <v>4.2734957186451851E-2</v>
      </c>
      <c r="AZ3" s="17">
        <f t="shared" si="0"/>
        <v>8.7154289457398212E-2</v>
      </c>
      <c r="BA3" s="17">
        <f t="shared" si="0"/>
        <v>4.6175421067509818E-2</v>
      </c>
      <c r="BB3" s="17">
        <f t="shared" si="0"/>
        <v>0</v>
      </c>
      <c r="BC3" s="17">
        <f t="shared" si="0"/>
        <v>0.1760646677113599</v>
      </c>
      <c r="BD3" s="17">
        <f t="shared" si="0"/>
        <v>4.4165750571640093E-2</v>
      </c>
      <c r="BE3" s="17">
        <f>BD3+BA3+AZ3</f>
        <v>0.17749546109654812</v>
      </c>
      <c r="BF3" s="17"/>
      <c r="BG3" s="17"/>
      <c r="BK3" s="17"/>
      <c r="BT3" s="971"/>
      <c r="BU3" s="971"/>
      <c r="BV3" s="971"/>
      <c r="BW3" s="971"/>
      <c r="BX3" s="971"/>
      <c r="BY3" s="971"/>
      <c r="BZ3" s="971"/>
      <c r="CA3" s="971"/>
      <c r="CB3" s="971"/>
      <c r="CC3" s="971"/>
      <c r="CD3" s="971"/>
      <c r="CE3" s="971"/>
      <c r="DE3" s="3" t="s">
        <v>23</v>
      </c>
      <c r="DF3" s="19">
        <v>10000</v>
      </c>
    </row>
    <row r="4" spans="1:162" ht="15.75" customHeight="1" x14ac:dyDescent="0.2">
      <c r="A4" s="18"/>
      <c r="B4" s="18"/>
      <c r="C4" s="981" t="s">
        <v>24</v>
      </c>
      <c r="D4" s="981"/>
      <c r="E4" s="981"/>
      <c r="F4" s="18"/>
      <c r="G4" s="974" t="s">
        <v>25</v>
      </c>
      <c r="H4" s="974"/>
      <c r="I4" s="974"/>
      <c r="J4" s="974"/>
      <c r="K4" s="18"/>
      <c r="L4" s="982" t="s">
        <v>26</v>
      </c>
      <c r="M4" s="18"/>
      <c r="N4" s="18"/>
      <c r="O4" s="18"/>
      <c r="P4" s="18"/>
      <c r="Q4" s="18"/>
      <c r="R4" s="984" t="s">
        <v>25</v>
      </c>
      <c r="S4" s="984"/>
      <c r="T4" s="984"/>
      <c r="U4" s="18"/>
      <c r="V4" s="975" t="s">
        <v>27</v>
      </c>
      <c r="W4" s="18"/>
      <c r="X4" s="984" t="s">
        <v>25</v>
      </c>
      <c r="Y4" s="984"/>
      <c r="Z4" s="984"/>
      <c r="AA4" s="984"/>
      <c r="AB4" s="18"/>
      <c r="AC4" s="984" t="s">
        <v>28</v>
      </c>
      <c r="AD4" s="984"/>
      <c r="AE4" s="984"/>
      <c r="AF4" s="18"/>
      <c r="AG4" s="984" t="s">
        <v>29</v>
      </c>
      <c r="AH4" s="984"/>
      <c r="AI4" s="984"/>
      <c r="AJ4" s="975" t="s">
        <v>30</v>
      </c>
      <c r="AK4" s="20"/>
      <c r="AL4" s="976"/>
      <c r="AM4" s="979"/>
      <c r="AT4" s="3" t="s">
        <v>31</v>
      </c>
      <c r="BH4" s="973" t="s">
        <v>32</v>
      </c>
      <c r="BI4" s="973"/>
      <c r="BJ4" s="973"/>
      <c r="BL4" s="973" t="s">
        <v>32</v>
      </c>
      <c r="BM4" s="973"/>
      <c r="BN4" s="973"/>
      <c r="BT4" s="971"/>
      <c r="BU4" s="971"/>
      <c r="BV4" s="971"/>
      <c r="BW4" s="971"/>
      <c r="BX4" s="971"/>
      <c r="BY4" s="971"/>
      <c r="BZ4" s="971"/>
      <c r="CA4" s="971"/>
      <c r="CB4" s="971"/>
      <c r="CC4" s="971"/>
      <c r="CD4" s="971"/>
      <c r="CE4" s="971"/>
      <c r="CG4" s="986" t="s">
        <v>33</v>
      </c>
      <c r="CH4" s="986"/>
      <c r="CI4" s="986"/>
      <c r="CJ4" s="986"/>
      <c r="CK4" s="24"/>
      <c r="CL4" s="24"/>
      <c r="DB4" s="987" t="s">
        <v>34</v>
      </c>
      <c r="DC4" s="988" t="s">
        <v>35</v>
      </c>
      <c r="DD4" s="26"/>
    </row>
    <row r="5" spans="1:162" ht="43.5" customHeight="1" thickBot="1" x14ac:dyDescent="0.25">
      <c r="A5" s="13"/>
      <c r="B5" s="16" t="s">
        <v>36</v>
      </c>
      <c r="C5" s="27" t="s">
        <v>37</v>
      </c>
      <c r="D5" s="27" t="s">
        <v>38</v>
      </c>
      <c r="E5" s="27" t="s">
        <v>39</v>
      </c>
      <c r="F5" s="28"/>
      <c r="G5" s="28" t="s">
        <v>40</v>
      </c>
      <c r="H5" s="28" t="s">
        <v>41</v>
      </c>
      <c r="I5" s="29" t="s">
        <v>42</v>
      </c>
      <c r="J5" s="29" t="s">
        <v>43</v>
      </c>
      <c r="K5" s="29"/>
      <c r="L5" s="983"/>
      <c r="M5" s="29" t="s">
        <v>44</v>
      </c>
      <c r="N5" s="30" t="s">
        <v>45</v>
      </c>
      <c r="O5" s="31" t="s">
        <v>46</v>
      </c>
      <c r="P5" s="28" t="s">
        <v>633</v>
      </c>
      <c r="Q5" s="28" t="s">
        <v>632</v>
      </c>
      <c r="R5" s="28" t="s">
        <v>41</v>
      </c>
      <c r="S5" s="28" t="s">
        <v>663</v>
      </c>
      <c r="T5" s="29" t="s">
        <v>43</v>
      </c>
      <c r="U5" s="29" t="s">
        <v>44</v>
      </c>
      <c r="V5" s="977"/>
      <c r="W5" s="29"/>
      <c r="X5" s="28" t="s">
        <v>40</v>
      </c>
      <c r="Y5" s="28" t="s">
        <v>41</v>
      </c>
      <c r="Z5" s="29" t="s">
        <v>42</v>
      </c>
      <c r="AA5" s="29" t="s">
        <v>43</v>
      </c>
      <c r="AB5" s="29"/>
      <c r="AC5" s="29" t="s">
        <v>48</v>
      </c>
      <c r="AD5" s="29" t="s">
        <v>49</v>
      </c>
      <c r="AE5" s="29" t="s">
        <v>43</v>
      </c>
      <c r="AF5" s="29"/>
      <c r="AG5" s="29" t="s">
        <v>50</v>
      </c>
      <c r="AH5" s="29" t="s">
        <v>49</v>
      </c>
      <c r="AI5" s="29" t="s">
        <v>51</v>
      </c>
      <c r="AJ5" s="977"/>
      <c r="AK5" s="28" t="s">
        <v>634</v>
      </c>
      <c r="AL5" s="977"/>
      <c r="AM5" s="980"/>
      <c r="AN5" s="21" t="s">
        <v>52</v>
      </c>
      <c r="AO5" s="20" t="s">
        <v>53</v>
      </c>
      <c r="AP5" s="20" t="s">
        <v>54</v>
      </c>
      <c r="AQ5" s="21" t="s">
        <v>55</v>
      </c>
      <c r="AR5" s="32"/>
      <c r="AS5" s="33" t="s">
        <v>56</v>
      </c>
      <c r="AT5" s="33" t="s">
        <v>51</v>
      </c>
      <c r="AU5" s="33" t="s">
        <v>57</v>
      </c>
      <c r="AV5" s="33" t="s">
        <v>43</v>
      </c>
      <c r="AW5" s="33"/>
      <c r="AX5" s="33"/>
      <c r="AY5" s="33" t="s">
        <v>51</v>
      </c>
      <c r="AZ5" s="33" t="s">
        <v>58</v>
      </c>
      <c r="BA5" s="33" t="s">
        <v>57</v>
      </c>
      <c r="BB5" s="33" t="s">
        <v>59</v>
      </c>
      <c r="BC5" s="33" t="s">
        <v>43</v>
      </c>
      <c r="BD5" s="33" t="s">
        <v>60</v>
      </c>
      <c r="BH5" s="34" t="s">
        <v>61</v>
      </c>
      <c r="BI5" s="34" t="s">
        <v>62</v>
      </c>
      <c r="BJ5" s="22" t="s">
        <v>63</v>
      </c>
      <c r="BL5" s="34" t="s">
        <v>61</v>
      </c>
      <c r="BM5" s="22" t="s">
        <v>62</v>
      </c>
      <c r="BN5" s="22" t="s">
        <v>63</v>
      </c>
      <c r="BP5" s="35" t="s">
        <v>64</v>
      </c>
      <c r="BQ5" s="33" t="s">
        <v>65</v>
      </c>
      <c r="BR5" s="33" t="s">
        <v>66</v>
      </c>
      <c r="BT5" s="972"/>
      <c r="BU5" s="972"/>
      <c r="BV5" s="972"/>
      <c r="BW5" s="972"/>
      <c r="BX5" s="972"/>
      <c r="BY5" s="972"/>
      <c r="BZ5" s="972"/>
      <c r="CA5" s="972"/>
      <c r="CB5" s="972"/>
      <c r="CC5" s="972"/>
      <c r="CD5" s="972"/>
      <c r="CE5" s="972"/>
      <c r="CG5" s="36" t="s">
        <v>62</v>
      </c>
      <c r="CH5" s="36" t="s">
        <v>67</v>
      </c>
      <c r="CI5" s="37" t="s">
        <v>68</v>
      </c>
      <c r="CJ5" s="23" t="s">
        <v>69</v>
      </c>
      <c r="CK5" s="23" t="s">
        <v>70</v>
      </c>
      <c r="CL5" s="37" t="s">
        <v>71</v>
      </c>
      <c r="CN5" s="38" t="s">
        <v>36</v>
      </c>
      <c r="CO5" s="39" t="s">
        <v>62</v>
      </c>
      <c r="CP5" s="39" t="s">
        <v>72</v>
      </c>
      <c r="CQ5" s="39" t="s">
        <v>73</v>
      </c>
      <c r="CR5" s="40" t="s">
        <v>74</v>
      </c>
      <c r="CS5" s="25" t="s">
        <v>75</v>
      </c>
      <c r="CT5" s="25" t="s">
        <v>76</v>
      </c>
      <c r="CU5" s="41" t="s">
        <v>77</v>
      </c>
      <c r="CV5" s="40" t="s">
        <v>78</v>
      </c>
      <c r="CW5" s="987" t="s">
        <v>79</v>
      </c>
      <c r="CX5" s="987" t="s">
        <v>80</v>
      </c>
      <c r="CY5" s="42" t="s">
        <v>81</v>
      </c>
      <c r="CZ5" s="42" t="s">
        <v>82</v>
      </c>
      <c r="DA5" s="43" t="s">
        <v>83</v>
      </c>
      <c r="DB5" s="987"/>
      <c r="DC5" s="989"/>
      <c r="DD5" s="44" t="s">
        <v>84</v>
      </c>
      <c r="DE5" s="40" t="s">
        <v>85</v>
      </c>
      <c r="DF5" s="45" t="s">
        <v>86</v>
      </c>
      <c r="DG5" s="40" t="s">
        <v>87</v>
      </c>
      <c r="DI5" s="3" t="s">
        <v>88</v>
      </c>
      <c r="DL5" s="3" t="s">
        <v>89</v>
      </c>
      <c r="DM5" s="3" t="s">
        <v>57</v>
      </c>
      <c r="DT5" s="3" t="s">
        <v>90</v>
      </c>
      <c r="DU5" s="3" t="s">
        <v>91</v>
      </c>
      <c r="DX5" s="3" t="s">
        <v>92</v>
      </c>
      <c r="DY5" s="3" t="s">
        <v>93</v>
      </c>
      <c r="DZ5" s="3" t="s">
        <v>94</v>
      </c>
      <c r="EH5" s="3" t="s">
        <v>95</v>
      </c>
      <c r="EJ5" s="20" t="s">
        <v>96</v>
      </c>
      <c r="EK5" s="20" t="s">
        <v>97</v>
      </c>
      <c r="EM5" s="32" t="s">
        <v>98</v>
      </c>
      <c r="EN5" s="3" t="s">
        <v>99</v>
      </c>
      <c r="EO5" s="3" t="s">
        <v>51</v>
      </c>
      <c r="EP5" s="3" t="s">
        <v>100</v>
      </c>
      <c r="EQ5" s="3" t="s">
        <v>60</v>
      </c>
      <c r="EU5" s="3" t="s">
        <v>101</v>
      </c>
      <c r="EX5" s="3" t="s">
        <v>102</v>
      </c>
      <c r="FC5" s="3" t="s">
        <v>103</v>
      </c>
      <c r="FD5" s="3" t="s">
        <v>104</v>
      </c>
      <c r="FF5" s="3" t="s">
        <v>105</v>
      </c>
    </row>
    <row r="6" spans="1:162" ht="6" customHeight="1" thickBot="1" x14ac:dyDescent="0.25">
      <c r="B6" s="4"/>
      <c r="C6" s="4"/>
      <c r="D6" s="4"/>
      <c r="E6" s="4"/>
      <c r="L6" s="46"/>
      <c r="N6" s="47"/>
      <c r="O6" s="47"/>
      <c r="AS6" s="33"/>
      <c r="AT6" s="33"/>
      <c r="AU6" s="33"/>
      <c r="AV6" s="33"/>
      <c r="AW6" s="33"/>
      <c r="AX6" s="33"/>
      <c r="AY6" s="33"/>
      <c r="AZ6" s="33"/>
      <c r="BA6" s="33"/>
      <c r="BB6" s="33"/>
      <c r="BC6" s="33"/>
      <c r="BD6" s="33"/>
      <c r="BJ6" s="5"/>
      <c r="CG6" s="48"/>
      <c r="CH6" s="48"/>
      <c r="CI6" s="49"/>
      <c r="CJ6" s="48"/>
      <c r="CK6" s="48"/>
      <c r="CL6" s="49"/>
      <c r="CU6" s="50"/>
      <c r="CV6" s="26"/>
      <c r="CW6" s="987"/>
      <c r="CX6" s="987"/>
      <c r="CY6" s="51"/>
      <c r="CZ6" s="51"/>
      <c r="DD6" s="33"/>
    </row>
    <row r="7" spans="1:162" ht="12.75" hidden="1" customHeight="1" x14ac:dyDescent="0.2">
      <c r="B7" s="52">
        <v>1986</v>
      </c>
      <c r="C7" s="53">
        <v>36523.343017812847</v>
      </c>
      <c r="D7" s="53"/>
      <c r="E7" s="53"/>
      <c r="F7" s="47"/>
      <c r="G7" s="54">
        <v>166</v>
      </c>
      <c r="H7" s="54">
        <v>331</v>
      </c>
      <c r="I7" s="54">
        <v>939</v>
      </c>
      <c r="J7" s="54">
        <v>1436</v>
      </c>
      <c r="K7" s="47"/>
      <c r="L7" s="55">
        <f t="shared" ref="L7:L12" si="1">C7+J7</f>
        <v>37959.343017812847</v>
      </c>
      <c r="M7" s="47"/>
      <c r="N7" s="47"/>
      <c r="O7" s="47"/>
      <c r="P7" s="56">
        <v>2137.5</v>
      </c>
      <c r="Q7" s="47"/>
      <c r="R7" s="54">
        <v>0</v>
      </c>
      <c r="S7" s="54">
        <v>3038</v>
      </c>
      <c r="T7" s="54">
        <f t="shared" ref="T7:T13" si="2">SUM(R7:S7)</f>
        <v>3038</v>
      </c>
      <c r="U7" s="47"/>
      <c r="V7" s="56">
        <f t="shared" ref="V7:V45" si="3">SUM(P7,C7)</f>
        <v>38660.843017812847</v>
      </c>
      <c r="W7" s="47"/>
      <c r="X7" s="54">
        <v>166</v>
      </c>
      <c r="Y7" s="54">
        <v>331</v>
      </c>
      <c r="Z7" s="54">
        <v>3977</v>
      </c>
      <c r="AA7" s="54">
        <f t="shared" ref="AA7:AA46" si="4">SUM(X7:Z7)</f>
        <v>4474</v>
      </c>
      <c r="AB7" s="47"/>
      <c r="AC7" s="54">
        <v>3259</v>
      </c>
      <c r="AD7" s="54">
        <v>1933</v>
      </c>
      <c r="AE7" s="54">
        <f t="shared" ref="AE7:AE13" si="5">SUM(AC7:AD7)</f>
        <v>5192</v>
      </c>
      <c r="AF7" s="47"/>
      <c r="AG7" s="47"/>
      <c r="AH7" s="47"/>
      <c r="AI7" s="47"/>
      <c r="AJ7" s="56">
        <f t="shared" ref="AJ7:AJ12" si="6">SUM(V7,AA7,AE7,SUM(AG7:AI7))</f>
        <v>48326.843017812847</v>
      </c>
      <c r="AK7" s="56"/>
      <c r="AL7" s="57">
        <f t="shared" ref="AL7:AL12" si="7">ROUND(AJ7/(1-BD$53)-AJ7,-2)</f>
        <v>2300</v>
      </c>
      <c r="AM7" s="56">
        <f t="shared" ref="AM7:AM12" si="8">SUM(AJ7:AL7)</f>
        <v>50626.843017812847</v>
      </c>
      <c r="AO7" s="58">
        <v>9665.2107544532118</v>
      </c>
      <c r="AP7" s="59"/>
      <c r="AQ7" s="60"/>
      <c r="AR7" s="59"/>
      <c r="AS7" s="61"/>
      <c r="AT7" s="61"/>
      <c r="AU7" s="33"/>
      <c r="AV7" s="61"/>
      <c r="AW7" s="61"/>
      <c r="AX7" s="61"/>
      <c r="AY7" s="61"/>
      <c r="AZ7" s="61"/>
      <c r="BA7" s="61"/>
      <c r="BB7" s="61"/>
      <c r="BC7" s="62"/>
      <c r="BD7" s="33"/>
      <c r="BJ7" s="5"/>
      <c r="BT7" s="63">
        <f t="shared" ref="BT7:BT12" si="9">AC7</f>
        <v>3259</v>
      </c>
      <c r="BU7" s="63">
        <f t="shared" ref="BU7:BU46" si="10">Z7</f>
        <v>3977</v>
      </c>
      <c r="BV7" s="63">
        <f t="shared" ref="BV7:BV46" si="11">X7</f>
        <v>166</v>
      </c>
      <c r="BW7" s="63">
        <f t="shared" ref="BW7:BW46" si="12">AD7</f>
        <v>1933</v>
      </c>
      <c r="BX7" s="63">
        <f t="shared" ref="BX7:BX46" si="13">Y7</f>
        <v>331</v>
      </c>
      <c r="BY7" s="63">
        <f t="shared" ref="BY7:BY13" si="14">SUM(BT7:BX7)</f>
        <v>9666</v>
      </c>
      <c r="BZ7" s="63">
        <f t="shared" ref="BZ7:BZ46" si="15">AJ7</f>
        <v>48326.843017812847</v>
      </c>
      <c r="CA7" s="64">
        <f t="shared" ref="CA7:CA12" si="16">BY7/BZ7</f>
        <v>0.20001306512898429</v>
      </c>
      <c r="CB7" s="64">
        <f t="shared" ref="CB7:CB12" si="17">SUM(BW7,BT7)/BY7</f>
        <v>0.53714049244775497</v>
      </c>
      <c r="CC7" s="64">
        <f t="shared" ref="CC7:CC12" si="18">SUM(BU7:BV7,BX7)/BY7</f>
        <v>0.46285950755224498</v>
      </c>
      <c r="CD7" s="64">
        <f t="shared" ref="CD7:CD46" si="19">AL7/(BY7+AL7)</f>
        <v>0.19221126525154605</v>
      </c>
      <c r="CG7" s="48"/>
      <c r="CH7" s="48"/>
      <c r="CI7" s="49"/>
      <c r="CJ7" s="48"/>
      <c r="CK7" s="48"/>
      <c r="CL7" s="49"/>
      <c r="CU7" s="50"/>
      <c r="CV7" s="26"/>
      <c r="CW7" s="26"/>
      <c r="CX7" s="26"/>
      <c r="CY7" s="65"/>
      <c r="CZ7" s="65"/>
      <c r="DA7" s="26"/>
      <c r="DB7" s="26"/>
      <c r="DC7" s="26"/>
      <c r="DD7" s="26"/>
      <c r="DE7" s="26"/>
      <c r="DF7" s="26"/>
      <c r="DG7" s="26"/>
      <c r="DI7" s="66">
        <f t="shared" ref="DI7:DI39" si="20">P7/V7</f>
        <v>5.5288499503623197E-2</v>
      </c>
      <c r="EM7" s="67">
        <f t="shared" ref="EM7:EM12" si="21">V7/1000</f>
        <v>38.660843017812844</v>
      </c>
      <c r="EN7" s="67"/>
      <c r="EO7" s="67">
        <f t="shared" ref="EO7:EO39" si="22">Z7/1000</f>
        <v>3.9769999999999999</v>
      </c>
      <c r="EP7" s="67">
        <f t="shared" ref="EP7:EP39" si="23">SUM(X7:Y7,AE7)/1000</f>
        <v>5.6890000000000001</v>
      </c>
      <c r="EQ7" s="67">
        <f t="shared" ref="EQ7:EQ39" si="24">AL7/1000</f>
        <v>2.2999999999999998</v>
      </c>
      <c r="EU7" s="66">
        <f t="shared" ref="EU7:EU39" si="25">J7/L7</f>
        <v>3.7829948725038282E-2</v>
      </c>
      <c r="EX7" s="14">
        <f>BY7-BU7</f>
        <v>5689</v>
      </c>
      <c r="FF7" s="14">
        <f t="shared" ref="FF7:FF39" si="26">ROUND(L7,-3)</f>
        <v>38000</v>
      </c>
    </row>
    <row r="8" spans="1:162" ht="12.75" hidden="1" customHeight="1" x14ac:dyDescent="0.2">
      <c r="B8" s="52">
        <v>1987</v>
      </c>
      <c r="C8" s="53">
        <v>19539.879048015755</v>
      </c>
      <c r="D8" s="53"/>
      <c r="E8" s="53"/>
      <c r="F8" s="47"/>
      <c r="G8" s="54">
        <v>92</v>
      </c>
      <c r="H8" s="54">
        <v>184</v>
      </c>
      <c r="I8" s="54">
        <v>521</v>
      </c>
      <c r="J8" s="54">
        <v>797</v>
      </c>
      <c r="K8" s="47"/>
      <c r="L8" s="55">
        <f t="shared" si="1"/>
        <v>20336.879048015755</v>
      </c>
      <c r="M8" s="47"/>
      <c r="N8" s="47"/>
      <c r="O8" s="47"/>
      <c r="P8" s="56">
        <v>1930.4060531632531</v>
      </c>
      <c r="Q8" s="47"/>
      <c r="R8" s="54">
        <v>0</v>
      </c>
      <c r="S8" s="54">
        <v>1687</v>
      </c>
      <c r="T8" s="54">
        <f t="shared" si="2"/>
        <v>1687</v>
      </c>
      <c r="U8" s="47"/>
      <c r="V8" s="56">
        <f t="shared" si="3"/>
        <v>21470.285101179008</v>
      </c>
      <c r="W8" s="47"/>
      <c r="X8" s="54">
        <v>92</v>
      </c>
      <c r="Y8" s="54">
        <v>184</v>
      </c>
      <c r="Z8" s="54">
        <v>2208</v>
      </c>
      <c r="AA8" s="54">
        <f t="shared" si="4"/>
        <v>2484</v>
      </c>
      <c r="AB8" s="47"/>
      <c r="AC8" s="54">
        <v>1810</v>
      </c>
      <c r="AD8" s="54">
        <v>1074</v>
      </c>
      <c r="AE8" s="54">
        <f t="shared" si="5"/>
        <v>2884</v>
      </c>
      <c r="AF8" s="47"/>
      <c r="AG8" s="47"/>
      <c r="AH8" s="47"/>
      <c r="AI8" s="47"/>
      <c r="AJ8" s="56">
        <f t="shared" si="6"/>
        <v>26838.285101179008</v>
      </c>
      <c r="AK8" s="56"/>
      <c r="AL8" s="47">
        <f t="shared" si="7"/>
        <v>1300</v>
      </c>
      <c r="AM8" s="56">
        <f t="shared" si="8"/>
        <v>28138.285101179008</v>
      </c>
      <c r="AO8" s="68">
        <v>5367.5712752947511</v>
      </c>
      <c r="AP8" s="59"/>
      <c r="AQ8" s="60"/>
      <c r="AR8" s="59"/>
      <c r="AS8" s="61"/>
      <c r="AT8" s="61"/>
      <c r="AU8" s="33"/>
      <c r="AV8" s="61"/>
      <c r="AW8" s="61"/>
      <c r="AX8" s="61"/>
      <c r="AY8" s="61"/>
      <c r="AZ8" s="61"/>
      <c r="BA8" s="61"/>
      <c r="BB8" s="61"/>
      <c r="BC8" s="62"/>
      <c r="BD8" s="33"/>
      <c r="BJ8" s="5"/>
      <c r="BT8" s="63">
        <f t="shared" si="9"/>
        <v>1810</v>
      </c>
      <c r="BU8" s="63">
        <f t="shared" si="10"/>
        <v>2208</v>
      </c>
      <c r="BV8" s="63">
        <f t="shared" si="11"/>
        <v>92</v>
      </c>
      <c r="BW8" s="63">
        <f t="shared" si="12"/>
        <v>1074</v>
      </c>
      <c r="BX8" s="63">
        <f t="shared" si="13"/>
        <v>184</v>
      </c>
      <c r="BY8" s="63">
        <f t="shared" si="14"/>
        <v>5368</v>
      </c>
      <c r="BZ8" s="63">
        <f t="shared" si="15"/>
        <v>26838.285101179008</v>
      </c>
      <c r="CA8" s="64">
        <f t="shared" si="16"/>
        <v>0.20001277949626459</v>
      </c>
      <c r="CB8" s="64">
        <f t="shared" si="17"/>
        <v>0.53725782414307</v>
      </c>
      <c r="CC8" s="64">
        <f t="shared" si="18"/>
        <v>0.46274217585692995</v>
      </c>
      <c r="CD8" s="64">
        <f t="shared" si="19"/>
        <v>0.19496100779844031</v>
      </c>
      <c r="CG8" s="48"/>
      <c r="CH8" s="48"/>
      <c r="CI8" s="49"/>
      <c r="CJ8" s="48"/>
      <c r="CK8" s="48"/>
      <c r="CL8" s="49"/>
      <c r="CU8" s="50"/>
      <c r="CV8" s="26"/>
      <c r="CW8" s="26"/>
      <c r="CX8" s="26"/>
      <c r="CY8" s="65"/>
      <c r="CZ8" s="65"/>
      <c r="DA8" s="26"/>
      <c r="DB8" s="26"/>
      <c r="DC8" s="26"/>
      <c r="DD8" s="26"/>
      <c r="DE8" s="26"/>
      <c r="DF8" s="26"/>
      <c r="DG8" s="26"/>
      <c r="DI8" s="66">
        <f t="shared" si="20"/>
        <v>8.991059243350466E-2</v>
      </c>
      <c r="EM8" s="67">
        <f t="shared" si="21"/>
        <v>21.470285101179009</v>
      </c>
      <c r="EN8" s="67"/>
      <c r="EO8" s="67">
        <f t="shared" si="22"/>
        <v>2.2080000000000002</v>
      </c>
      <c r="EP8" s="67">
        <f t="shared" si="23"/>
        <v>3.16</v>
      </c>
      <c r="EQ8" s="67">
        <f t="shared" si="24"/>
        <v>1.3</v>
      </c>
      <c r="EU8" s="66">
        <f t="shared" si="25"/>
        <v>3.9189887402008343E-2</v>
      </c>
      <c r="EX8" s="14">
        <f t="shared" ref="EX8:EX47" si="27">BY8-BU8</f>
        <v>3160</v>
      </c>
      <c r="FF8" s="14">
        <f t="shared" si="26"/>
        <v>20000</v>
      </c>
    </row>
    <row r="9" spans="1:162" ht="12.75" hidden="1" customHeight="1" x14ac:dyDescent="0.2">
      <c r="B9" s="52">
        <v>1988</v>
      </c>
      <c r="C9" s="53">
        <v>15345.106912202675</v>
      </c>
      <c r="D9" s="53"/>
      <c r="E9" s="53"/>
      <c r="F9" s="47"/>
      <c r="G9" s="54">
        <v>72</v>
      </c>
      <c r="H9" s="54">
        <v>144</v>
      </c>
      <c r="I9" s="54">
        <v>409</v>
      </c>
      <c r="J9" s="54">
        <v>625</v>
      </c>
      <c r="K9" s="47"/>
      <c r="L9" s="55">
        <f t="shared" si="1"/>
        <v>15970.106912202675</v>
      </c>
      <c r="M9" s="47"/>
      <c r="N9" s="47"/>
      <c r="O9" s="47"/>
      <c r="P9" s="56">
        <v>1503.1850413976154</v>
      </c>
      <c r="Q9" s="47"/>
      <c r="R9" s="54">
        <v>0</v>
      </c>
      <c r="S9" s="54">
        <v>1324</v>
      </c>
      <c r="T9" s="54">
        <f t="shared" si="2"/>
        <v>1324</v>
      </c>
      <c r="U9" s="47"/>
      <c r="V9" s="56">
        <f t="shared" si="3"/>
        <v>16848.291953600288</v>
      </c>
      <c r="W9" s="47"/>
      <c r="X9" s="54">
        <v>72</v>
      </c>
      <c r="Y9" s="54">
        <v>144</v>
      </c>
      <c r="Z9" s="54">
        <v>1733</v>
      </c>
      <c r="AA9" s="54">
        <f t="shared" si="4"/>
        <v>1949</v>
      </c>
      <c r="AB9" s="47"/>
      <c r="AC9" s="54">
        <v>1420</v>
      </c>
      <c r="AD9" s="54">
        <v>842</v>
      </c>
      <c r="AE9" s="54">
        <f t="shared" si="5"/>
        <v>2262</v>
      </c>
      <c r="AF9" s="47"/>
      <c r="AG9" s="47"/>
      <c r="AH9" s="47"/>
      <c r="AI9" s="47"/>
      <c r="AJ9" s="56">
        <f t="shared" si="6"/>
        <v>21059.291953600288</v>
      </c>
      <c r="AK9" s="56"/>
      <c r="AL9" s="47">
        <f t="shared" si="7"/>
        <v>1000</v>
      </c>
      <c r="AM9" s="56">
        <f t="shared" si="8"/>
        <v>22059.291953600288</v>
      </c>
      <c r="AO9" s="68">
        <v>4212.0729884000721</v>
      </c>
      <c r="AP9" s="59"/>
      <c r="AQ9" s="60"/>
      <c r="AR9" s="59"/>
      <c r="AS9" s="61"/>
      <c r="AT9" s="61"/>
      <c r="AU9" s="33"/>
      <c r="AV9" s="61"/>
      <c r="AW9" s="61"/>
      <c r="AX9" s="61"/>
      <c r="AY9" s="61"/>
      <c r="AZ9" s="61"/>
      <c r="BA9" s="61"/>
      <c r="BB9" s="61"/>
      <c r="BC9" s="62"/>
      <c r="BD9" s="33"/>
      <c r="BJ9" s="5"/>
      <c r="BT9" s="63">
        <f t="shared" si="9"/>
        <v>1420</v>
      </c>
      <c r="BU9" s="63">
        <f t="shared" si="10"/>
        <v>1733</v>
      </c>
      <c r="BV9" s="63">
        <f t="shared" si="11"/>
        <v>72</v>
      </c>
      <c r="BW9" s="63">
        <f t="shared" si="12"/>
        <v>842</v>
      </c>
      <c r="BX9" s="63">
        <f t="shared" si="13"/>
        <v>144</v>
      </c>
      <c r="BY9" s="63">
        <f t="shared" si="14"/>
        <v>4211</v>
      </c>
      <c r="BZ9" s="63">
        <f t="shared" si="15"/>
        <v>21059.291953600288</v>
      </c>
      <c r="CA9" s="64">
        <f t="shared" si="16"/>
        <v>0.19995923933615864</v>
      </c>
      <c r="CB9" s="64">
        <f t="shared" si="17"/>
        <v>0.53716456898598908</v>
      </c>
      <c r="CC9" s="64">
        <f t="shared" si="18"/>
        <v>0.46283543101401092</v>
      </c>
      <c r="CD9" s="64">
        <f t="shared" si="19"/>
        <v>0.19190174630589138</v>
      </c>
      <c r="CG9" s="48"/>
      <c r="CH9" s="48"/>
      <c r="CI9" s="49"/>
      <c r="CJ9" s="48"/>
      <c r="CK9" s="48"/>
      <c r="CL9" s="49"/>
      <c r="CU9" s="50"/>
      <c r="CV9" s="26"/>
      <c r="CW9" s="26"/>
      <c r="CX9" s="26"/>
      <c r="CY9" s="65"/>
      <c r="CZ9" s="65"/>
      <c r="DA9" s="26"/>
      <c r="DB9" s="26"/>
      <c r="DC9" s="26"/>
      <c r="DD9" s="26"/>
      <c r="DE9" s="26"/>
      <c r="DF9" s="26"/>
      <c r="DG9" s="26"/>
      <c r="DI9" s="66">
        <f t="shared" si="20"/>
        <v>8.9218838653635849E-2</v>
      </c>
      <c r="EM9" s="67">
        <f t="shared" si="21"/>
        <v>16.848291953600288</v>
      </c>
      <c r="EN9" s="67"/>
      <c r="EO9" s="67">
        <f t="shared" si="22"/>
        <v>1.7330000000000001</v>
      </c>
      <c r="EP9" s="67">
        <f t="shared" si="23"/>
        <v>2.4780000000000002</v>
      </c>
      <c r="EQ9" s="67">
        <f t="shared" si="24"/>
        <v>1</v>
      </c>
      <c r="EU9" s="66">
        <f t="shared" si="25"/>
        <v>3.9135617778641218E-2</v>
      </c>
      <c r="EX9" s="14">
        <f t="shared" si="27"/>
        <v>2478</v>
      </c>
      <c r="FF9" s="14">
        <f t="shared" si="26"/>
        <v>16000</v>
      </c>
    </row>
    <row r="10" spans="1:162" ht="12.75" hidden="1" customHeight="1" x14ac:dyDescent="0.2">
      <c r="B10" s="52">
        <v>1989</v>
      </c>
      <c r="C10" s="53">
        <v>28133.120913134495</v>
      </c>
      <c r="D10" s="53"/>
      <c r="E10" s="53"/>
      <c r="F10" s="47"/>
      <c r="G10" s="54">
        <v>125</v>
      </c>
      <c r="H10" s="54">
        <v>250</v>
      </c>
      <c r="I10" s="54">
        <v>709</v>
      </c>
      <c r="J10" s="54">
        <v>1084</v>
      </c>
      <c r="K10" s="47"/>
      <c r="L10" s="55">
        <f t="shared" si="1"/>
        <v>29217.120913134495</v>
      </c>
      <c r="M10" s="47"/>
      <c r="N10" s="47"/>
      <c r="O10" s="47"/>
      <c r="P10" s="56">
        <v>1068.0525294140948</v>
      </c>
      <c r="Q10" s="47"/>
      <c r="R10" s="54">
        <v>0</v>
      </c>
      <c r="S10" s="54">
        <v>2295</v>
      </c>
      <c r="T10" s="54">
        <f t="shared" si="2"/>
        <v>2295</v>
      </c>
      <c r="U10" s="47"/>
      <c r="V10" s="56">
        <f t="shared" si="3"/>
        <v>29201.173442548588</v>
      </c>
      <c r="W10" s="47"/>
      <c r="X10" s="54">
        <v>125</v>
      </c>
      <c r="Y10" s="54">
        <v>250</v>
      </c>
      <c r="Z10" s="54">
        <v>3004</v>
      </c>
      <c r="AA10" s="54">
        <f t="shared" si="4"/>
        <v>3379</v>
      </c>
      <c r="AB10" s="47"/>
      <c r="AC10" s="54">
        <v>2461</v>
      </c>
      <c r="AD10" s="54">
        <v>1460</v>
      </c>
      <c r="AE10" s="54">
        <f t="shared" si="5"/>
        <v>3921</v>
      </c>
      <c r="AF10" s="47"/>
      <c r="AG10" s="47"/>
      <c r="AH10" s="47"/>
      <c r="AI10" s="47"/>
      <c r="AJ10" s="56">
        <f t="shared" si="6"/>
        <v>36501.173442548592</v>
      </c>
      <c r="AK10" s="56"/>
      <c r="AL10" s="47">
        <f t="shared" si="7"/>
        <v>1700</v>
      </c>
      <c r="AM10" s="56">
        <f t="shared" si="8"/>
        <v>38201.173442548592</v>
      </c>
      <c r="AO10" s="68">
        <v>7300.293360637148</v>
      </c>
      <c r="AP10" s="69"/>
      <c r="AQ10" s="60"/>
      <c r="AR10" s="59"/>
      <c r="AS10" s="61"/>
      <c r="AT10" s="61"/>
      <c r="AU10" s="33"/>
      <c r="AV10" s="61"/>
      <c r="AW10" s="61"/>
      <c r="AX10" s="61"/>
      <c r="AY10" s="61"/>
      <c r="AZ10" s="61"/>
      <c r="BA10" s="61"/>
      <c r="BB10" s="61"/>
      <c r="BC10" s="62"/>
      <c r="BD10" s="33"/>
      <c r="BJ10" s="5"/>
      <c r="BT10" s="63">
        <f t="shared" si="9"/>
        <v>2461</v>
      </c>
      <c r="BU10" s="63">
        <f t="shared" si="10"/>
        <v>3004</v>
      </c>
      <c r="BV10" s="63">
        <f t="shared" si="11"/>
        <v>125</v>
      </c>
      <c r="BW10" s="63">
        <f t="shared" si="12"/>
        <v>1460</v>
      </c>
      <c r="BX10" s="63">
        <f t="shared" si="13"/>
        <v>250</v>
      </c>
      <c r="BY10" s="63">
        <f t="shared" si="14"/>
        <v>7300</v>
      </c>
      <c r="BZ10" s="63">
        <f t="shared" si="15"/>
        <v>36501.173442548592</v>
      </c>
      <c r="CA10" s="64">
        <f t="shared" si="16"/>
        <v>0.19999357038452237</v>
      </c>
      <c r="CB10" s="64">
        <f t="shared" si="17"/>
        <v>0.53712328767123285</v>
      </c>
      <c r="CC10" s="64">
        <f t="shared" si="18"/>
        <v>0.46287671232876715</v>
      </c>
      <c r="CD10" s="64">
        <f t="shared" si="19"/>
        <v>0.18888888888888888</v>
      </c>
      <c r="CG10" s="48"/>
      <c r="CH10" s="48"/>
      <c r="CI10" s="49"/>
      <c r="CJ10" s="48"/>
      <c r="CK10" s="48"/>
      <c r="CL10" s="49"/>
      <c r="CU10" s="50"/>
      <c r="CV10" s="26"/>
      <c r="CW10" s="26"/>
      <c r="CX10" s="26"/>
      <c r="CY10" s="65"/>
      <c r="CZ10" s="65"/>
      <c r="DA10" s="26"/>
      <c r="DB10" s="26"/>
      <c r="DC10" s="26"/>
      <c r="DD10" s="26"/>
      <c r="DE10" s="26"/>
      <c r="DF10" s="26"/>
      <c r="DG10" s="26"/>
      <c r="DI10" s="66">
        <f t="shared" si="20"/>
        <v>3.6575671574137894E-2</v>
      </c>
      <c r="EM10" s="67">
        <f t="shared" si="21"/>
        <v>29.201173442548587</v>
      </c>
      <c r="EN10" s="67"/>
      <c r="EO10" s="67">
        <f t="shared" si="22"/>
        <v>3.004</v>
      </c>
      <c r="EP10" s="67">
        <f t="shared" si="23"/>
        <v>4.2960000000000003</v>
      </c>
      <c r="EQ10" s="67">
        <f t="shared" si="24"/>
        <v>1.7</v>
      </c>
      <c r="EU10" s="66">
        <f t="shared" si="25"/>
        <v>3.7101533830894685E-2</v>
      </c>
      <c r="EX10" s="14">
        <f t="shared" si="27"/>
        <v>4296</v>
      </c>
      <c r="FF10" s="14">
        <f t="shared" si="26"/>
        <v>29000</v>
      </c>
    </row>
    <row r="11" spans="1:162" ht="12.75" hidden="1" customHeight="1" x14ac:dyDescent="0.2">
      <c r="B11" s="52">
        <v>1990</v>
      </c>
      <c r="C11" s="53">
        <v>24051.46014449577</v>
      </c>
      <c r="D11" s="53"/>
      <c r="E11" s="53"/>
      <c r="F11" s="47"/>
      <c r="G11" s="54">
        <v>114</v>
      </c>
      <c r="H11" s="54">
        <v>227</v>
      </c>
      <c r="I11" s="54">
        <v>644</v>
      </c>
      <c r="J11" s="54">
        <v>985</v>
      </c>
      <c r="K11" s="47"/>
      <c r="L11" s="55">
        <f t="shared" si="1"/>
        <v>25036.46014449577</v>
      </c>
      <c r="M11" s="47"/>
      <c r="N11" s="47"/>
      <c r="O11" s="47"/>
      <c r="P11" s="56">
        <v>2460</v>
      </c>
      <c r="Q11" s="47"/>
      <c r="R11" s="54">
        <v>0</v>
      </c>
      <c r="S11" s="54">
        <v>2083</v>
      </c>
      <c r="T11" s="54">
        <f t="shared" si="2"/>
        <v>2083</v>
      </c>
      <c r="U11" s="47"/>
      <c r="V11" s="56">
        <f t="shared" si="3"/>
        <v>26511.46014449577</v>
      </c>
      <c r="W11" s="47"/>
      <c r="X11" s="54">
        <v>114</v>
      </c>
      <c r="Y11" s="54">
        <v>227</v>
      </c>
      <c r="Z11" s="54">
        <v>2727</v>
      </c>
      <c r="AA11" s="54">
        <f t="shared" si="4"/>
        <v>3068</v>
      </c>
      <c r="AB11" s="47"/>
      <c r="AC11" s="54">
        <v>2235</v>
      </c>
      <c r="AD11" s="54">
        <v>1326</v>
      </c>
      <c r="AE11" s="54">
        <f t="shared" si="5"/>
        <v>3561</v>
      </c>
      <c r="AF11" s="47"/>
      <c r="AG11" s="47"/>
      <c r="AH11" s="47"/>
      <c r="AI11" s="47"/>
      <c r="AJ11" s="56">
        <f t="shared" si="6"/>
        <v>33140.460144495766</v>
      </c>
      <c r="AK11" s="56"/>
      <c r="AL11" s="47">
        <f t="shared" si="7"/>
        <v>1500</v>
      </c>
      <c r="AM11" s="56">
        <f t="shared" si="8"/>
        <v>34640.460144495766</v>
      </c>
      <c r="AO11" s="68">
        <v>6627.8650361239379</v>
      </c>
      <c r="AP11" s="69"/>
      <c r="AQ11" s="60"/>
      <c r="AR11" s="59"/>
      <c r="AS11" s="61"/>
      <c r="AT11" s="61"/>
      <c r="AU11" s="33"/>
      <c r="AV11" s="61"/>
      <c r="AW11" s="61"/>
      <c r="AX11" s="61"/>
      <c r="AY11" s="61"/>
      <c r="AZ11" s="61"/>
      <c r="BA11" s="61"/>
      <c r="BB11" s="61"/>
      <c r="BC11" s="62"/>
      <c r="BD11" s="33"/>
      <c r="BJ11" s="5"/>
      <c r="BT11" s="63">
        <f t="shared" si="9"/>
        <v>2235</v>
      </c>
      <c r="BU11" s="63">
        <f t="shared" si="10"/>
        <v>2727</v>
      </c>
      <c r="BV11" s="63">
        <f t="shared" si="11"/>
        <v>114</v>
      </c>
      <c r="BW11" s="63">
        <f t="shared" si="12"/>
        <v>1326</v>
      </c>
      <c r="BX11" s="63">
        <f t="shared" si="13"/>
        <v>227</v>
      </c>
      <c r="BY11" s="63">
        <f t="shared" si="14"/>
        <v>6629</v>
      </c>
      <c r="BZ11" s="63">
        <f t="shared" si="15"/>
        <v>33140.460144495766</v>
      </c>
      <c r="CA11" s="64">
        <f t="shared" si="16"/>
        <v>0.20002739766125419</v>
      </c>
      <c r="CB11" s="64">
        <f t="shared" si="17"/>
        <v>0.53718509579122042</v>
      </c>
      <c r="CC11" s="64">
        <f t="shared" si="18"/>
        <v>0.46281490420877963</v>
      </c>
      <c r="CD11" s="64">
        <f t="shared" si="19"/>
        <v>0.18452454176405461</v>
      </c>
      <c r="CG11" s="48"/>
      <c r="CH11" s="48"/>
      <c r="CI11" s="49"/>
      <c r="CJ11" s="48"/>
      <c r="CK11" s="48"/>
      <c r="CL11" s="49"/>
      <c r="CU11" s="50"/>
      <c r="CV11" s="26"/>
      <c r="CW11" s="26"/>
      <c r="CX11" s="26"/>
      <c r="CY11" s="65"/>
      <c r="CZ11" s="65"/>
      <c r="DA11" s="26"/>
      <c r="DB11" s="26"/>
      <c r="DC11" s="26"/>
      <c r="DD11" s="26"/>
      <c r="DE11" s="26"/>
      <c r="DF11" s="26"/>
      <c r="DG11" s="26"/>
      <c r="DI11" s="66">
        <f t="shared" si="20"/>
        <v>9.2790060848864181E-2</v>
      </c>
      <c r="EM11" s="67">
        <f t="shared" si="21"/>
        <v>26.511460144495771</v>
      </c>
      <c r="EN11" s="67"/>
      <c r="EO11" s="67">
        <f t="shared" si="22"/>
        <v>2.7269999999999999</v>
      </c>
      <c r="EP11" s="67">
        <f t="shared" si="23"/>
        <v>3.9020000000000001</v>
      </c>
      <c r="EQ11" s="67">
        <f t="shared" si="24"/>
        <v>1.5</v>
      </c>
      <c r="EU11" s="66">
        <f t="shared" si="25"/>
        <v>3.9342622491964019E-2</v>
      </c>
      <c r="EX11" s="14">
        <f t="shared" si="27"/>
        <v>3902</v>
      </c>
      <c r="FF11" s="14">
        <f t="shared" si="26"/>
        <v>25000</v>
      </c>
    </row>
    <row r="12" spans="1:162" ht="12.75" hidden="1" customHeight="1" x14ac:dyDescent="0.2">
      <c r="B12" s="52">
        <v>1991</v>
      </c>
      <c r="C12" s="53">
        <v>6906.5653839090364</v>
      </c>
      <c r="D12" s="53"/>
      <c r="E12" s="53"/>
      <c r="F12" s="47"/>
      <c r="G12" s="54">
        <v>73</v>
      </c>
      <c r="H12" s="54">
        <v>146</v>
      </c>
      <c r="I12" s="54">
        <v>415</v>
      </c>
      <c r="J12" s="54">
        <v>634</v>
      </c>
      <c r="K12" s="47"/>
      <c r="L12" s="55">
        <f t="shared" si="1"/>
        <v>7540.5653839090364</v>
      </c>
      <c r="M12" s="47"/>
      <c r="N12" s="47"/>
      <c r="O12" s="47"/>
      <c r="P12" s="56">
        <v>1019.1178495328635</v>
      </c>
      <c r="Q12" s="47"/>
      <c r="R12" s="54">
        <v>0</v>
      </c>
      <c r="S12" s="54">
        <v>1341</v>
      </c>
      <c r="T12" s="54">
        <f t="shared" si="2"/>
        <v>1341</v>
      </c>
      <c r="U12" s="47"/>
      <c r="V12" s="56">
        <f t="shared" si="3"/>
        <v>7925.6832334418996</v>
      </c>
      <c r="W12" s="47"/>
      <c r="X12" s="54">
        <v>73</v>
      </c>
      <c r="Y12" s="54">
        <v>146</v>
      </c>
      <c r="Z12" s="54">
        <v>1756</v>
      </c>
      <c r="AA12" s="54">
        <f t="shared" si="4"/>
        <v>1975</v>
      </c>
      <c r="AB12" s="47"/>
      <c r="AC12" s="54">
        <v>1439</v>
      </c>
      <c r="AD12" s="54">
        <v>854</v>
      </c>
      <c r="AE12" s="54">
        <f t="shared" si="5"/>
        <v>2293</v>
      </c>
      <c r="AF12" s="47"/>
      <c r="AG12" s="47"/>
      <c r="AH12" s="47"/>
      <c r="AI12" s="47"/>
      <c r="AJ12" s="56">
        <f t="shared" si="6"/>
        <v>12193.6832334419</v>
      </c>
      <c r="AK12" s="56"/>
      <c r="AL12" s="47">
        <f t="shared" si="7"/>
        <v>600</v>
      </c>
      <c r="AM12" s="56">
        <f t="shared" si="8"/>
        <v>12793.6832334419</v>
      </c>
      <c r="AO12" s="70">
        <v>4267.6755872379454</v>
      </c>
      <c r="AP12" s="69"/>
      <c r="AQ12" s="60"/>
      <c r="AR12" s="59"/>
      <c r="AS12" s="61"/>
      <c r="AT12" s="61"/>
      <c r="AU12" s="33"/>
      <c r="AV12" s="61"/>
      <c r="AW12" s="61"/>
      <c r="AX12" s="61"/>
      <c r="AY12" s="61"/>
      <c r="AZ12" s="61"/>
      <c r="BA12" s="61"/>
      <c r="BB12" s="61"/>
      <c r="BC12" s="62"/>
      <c r="BD12" s="33"/>
      <c r="BJ12" s="5"/>
      <c r="BT12" s="63">
        <f t="shared" si="9"/>
        <v>1439</v>
      </c>
      <c r="BU12" s="63">
        <f t="shared" si="10"/>
        <v>1756</v>
      </c>
      <c r="BV12" s="63">
        <f t="shared" si="11"/>
        <v>73</v>
      </c>
      <c r="BW12" s="63">
        <f t="shared" si="12"/>
        <v>854</v>
      </c>
      <c r="BX12" s="63">
        <f t="shared" si="13"/>
        <v>146</v>
      </c>
      <c r="BY12" s="63">
        <f t="shared" si="14"/>
        <v>4268</v>
      </c>
      <c r="BZ12" s="63">
        <f t="shared" si="15"/>
        <v>12193.6832334419</v>
      </c>
      <c r="CA12" s="64">
        <f t="shared" si="16"/>
        <v>0.35001729324038505</v>
      </c>
      <c r="CB12" s="64">
        <f t="shared" si="17"/>
        <v>0.53725398313027184</v>
      </c>
      <c r="CC12" s="64">
        <f t="shared" si="18"/>
        <v>0.46274601686972822</v>
      </c>
      <c r="CD12" s="64">
        <f t="shared" si="19"/>
        <v>0.12325390304026294</v>
      </c>
      <c r="CG12" s="48"/>
      <c r="CH12" s="48"/>
      <c r="CI12" s="49"/>
      <c r="CJ12" s="48"/>
      <c r="CK12" s="48"/>
      <c r="CL12" s="49"/>
      <c r="CU12" s="50"/>
      <c r="CV12" s="26"/>
      <c r="CW12" s="26"/>
      <c r="CX12" s="26"/>
      <c r="CY12" s="65"/>
      <c r="CZ12" s="65"/>
      <c r="DA12" s="26"/>
      <c r="DB12" s="26"/>
      <c r="DC12" s="26"/>
      <c r="DD12" s="26"/>
      <c r="DE12" s="26"/>
      <c r="DF12" s="26"/>
      <c r="DG12" s="26"/>
      <c r="DI12" s="66">
        <f t="shared" si="20"/>
        <v>0.12858422668632058</v>
      </c>
      <c r="EM12" s="67">
        <f t="shared" si="21"/>
        <v>7.9256832334418998</v>
      </c>
      <c r="EN12" s="67"/>
      <c r="EO12" s="67">
        <f t="shared" si="22"/>
        <v>1.756</v>
      </c>
      <c r="EP12" s="67">
        <f t="shared" si="23"/>
        <v>2.512</v>
      </c>
      <c r="EQ12" s="67">
        <f t="shared" si="24"/>
        <v>0.6</v>
      </c>
      <c r="EU12" s="66">
        <f t="shared" si="25"/>
        <v>8.4078576037932826E-2</v>
      </c>
      <c r="EX12" s="14">
        <f t="shared" si="27"/>
        <v>2512</v>
      </c>
      <c r="FF12" s="14">
        <f t="shared" si="26"/>
        <v>8000</v>
      </c>
    </row>
    <row r="13" spans="1:162" ht="12.75" customHeight="1" x14ac:dyDescent="0.2">
      <c r="B13" s="4">
        <v>1992</v>
      </c>
      <c r="C13" s="71"/>
      <c r="D13" s="71"/>
      <c r="E13" s="71"/>
      <c r="G13" s="14"/>
      <c r="H13" s="14"/>
      <c r="I13" s="14"/>
      <c r="J13" s="14">
        <f t="shared" ref="J13:J36" si="28">SUM(G13:I13)</f>
        <v>0</v>
      </c>
      <c r="L13" s="72">
        <f>'Bayesian Sum (10Feb26)'!K8</f>
        <v>20067.172775785148</v>
      </c>
      <c r="M13" s="73">
        <f t="shared" ref="M13:M42" si="29">H13/L13</f>
        <v>0</v>
      </c>
      <c r="N13" s="56">
        <f>'Data-Coastal-Chin-Esc (new)'!J20</f>
        <v>605</v>
      </c>
      <c r="O13" s="74">
        <f>P13/N13</f>
        <v>3.3939312976056732</v>
      </c>
      <c r="P13" s="14">
        <f>'Data-Coastal-Chin-Esc (new)'!AL20</f>
        <v>2053.3284350514323</v>
      </c>
      <c r="Q13" s="66">
        <f>P13/'A6-Chin (NEW2+Khutz)'!V13</f>
        <v>0.10886446530646149</v>
      </c>
      <c r="R13" s="18" t="s">
        <v>106</v>
      </c>
      <c r="S13" s="927">
        <f t="shared" ref="S13:S20" si="30">(P13/(1-Y$59))-P13</f>
        <v>218.82519947150149</v>
      </c>
      <c r="T13" s="14">
        <f t="shared" si="2"/>
        <v>218.82519947150149</v>
      </c>
      <c r="U13" s="73"/>
      <c r="V13" s="14">
        <f>SUM(P13,C13)</f>
        <v>2053.3284350514323</v>
      </c>
      <c r="X13" s="14">
        <f t="shared" ref="X13:X42" si="31">G13</f>
        <v>0</v>
      </c>
      <c r="Y13" s="14">
        <f t="shared" ref="Y13:Z38" si="32">SUM(H13,R13)</f>
        <v>0</v>
      </c>
      <c r="Z13" s="14">
        <f t="shared" si="32"/>
        <v>218.82519947150149</v>
      </c>
      <c r="AA13" s="14">
        <f t="shared" si="4"/>
        <v>218.82519947150149</v>
      </c>
      <c r="AC13" s="14">
        <f>$Q13*'A6-Chin (NEW2+Khutz)'!AC13</f>
        <v>594.89214384665365</v>
      </c>
      <c r="AD13" s="14">
        <f>$Q13*'A6-Chin (NEW2+Khutz)'!AD13</f>
        <v>349.14421113587798</v>
      </c>
      <c r="AE13" s="14">
        <f t="shared" si="5"/>
        <v>944.03635498253163</v>
      </c>
      <c r="AJ13" s="14">
        <f t="shared" ref="AJ13:AJ46" si="33">SUM(V13,AA13,AE13)</f>
        <v>3216.1899895054653</v>
      </c>
      <c r="AK13" s="66">
        <f>AJ13/'A6-Chin (NEW2+Khutz)'!AJ13</f>
        <v>8.8011121708911413E-2</v>
      </c>
      <c r="AL13" s="14">
        <f>AK13*'A6-Chin (NEW2+Khutz)'!AK13</f>
        <v>149.6189069051494</v>
      </c>
      <c r="AM13" s="14">
        <f>SUM(AJ13:AL13)</f>
        <v>3365.8969075323234</v>
      </c>
      <c r="AN13" s="14"/>
      <c r="AO13" s="14">
        <v>20870</v>
      </c>
      <c r="AP13" s="76">
        <f t="shared" ref="AP13:AP38" si="34">X13/AO13</f>
        <v>0</v>
      </c>
      <c r="AQ13" s="60">
        <f t="shared" ref="AQ13:AQ44" si="35">RANK(L13,L$13:L$46,1)</f>
        <v>19</v>
      </c>
      <c r="AR13" s="59"/>
      <c r="AS13" s="77">
        <f t="shared" ref="AS13:AS40" si="36">SUM(AE13,AA13,AL13)/AM13</f>
        <v>0.38993483681038094</v>
      </c>
      <c r="AT13" s="61">
        <f>I13/$L13</f>
        <v>0</v>
      </c>
      <c r="AU13" s="61">
        <f t="shared" ref="AU13:AU39" si="37">H13/$L13</f>
        <v>0</v>
      </c>
      <c r="AV13" s="61">
        <f t="shared" ref="AV13:AV39" si="38">J13/$L13</f>
        <v>0</v>
      </c>
      <c r="AW13" s="61"/>
      <c r="AX13" s="33"/>
      <c r="AY13" s="61">
        <f t="shared" ref="AY13:AY39" si="39">Z13/$AM13</f>
        <v>6.501244853394253E-2</v>
      </c>
      <c r="AZ13" s="61">
        <f t="shared" ref="AZ13:AZ46" si="40">AC13/$AM13</f>
        <v>0.17674104709368338</v>
      </c>
      <c r="BA13" s="61">
        <f t="shared" ref="BA13:BA39" si="41">SUM(Y13,AD13)/$AM13</f>
        <v>0.10372991827365559</v>
      </c>
      <c r="BB13" s="61">
        <f t="shared" ref="BB13:BB39" si="42">X13/AM13</f>
        <v>0</v>
      </c>
      <c r="BC13" s="61">
        <f>SUM(AA13,AE13)/AM13</f>
        <v>0.34548341390128146</v>
      </c>
      <c r="BD13" s="61">
        <f>AL13/AM13</f>
        <v>4.4451422909099474E-2</v>
      </c>
      <c r="BE13" s="78">
        <f t="shared" ref="BE13:BE46" si="43">SUM(AA13,AE13,AL13)/AM13</f>
        <v>0.38993483681038094</v>
      </c>
      <c r="BF13" s="17"/>
      <c r="BG13" s="17"/>
      <c r="BH13" s="22">
        <f>'[1]Data-PSC CH Tables'!C7</f>
        <v>16808</v>
      </c>
      <c r="BI13" s="22">
        <f>'[1]Data-PSC CH Tables'!AG7</f>
        <v>35397.166666666664</v>
      </c>
      <c r="BJ13" s="22">
        <f>'[1]Data-PSC CH Tables'!AI7</f>
        <v>37197.166666666664</v>
      </c>
      <c r="BK13" s="17"/>
      <c r="BL13" s="22">
        <f>BH13-C13</f>
        <v>16808</v>
      </c>
      <c r="BM13" s="22">
        <f>BI13-AJ13</f>
        <v>32180.976677161198</v>
      </c>
      <c r="BN13" s="22">
        <f>BJ13-AM13</f>
        <v>33831.269759134339</v>
      </c>
      <c r="BP13" s="33"/>
      <c r="BQ13" s="33"/>
      <c r="BR13" s="33"/>
      <c r="BT13" s="62">
        <f>AC13</f>
        <v>594.89214384665365</v>
      </c>
      <c r="BU13" s="62">
        <f t="shared" si="10"/>
        <v>218.82519947150149</v>
      </c>
      <c r="BV13" s="62">
        <f t="shared" si="11"/>
        <v>0</v>
      </c>
      <c r="BW13" s="62">
        <f t="shared" si="12"/>
        <v>349.14421113587798</v>
      </c>
      <c r="BX13" s="62">
        <f t="shared" si="13"/>
        <v>0</v>
      </c>
      <c r="BY13" s="62">
        <f t="shared" si="14"/>
        <v>1162.861554454033</v>
      </c>
      <c r="BZ13" s="62">
        <f t="shared" si="15"/>
        <v>3216.1899895054653</v>
      </c>
      <c r="CA13" s="79">
        <f>BY13/BZ13</f>
        <v>0.36156494431252162</v>
      </c>
      <c r="CB13" s="79">
        <f>SUM(BW13,BT13)/BY13</f>
        <v>0.81182179543785804</v>
      </c>
      <c r="CC13" s="79">
        <f>SUM(BU13:BV13,BX13)/BY13</f>
        <v>0.18817820456214204</v>
      </c>
      <c r="CD13" s="79">
        <f t="shared" si="19"/>
        <v>0.11399705466868941</v>
      </c>
      <c r="CE13" s="80"/>
      <c r="CG13" s="36">
        <v>35901.329965764526</v>
      </c>
      <c r="CH13" s="36">
        <v>37701.329965764526</v>
      </c>
      <c r="CI13" s="81">
        <f>CG13-AJ13</f>
        <v>32685.139976259059</v>
      </c>
      <c r="CJ13" s="36">
        <f>CH13-AM13</f>
        <v>34335.4330582322</v>
      </c>
      <c r="CK13" s="36">
        <v>18219.663299097861</v>
      </c>
      <c r="CL13" s="81">
        <f>V13-CK13</f>
        <v>-16166.334864046428</v>
      </c>
      <c r="CN13" s="33"/>
      <c r="CO13" s="82"/>
      <c r="CP13" s="82"/>
      <c r="CQ13" s="82"/>
      <c r="CR13" s="33"/>
      <c r="CS13" s="33"/>
      <c r="CT13" s="33"/>
      <c r="CU13" s="83"/>
      <c r="CV13" s="33"/>
      <c r="CW13" s="33"/>
      <c r="CX13" s="33"/>
      <c r="CY13" s="84"/>
      <c r="CZ13" s="84"/>
      <c r="DA13" s="33"/>
      <c r="DB13" s="33"/>
      <c r="DC13" s="33"/>
      <c r="DD13" s="33"/>
      <c r="DE13" s="33"/>
      <c r="DF13" s="33"/>
      <c r="DG13" s="33"/>
      <c r="DI13" s="66">
        <f t="shared" si="20"/>
        <v>1</v>
      </c>
      <c r="DL13" s="85">
        <f t="shared" ref="DL13:DL20" si="44">AA13+V13</f>
        <v>2272.1536345229338</v>
      </c>
      <c r="DO13" s="3">
        <f>($DL13*DL$50)</f>
        <v>251.44992948535497</v>
      </c>
      <c r="DP13" s="86">
        <f>DO13/DL13</f>
        <v>0.1106659011366324</v>
      </c>
      <c r="DQ13" s="3">
        <f t="shared" ref="DQ13:DQ20" si="45">($DL13*DM$50)</f>
        <v>101.04931683129595</v>
      </c>
      <c r="DR13" s="86">
        <f>DQ13/DL13</f>
        <v>4.4472924407909807E-2</v>
      </c>
      <c r="DT13" s="14">
        <f t="shared" ref="DT13:DT39" si="46">V13</f>
        <v>2053.3284350514323</v>
      </c>
      <c r="DU13" s="14">
        <v>17715.5</v>
      </c>
      <c r="DV13" s="14">
        <f>DU13-DT13</f>
        <v>15662.171564948567</v>
      </c>
      <c r="DX13" s="14">
        <f t="shared" ref="DX13:DX39" si="47">AJ13</f>
        <v>3216.1899895054653</v>
      </c>
      <c r="DY13" s="14">
        <v>34686.666666666664</v>
      </c>
      <c r="DZ13" s="14">
        <f>DY13-DX13</f>
        <v>31470.476677161198</v>
      </c>
      <c r="EB13" s="3">
        <v>8671.6666666666642</v>
      </c>
      <c r="ED13" s="87">
        <f t="shared" ref="ED13:ED20" si="48">ROUND(EB13*ED$48,0)</f>
        <v>5605</v>
      </c>
      <c r="EE13" s="88">
        <f>EB13-ED13</f>
        <v>3066.6666666666642</v>
      </c>
      <c r="EF13" s="3">
        <f>SUM(ED13:EE13)</f>
        <v>8671.6666666666642</v>
      </c>
      <c r="EH13" s="14">
        <f t="shared" ref="EH13:EH39" si="49">SUM(X13:Y13,AE13)</f>
        <v>944.03635498253163</v>
      </c>
      <c r="EJ13" s="89">
        <f>$P13/B13</f>
        <v>1.0307873669936909</v>
      </c>
      <c r="EK13" s="89">
        <f t="shared" ref="EK13:EK39" si="50">$P13/V13</f>
        <v>1</v>
      </c>
      <c r="EM13" s="67"/>
      <c r="EN13" s="67">
        <f t="shared" ref="EN13:EN39" si="51">V13/1000</f>
        <v>2.0533284350514323</v>
      </c>
      <c r="EO13" s="67">
        <f t="shared" si="22"/>
        <v>0.2188251994715015</v>
      </c>
      <c r="EP13" s="67">
        <f t="shared" si="23"/>
        <v>0.94403635498253169</v>
      </c>
      <c r="EQ13" s="67">
        <f t="shared" si="24"/>
        <v>0.1496189069051494</v>
      </c>
      <c r="EU13" s="66">
        <f t="shared" si="25"/>
        <v>0</v>
      </c>
      <c r="EX13" s="14">
        <f t="shared" si="27"/>
        <v>944.03635498253152</v>
      </c>
      <c r="EZ13" s="14">
        <f t="shared" ref="EZ13:EZ39" si="52">G13+H13</f>
        <v>0</v>
      </c>
      <c r="FA13" s="14" t="e">
        <f t="shared" ref="FA13:FA39" si="53">EZ13+R13</f>
        <v>#VALUE!</v>
      </c>
      <c r="FC13" s="14">
        <f t="shared" ref="FC13:FC39" si="54">L13+SUM(S13,AE13,AL13)*FD13</f>
        <v>21257.822658981931</v>
      </c>
      <c r="FD13" s="66">
        <f t="shared" ref="FD13:FD39" si="55">L13/SUM(L13,P13)</f>
        <v>0.90717532051011884</v>
      </c>
      <c r="FF13" s="14">
        <f t="shared" si="26"/>
        <v>20000</v>
      </c>
    </row>
    <row r="14" spans="1:162" x14ac:dyDescent="0.2">
      <c r="B14" s="4">
        <v>1993</v>
      </c>
      <c r="C14" s="71"/>
      <c r="D14" s="71"/>
      <c r="E14" s="71"/>
      <c r="G14" s="14"/>
      <c r="H14" s="14"/>
      <c r="I14" s="14"/>
      <c r="J14" s="14">
        <f t="shared" si="28"/>
        <v>0</v>
      </c>
      <c r="L14" s="72">
        <f>'Bayesian Sum (10Feb26)'!K9</f>
        <v>27923.11844982941</v>
      </c>
      <c r="M14" s="73">
        <f t="shared" si="29"/>
        <v>0</v>
      </c>
      <c r="N14" s="56">
        <f>'Data-Coastal-Chin-Esc (new)'!J21</f>
        <v>782.82788840181149</v>
      </c>
      <c r="O14" s="74">
        <f t="shared" ref="O14:O46" si="56">P14/N14</f>
        <v>2.9294556776379834</v>
      </c>
      <c r="P14" s="14">
        <f>'Data-Coastal-Chin-Esc (new)'!AL21</f>
        <v>2293.2596022920402</v>
      </c>
      <c r="Q14" s="66">
        <f>P14/'A6-Chin (NEW2+Khutz)'!V14</f>
        <v>8.4599462872231274E-2</v>
      </c>
      <c r="R14" s="18" t="s">
        <v>106</v>
      </c>
      <c r="S14" s="927">
        <f t="shared" si="30"/>
        <v>244.39489627918283</v>
      </c>
      <c r="T14" s="14">
        <f t="shared" ref="T14:T45" si="57">SUM(R14:S14)</f>
        <v>244.39489627918283</v>
      </c>
      <c r="U14" s="73"/>
      <c r="V14" s="14">
        <f t="shared" si="3"/>
        <v>2293.2596022920402</v>
      </c>
      <c r="X14" s="14">
        <f t="shared" si="31"/>
        <v>0</v>
      </c>
      <c r="Y14" s="14">
        <f t="shared" si="32"/>
        <v>0</v>
      </c>
      <c r="Z14" s="14">
        <f t="shared" si="32"/>
        <v>244.39489627918283</v>
      </c>
      <c r="AA14" s="14">
        <f t="shared" si="4"/>
        <v>244.39489627918283</v>
      </c>
      <c r="AC14" s="14">
        <f>$Q14*'A6-Chin (NEW2+Khutz)'!AC14</f>
        <v>660.6658952655697</v>
      </c>
      <c r="AD14" s="14">
        <f>$Q14*'A6-Chin (NEW2+Khutz)'!AD14</f>
        <v>387.74704828903486</v>
      </c>
      <c r="AE14" s="14">
        <f t="shared" ref="AE14:AE46" si="58">SUM(AC14:AD14)</f>
        <v>1048.4129435546047</v>
      </c>
      <c r="AJ14" s="14">
        <f t="shared" si="33"/>
        <v>3586.0674421258277</v>
      </c>
      <c r="AK14" s="66">
        <f>AJ14/'A6-Chin (NEW2+Khutz)'!AJ14</f>
        <v>7.6840581706527467E-2</v>
      </c>
      <c r="AL14" s="14">
        <f>AK14*'A6-Chin (NEW2+Khutz)'!AK14</f>
        <v>169.04927975436041</v>
      </c>
      <c r="AM14" s="14">
        <f t="shared" ref="AM14:AM38" si="59">SUM(AJ14:AL14)</f>
        <v>3755.1935624618945</v>
      </c>
      <c r="AN14" s="14"/>
      <c r="AO14" s="14">
        <v>21829.333333333332</v>
      </c>
      <c r="AP14" s="76">
        <f t="shared" si="34"/>
        <v>0</v>
      </c>
      <c r="AQ14" s="60">
        <f t="shared" si="35"/>
        <v>31</v>
      </c>
      <c r="AR14" s="59"/>
      <c r="AS14" s="77">
        <f t="shared" si="36"/>
        <v>0.38928941884682994</v>
      </c>
      <c r="AT14" s="61">
        <f t="shared" ref="AT14:AT39" si="60">I14/L14</f>
        <v>0</v>
      </c>
      <c r="AU14" s="61">
        <f t="shared" si="37"/>
        <v>0</v>
      </c>
      <c r="AV14" s="61">
        <f t="shared" si="38"/>
        <v>0</v>
      </c>
      <c r="AW14" s="61"/>
      <c r="AX14" s="33"/>
      <c r="AY14" s="61">
        <f t="shared" si="39"/>
        <v>6.5081837251275587E-2</v>
      </c>
      <c r="AZ14" s="61">
        <f t="shared" si="40"/>
        <v>0.17593391240062708</v>
      </c>
      <c r="BA14" s="61">
        <f t="shared" si="41"/>
        <v>0.10325620819258888</v>
      </c>
      <c r="BB14" s="61">
        <f t="shared" si="42"/>
        <v>0</v>
      </c>
      <c r="BC14" s="61">
        <f t="shared" ref="BC14:BC46" si="61">SUM(AA14,AE14)/AM14</f>
        <v>0.34427195784449161</v>
      </c>
      <c r="BD14" s="61">
        <f t="shared" ref="BD14:BD33" si="62">AL14/AM14</f>
        <v>4.5017461002338367E-2</v>
      </c>
      <c r="BE14" s="78">
        <f t="shared" si="43"/>
        <v>0.38928941884682994</v>
      </c>
      <c r="BF14" s="17"/>
      <c r="BG14" s="17"/>
      <c r="BH14" s="22">
        <f>'[1]Data-PSC CH Tables'!C8</f>
        <v>24814</v>
      </c>
      <c r="BI14" s="22">
        <f>'[1]Data-PSC CH Tables'!AG8</f>
        <v>45414.424903021361</v>
      </c>
      <c r="BJ14" s="22">
        <f>'[1]Data-PSC CH Tables'!AI8</f>
        <v>47714.424903021361</v>
      </c>
      <c r="BK14" s="17"/>
      <c r="BL14" s="22">
        <f t="shared" ref="BL14:BL46" si="63">BH14-C14</f>
        <v>24814</v>
      </c>
      <c r="BM14" s="22">
        <f t="shared" ref="BM14:BM46" si="64">BI14-AJ14</f>
        <v>41828.357460895531</v>
      </c>
      <c r="BN14" s="22">
        <f t="shared" ref="BN14:BN46" si="65">BJ14-AM14</f>
        <v>43959.231340559469</v>
      </c>
      <c r="BP14" s="33"/>
      <c r="BQ14" s="33"/>
      <c r="BR14" s="33"/>
      <c r="BT14" s="62">
        <f t="shared" ref="BT14:BT46" si="66">AC14</f>
        <v>660.6658952655697</v>
      </c>
      <c r="BU14" s="62">
        <f t="shared" si="10"/>
        <v>244.39489627918283</v>
      </c>
      <c r="BV14" s="62">
        <f t="shared" si="11"/>
        <v>0</v>
      </c>
      <c r="BW14" s="62">
        <f t="shared" si="12"/>
        <v>387.74704828903486</v>
      </c>
      <c r="BX14" s="62">
        <f t="shared" si="13"/>
        <v>0</v>
      </c>
      <c r="BY14" s="62">
        <f t="shared" ref="BY14:BY46" si="67">SUM(BT14:BX14)</f>
        <v>1292.8078398337875</v>
      </c>
      <c r="BZ14" s="62">
        <f t="shared" si="15"/>
        <v>3586.0674421258277</v>
      </c>
      <c r="CA14" s="79">
        <f t="shared" ref="CA14:CA46" si="68">BY14/BZ14</f>
        <v>0.3605085126529044</v>
      </c>
      <c r="CB14" s="79">
        <f t="shared" ref="CB14:CB46" si="69">SUM(BW14,BT14)/BY14</f>
        <v>0.81095806449425312</v>
      </c>
      <c r="CC14" s="79">
        <f t="shared" ref="CC14:CC46" si="70">SUM(BU14:BV14,BX14)/BY14</f>
        <v>0.18904193550574691</v>
      </c>
      <c r="CD14" s="79">
        <f t="shared" si="19"/>
        <v>0.1156400837600237</v>
      </c>
      <c r="CE14" s="33"/>
      <c r="CG14" s="36">
        <v>46202.260715537923</v>
      </c>
      <c r="CH14" s="36">
        <v>48502.260715537923</v>
      </c>
      <c r="CI14" s="81">
        <f t="shared" ref="CI14:CI21" si="71">CG14-AJ14</f>
        <v>42616.193273412093</v>
      </c>
      <c r="CJ14" s="36">
        <f t="shared" ref="CJ14:CJ21" si="72">CH14-AM14</f>
        <v>44747.06715307603</v>
      </c>
      <c r="CK14" s="36">
        <v>26640.594048871259</v>
      </c>
      <c r="CL14" s="81">
        <f t="shared" ref="CL14:CL46" si="73">V14-CK14</f>
        <v>-24347.334446579218</v>
      </c>
      <c r="CN14" s="33"/>
      <c r="CO14" s="82"/>
      <c r="CP14" s="82"/>
      <c r="CQ14" s="82"/>
      <c r="CR14" s="33"/>
      <c r="CS14" s="33"/>
      <c r="CT14" s="33"/>
      <c r="CU14" s="83"/>
      <c r="CV14" s="33"/>
      <c r="CW14" s="33"/>
      <c r="CX14" s="33"/>
      <c r="CY14" s="84"/>
      <c r="CZ14" s="84"/>
      <c r="DA14" s="33"/>
      <c r="DB14" s="33"/>
      <c r="DC14" s="33"/>
      <c r="DD14" s="33"/>
      <c r="DE14" s="33"/>
      <c r="DF14" s="33"/>
      <c r="DG14" s="33"/>
      <c r="DI14" s="66">
        <f t="shared" si="20"/>
        <v>1</v>
      </c>
      <c r="DL14" s="90">
        <f t="shared" si="44"/>
        <v>2537.654498571223</v>
      </c>
      <c r="DO14" s="3">
        <f t="shared" ref="DO14:DO20" si="74">(DL14*DL$50)</f>
        <v>280.83182185781345</v>
      </c>
      <c r="DP14" s="86">
        <f t="shared" ref="DP14:DP20" si="75">DO14/DL14</f>
        <v>0.11066590113663241</v>
      </c>
      <c r="DQ14" s="3">
        <f t="shared" si="45"/>
        <v>112.85691668835027</v>
      </c>
      <c r="DR14" s="86">
        <f t="shared" ref="DR14:DR20" si="76">DQ14/DL14</f>
        <v>4.4472924407909807E-2</v>
      </c>
      <c r="DT14" s="14">
        <f t="shared" si="46"/>
        <v>2293.2596022920402</v>
      </c>
      <c r="DU14" s="14">
        <v>25852.758236354697</v>
      </c>
      <c r="DV14" s="14">
        <f t="shared" ref="DV14:DV37" si="77">DU14-DT14</f>
        <v>23559.498634062656</v>
      </c>
      <c r="DX14" s="14">
        <f t="shared" si="47"/>
        <v>3586.0674421258277</v>
      </c>
      <c r="DY14" s="14">
        <v>49570.666666666664</v>
      </c>
      <c r="DZ14" s="14">
        <f t="shared" ref="DZ14:DZ37" si="78">DY14-DX14</f>
        <v>45984.599224540834</v>
      </c>
      <c r="EB14" s="3">
        <v>12392.666666666664</v>
      </c>
      <c r="ED14" s="91">
        <f t="shared" si="48"/>
        <v>8009</v>
      </c>
      <c r="EE14" s="92">
        <f t="shared" ref="EE14:EE20" si="79">EB14-ED14</f>
        <v>4383.6666666666642</v>
      </c>
      <c r="EF14" s="3">
        <f t="shared" ref="EF14:EF20" si="80">SUM(ED14:EE14)</f>
        <v>12392.666666666664</v>
      </c>
      <c r="EH14" s="14">
        <f t="shared" si="49"/>
        <v>1048.4129435546047</v>
      </c>
      <c r="EJ14" s="89">
        <f t="shared" ref="EJ14:EJ32" si="81">P14/B14</f>
        <v>1.1506571009995183</v>
      </c>
      <c r="EK14" s="89">
        <f t="shared" si="50"/>
        <v>1</v>
      </c>
      <c r="EM14" s="67"/>
      <c r="EN14" s="67">
        <f t="shared" si="51"/>
        <v>2.2932596022920402</v>
      </c>
      <c r="EO14" s="67">
        <f t="shared" si="22"/>
        <v>0.24439489627918284</v>
      </c>
      <c r="EP14" s="67">
        <f t="shared" si="23"/>
        <v>1.0484129435546046</v>
      </c>
      <c r="EQ14" s="67">
        <f t="shared" si="24"/>
        <v>0.1690492797543604</v>
      </c>
      <c r="EU14" s="66">
        <f t="shared" si="25"/>
        <v>0</v>
      </c>
      <c r="EX14" s="14">
        <f t="shared" si="27"/>
        <v>1048.4129435546047</v>
      </c>
      <c r="EZ14" s="14">
        <f t="shared" si="52"/>
        <v>0</v>
      </c>
      <c r="FA14" s="14" t="e">
        <f t="shared" si="53"/>
        <v>#VALUE!</v>
      </c>
      <c r="FC14" s="14">
        <f t="shared" si="54"/>
        <v>29274.028523716323</v>
      </c>
      <c r="FD14" s="66">
        <f t="shared" si="55"/>
        <v>0.92410541070354946</v>
      </c>
      <c r="FF14" s="14">
        <f t="shared" si="26"/>
        <v>28000</v>
      </c>
    </row>
    <row r="15" spans="1:162" x14ac:dyDescent="0.2">
      <c r="B15" s="4">
        <v>1994</v>
      </c>
      <c r="C15" s="71"/>
      <c r="D15" s="71"/>
      <c r="E15" s="71"/>
      <c r="G15" s="14"/>
      <c r="H15" s="14"/>
      <c r="I15" s="14"/>
      <c r="J15" s="14">
        <f t="shared" si="28"/>
        <v>0</v>
      </c>
      <c r="L15" s="72">
        <f>'Bayesian Sum (10Feb26)'!K10</f>
        <v>26750</v>
      </c>
      <c r="M15" s="73">
        <f t="shared" si="29"/>
        <v>0</v>
      </c>
      <c r="N15" s="56">
        <f>'Data-Coastal-Chin-Esc (new)'!J22</f>
        <v>2376.1408268349237</v>
      </c>
      <c r="O15" s="74">
        <f t="shared" si="56"/>
        <v>2.4315259774436448</v>
      </c>
      <c r="P15" s="14">
        <f>'Data-Coastal-Chin-Esc (new)'!AL22</f>
        <v>5777.6481465135384</v>
      </c>
      <c r="Q15" s="66">
        <f>P15/'A6-Chin (NEW2+Khutz)'!V15</f>
        <v>0.19640518787419853</v>
      </c>
      <c r="R15" s="18" t="s">
        <v>106</v>
      </c>
      <c r="S15" s="927">
        <f t="shared" si="30"/>
        <v>615.72955721781909</v>
      </c>
      <c r="T15" s="14">
        <f t="shared" si="57"/>
        <v>615.72955721781909</v>
      </c>
      <c r="U15" s="73"/>
      <c r="V15" s="14">
        <f t="shared" si="3"/>
        <v>5777.6481465135384</v>
      </c>
      <c r="X15" s="14">
        <f t="shared" si="31"/>
        <v>0</v>
      </c>
      <c r="Y15" s="14">
        <f t="shared" si="32"/>
        <v>0</v>
      </c>
      <c r="Z15" s="14">
        <f t="shared" si="32"/>
        <v>615.72955721781909</v>
      </c>
      <c r="AA15" s="14">
        <f t="shared" si="4"/>
        <v>615.72955721781909</v>
      </c>
      <c r="AC15" s="14">
        <f>$Q15*'A6-Chin (NEW2+Khutz)'!AC15</f>
        <v>1322.0958188008717</v>
      </c>
      <c r="AD15" s="14">
        <f>$Q15*'A6-Chin (NEW2+Khutz)'!AD15</f>
        <v>775.94250735350261</v>
      </c>
      <c r="AE15" s="14">
        <f t="shared" si="58"/>
        <v>2098.0383261543743</v>
      </c>
      <c r="AJ15" s="14">
        <f t="shared" si="33"/>
        <v>8491.4160298857314</v>
      </c>
      <c r="AK15" s="66">
        <f>AJ15/'A6-Chin (NEW2+Khutz)'!AJ15</f>
        <v>0.17942703006588143</v>
      </c>
      <c r="AL15" s="14">
        <f>AK15*'A6-Chin (NEW2+Khutz)'!AK15</f>
        <v>394.73946614493912</v>
      </c>
      <c r="AM15" s="14">
        <f t="shared" si="59"/>
        <v>8886.3349230607364</v>
      </c>
      <c r="AN15" s="14"/>
      <c r="AO15" s="14">
        <f>'[1]Data-FW Catch Rates - new'!CE9</f>
        <v>23205.075000000001</v>
      </c>
      <c r="AP15" s="76">
        <f t="shared" si="34"/>
        <v>0</v>
      </c>
      <c r="AQ15" s="60">
        <f t="shared" si="35"/>
        <v>28</v>
      </c>
      <c r="AR15" s="59"/>
      <c r="AS15" s="77">
        <f t="shared" si="36"/>
        <v>0.3498075839399562</v>
      </c>
      <c r="AT15" s="61">
        <f t="shared" si="60"/>
        <v>0</v>
      </c>
      <c r="AU15" s="61">
        <f t="shared" si="37"/>
        <v>0</v>
      </c>
      <c r="AV15" s="61">
        <f t="shared" si="38"/>
        <v>0</v>
      </c>
      <c r="AW15" s="61"/>
      <c r="AX15" s="33"/>
      <c r="AY15" s="61">
        <f t="shared" si="39"/>
        <v>6.9289483521485618E-2</v>
      </c>
      <c r="AZ15" s="61">
        <f t="shared" si="40"/>
        <v>0.14877852683336629</v>
      </c>
      <c r="BA15" s="61">
        <f t="shared" si="41"/>
        <v>8.731862056424082E-2</v>
      </c>
      <c r="BB15" s="61">
        <f t="shared" si="42"/>
        <v>0</v>
      </c>
      <c r="BC15" s="61">
        <f t="shared" si="61"/>
        <v>0.30538663091909274</v>
      </c>
      <c r="BD15" s="61">
        <f t="shared" si="62"/>
        <v>4.4420953020863442E-2</v>
      </c>
      <c r="BE15" s="78">
        <f t="shared" si="43"/>
        <v>0.3498075839399562</v>
      </c>
      <c r="BF15" s="17"/>
      <c r="BG15" s="17"/>
      <c r="BH15" s="22">
        <f>'[1]Data-PSC CH Tables'!C9</f>
        <v>21169</v>
      </c>
      <c r="BI15" s="22">
        <f>'[1]Data-PSC CH Tables'!AG9</f>
        <v>42779.776135958484</v>
      </c>
      <c r="BJ15" s="22">
        <f>'[1]Data-PSC CH Tables'!AI9</f>
        <v>44979.776135958484</v>
      </c>
      <c r="BK15" s="17"/>
      <c r="BL15" s="22">
        <f t="shared" si="63"/>
        <v>21169</v>
      </c>
      <c r="BM15" s="22">
        <f t="shared" si="64"/>
        <v>34288.360106072752</v>
      </c>
      <c r="BN15" s="22">
        <f t="shared" si="65"/>
        <v>36093.441212897749</v>
      </c>
      <c r="BP15" s="33"/>
      <c r="BQ15" s="33"/>
      <c r="BR15" s="33"/>
      <c r="BT15" s="62">
        <f t="shared" si="66"/>
        <v>1322.0958188008717</v>
      </c>
      <c r="BU15" s="62">
        <f t="shared" si="10"/>
        <v>615.72955721781909</v>
      </c>
      <c r="BV15" s="62">
        <f t="shared" si="11"/>
        <v>0</v>
      </c>
      <c r="BW15" s="62">
        <f t="shared" si="12"/>
        <v>775.94250735350261</v>
      </c>
      <c r="BX15" s="62">
        <f t="shared" si="13"/>
        <v>0</v>
      </c>
      <c r="BY15" s="62">
        <f t="shared" si="67"/>
        <v>2713.7678833721934</v>
      </c>
      <c r="BZ15" s="62">
        <f t="shared" si="15"/>
        <v>8491.4160298857314</v>
      </c>
      <c r="CA15" s="79">
        <f t="shared" si="68"/>
        <v>0.31958955653815874</v>
      </c>
      <c r="CB15" s="79">
        <f t="shared" si="69"/>
        <v>0.77310898216810686</v>
      </c>
      <c r="CC15" s="79">
        <f t="shared" si="70"/>
        <v>0.22689101783189308</v>
      </c>
      <c r="CD15" s="79">
        <f t="shared" si="19"/>
        <v>0.12698682092749655</v>
      </c>
      <c r="CE15" s="33"/>
      <c r="CG15" s="36">
        <v>44621.509403792777</v>
      </c>
      <c r="CH15" s="36">
        <v>46921.509403792777</v>
      </c>
      <c r="CI15" s="81">
        <f t="shared" si="71"/>
        <v>36130.093373907046</v>
      </c>
      <c r="CJ15" s="36">
        <f t="shared" si="72"/>
        <v>38035.174480732043</v>
      </c>
      <c r="CK15" s="36">
        <v>26713.315369803149</v>
      </c>
      <c r="CL15" s="81">
        <f t="shared" si="73"/>
        <v>-20935.667223289609</v>
      </c>
      <c r="CN15" s="33"/>
      <c r="CO15" s="82"/>
      <c r="CP15" s="82"/>
      <c r="CQ15" s="82"/>
      <c r="CR15" s="33"/>
      <c r="CS15" s="33"/>
      <c r="CT15" s="33"/>
      <c r="CU15" s="83"/>
      <c r="CV15" s="33"/>
      <c r="CW15" s="33"/>
      <c r="CX15" s="33"/>
      <c r="CY15" s="84"/>
      <c r="CZ15" s="84"/>
      <c r="DA15" s="33"/>
      <c r="DB15" s="33"/>
      <c r="DC15" s="33"/>
      <c r="DD15" s="33"/>
      <c r="DE15" s="33"/>
      <c r="DF15" s="33"/>
      <c r="DG15" s="33"/>
      <c r="DI15" s="66">
        <f t="shared" si="20"/>
        <v>1</v>
      </c>
      <c r="DL15" s="90">
        <f t="shared" si="44"/>
        <v>6393.3777037313575</v>
      </c>
      <c r="DO15" s="3">
        <f t="shared" si="74"/>
        <v>707.52890489028425</v>
      </c>
      <c r="DP15" s="86">
        <f t="shared" si="75"/>
        <v>0.1106659011366324</v>
      </c>
      <c r="DQ15" s="3">
        <f t="shared" si="45"/>
        <v>284.33220332926066</v>
      </c>
      <c r="DR15" s="86">
        <f t="shared" si="76"/>
        <v>4.4472924407909807E-2</v>
      </c>
      <c r="DT15" s="14">
        <f t="shared" si="46"/>
        <v>5777.6481465135384</v>
      </c>
      <c r="DU15" s="14">
        <v>24871.582101968863</v>
      </c>
      <c r="DV15" s="14">
        <f t="shared" si="77"/>
        <v>19093.933955455323</v>
      </c>
      <c r="DX15" s="14">
        <f t="shared" si="47"/>
        <v>8491.4160298857314</v>
      </c>
      <c r="DY15" s="14">
        <v>42728.776135958484</v>
      </c>
      <c r="DZ15" s="14">
        <f t="shared" si="78"/>
        <v>34237.360106072752</v>
      </c>
      <c r="EB15" s="3">
        <v>10682.194033989621</v>
      </c>
      <c r="ED15" s="91">
        <f t="shared" si="48"/>
        <v>6904</v>
      </c>
      <c r="EE15" s="92">
        <f t="shared" si="79"/>
        <v>3778.1940339896209</v>
      </c>
      <c r="EF15" s="3">
        <f t="shared" si="80"/>
        <v>10682.194033989621</v>
      </c>
      <c r="EH15" s="14">
        <f t="shared" si="49"/>
        <v>2098.0383261543743</v>
      </c>
      <c r="EJ15" s="89">
        <f t="shared" si="81"/>
        <v>2.8975166231261476</v>
      </c>
      <c r="EK15" s="89">
        <f t="shared" si="50"/>
        <v>1</v>
      </c>
      <c r="EM15" s="67"/>
      <c r="EN15" s="67">
        <f t="shared" si="51"/>
        <v>5.7776481465135383</v>
      </c>
      <c r="EO15" s="67">
        <f t="shared" si="22"/>
        <v>0.61572955721781908</v>
      </c>
      <c r="EP15" s="67">
        <f t="shared" si="23"/>
        <v>2.0980383261543745</v>
      </c>
      <c r="EQ15" s="67">
        <f t="shared" si="24"/>
        <v>0.3947394661449391</v>
      </c>
      <c r="EU15" s="66">
        <f t="shared" si="25"/>
        <v>0</v>
      </c>
      <c r="EX15" s="14">
        <f t="shared" si="27"/>
        <v>2098.0383261543743</v>
      </c>
      <c r="EZ15" s="14">
        <f t="shared" si="52"/>
        <v>0</v>
      </c>
      <c r="FA15" s="14" t="e">
        <f t="shared" si="53"/>
        <v>#VALUE!</v>
      </c>
      <c r="FC15" s="14">
        <f t="shared" si="54"/>
        <v>29306.365932914705</v>
      </c>
      <c r="FD15" s="66">
        <f t="shared" si="55"/>
        <v>0.82237731666029434</v>
      </c>
      <c r="FF15" s="14">
        <f t="shared" si="26"/>
        <v>27000</v>
      </c>
    </row>
    <row r="16" spans="1:162" x14ac:dyDescent="0.2">
      <c r="B16" s="4">
        <v>1995</v>
      </c>
      <c r="C16" s="71"/>
      <c r="D16" s="71"/>
      <c r="E16" s="71"/>
      <c r="G16" s="14"/>
      <c r="H16" s="14"/>
      <c r="I16" s="14"/>
      <c r="J16" s="14">
        <f t="shared" si="28"/>
        <v>0</v>
      </c>
      <c r="L16" s="72">
        <f>'Bayesian Sum (10Feb26)'!K11</f>
        <v>11764</v>
      </c>
      <c r="M16" s="73">
        <f t="shared" si="29"/>
        <v>0</v>
      </c>
      <c r="N16" s="56">
        <f>'Data-Coastal-Chin-Esc (new)'!J23</f>
        <v>624.49855064251199</v>
      </c>
      <c r="O16" s="74">
        <f t="shared" si="56"/>
        <v>2.7069599820551233</v>
      </c>
      <c r="P16" s="14">
        <f>'Data-Coastal-Chin-Esc (new)'!AL23</f>
        <v>1690.4925854407047</v>
      </c>
      <c r="Q16" s="66">
        <f>P16/'A6-Chin (NEW2+Khutz)'!V16</f>
        <v>0.15544613260702478</v>
      </c>
      <c r="R16" s="18" t="s">
        <v>106</v>
      </c>
      <c r="S16" s="927">
        <f t="shared" si="30"/>
        <v>180.15743166041079</v>
      </c>
      <c r="T16" s="14">
        <f t="shared" si="57"/>
        <v>180.15743166041079</v>
      </c>
      <c r="U16" s="73"/>
      <c r="V16" s="14">
        <f t="shared" si="3"/>
        <v>1690.4925854407047</v>
      </c>
      <c r="X16" s="14">
        <f t="shared" si="31"/>
        <v>0</v>
      </c>
      <c r="Y16" s="14">
        <f t="shared" si="32"/>
        <v>0</v>
      </c>
      <c r="Z16" s="14">
        <f t="shared" si="32"/>
        <v>180.15743166041079</v>
      </c>
      <c r="AA16" s="14">
        <f t="shared" si="4"/>
        <v>180.15743166041079</v>
      </c>
      <c r="AC16" s="14">
        <f>$Q16*'A6-Chin (NEW2+Khutz)'!AC16</f>
        <v>529.87843522651542</v>
      </c>
      <c r="AD16" s="14">
        <f>$Q16*'A6-Chin (NEW2+Khutz)'!AD16</f>
        <v>310.98744567177198</v>
      </c>
      <c r="AE16" s="14">
        <f t="shared" si="58"/>
        <v>840.8658808982874</v>
      </c>
      <c r="AJ16" s="14">
        <f t="shared" si="33"/>
        <v>2711.515897999403</v>
      </c>
      <c r="AK16" s="66">
        <f>AJ16/'A6-Chin (NEW2+Khutz)'!AJ16</f>
        <v>0.114085153780155</v>
      </c>
      <c r="AL16" s="14">
        <f>AK16*'A6-Chin (NEW2+Khutz)'!AK16</f>
        <v>125.4936691581705</v>
      </c>
      <c r="AM16" s="14">
        <f t="shared" si="59"/>
        <v>2837.1236523113539</v>
      </c>
      <c r="AN16" s="14"/>
      <c r="AO16" s="14">
        <f>'[1]Data-FW Catch Rates - new'!CE10</f>
        <v>9910.0909090909081</v>
      </c>
      <c r="AP16" s="76">
        <f t="shared" si="34"/>
        <v>0</v>
      </c>
      <c r="AQ16" s="60">
        <f t="shared" si="35"/>
        <v>5</v>
      </c>
      <c r="AR16" s="59"/>
      <c r="AS16" s="77">
        <f t="shared" si="36"/>
        <v>0.40411244704925775</v>
      </c>
      <c r="AT16" s="61">
        <f t="shared" si="60"/>
        <v>0</v>
      </c>
      <c r="AU16" s="61">
        <f t="shared" si="37"/>
        <v>0</v>
      </c>
      <c r="AV16" s="61">
        <f t="shared" si="38"/>
        <v>0</v>
      </c>
      <c r="AW16" s="61"/>
      <c r="AX16" s="33"/>
      <c r="AY16" s="61">
        <f t="shared" si="39"/>
        <v>6.3500028105451009E-2</v>
      </c>
      <c r="AZ16" s="61">
        <f t="shared" si="40"/>
        <v>0.18676607020453018</v>
      </c>
      <c r="BA16" s="61">
        <f t="shared" si="41"/>
        <v>0.10961363824182145</v>
      </c>
      <c r="BB16" s="61">
        <f t="shared" si="42"/>
        <v>0</v>
      </c>
      <c r="BC16" s="61">
        <f t="shared" si="61"/>
        <v>0.35987973655180266</v>
      </c>
      <c r="BD16" s="61">
        <f t="shared" si="62"/>
        <v>4.4232710497455072E-2</v>
      </c>
      <c r="BE16" s="78">
        <f t="shared" si="43"/>
        <v>0.40411244704925775</v>
      </c>
      <c r="BF16" s="17"/>
      <c r="BG16" s="17"/>
      <c r="BH16" s="22">
        <f>'[1]Data-PSC CH Tables'!C10</f>
        <v>7844</v>
      </c>
      <c r="BI16" s="22">
        <f>'[1]Data-PSC CH Tables'!AG10</f>
        <v>21709.48603573268</v>
      </c>
      <c r="BJ16" s="22">
        <f>'[1]Data-PSC CH Tables'!AI10</f>
        <v>22809.48603573268</v>
      </c>
      <c r="BK16" s="17"/>
      <c r="BL16" s="22">
        <f t="shared" si="63"/>
        <v>7844</v>
      </c>
      <c r="BM16" s="22">
        <f t="shared" si="64"/>
        <v>18997.970137733275</v>
      </c>
      <c r="BN16" s="22">
        <f t="shared" si="65"/>
        <v>19972.362383421325</v>
      </c>
      <c r="BP16" s="33"/>
      <c r="BQ16" s="33"/>
      <c r="BR16" s="33"/>
      <c r="BT16" s="62">
        <f t="shared" si="66"/>
        <v>529.87843522651542</v>
      </c>
      <c r="BU16" s="62">
        <f t="shared" si="10"/>
        <v>180.15743166041079</v>
      </c>
      <c r="BV16" s="62">
        <f t="shared" si="11"/>
        <v>0</v>
      </c>
      <c r="BW16" s="62">
        <f t="shared" si="12"/>
        <v>310.98744567177198</v>
      </c>
      <c r="BX16" s="62">
        <f t="shared" si="13"/>
        <v>0</v>
      </c>
      <c r="BY16" s="62">
        <f t="shared" si="67"/>
        <v>1021.0233125586982</v>
      </c>
      <c r="BZ16" s="62">
        <f t="shared" si="15"/>
        <v>2711.515897999403</v>
      </c>
      <c r="CA16" s="79">
        <f t="shared" si="68"/>
        <v>0.37655073802518529</v>
      </c>
      <c r="CB16" s="79">
        <f t="shared" si="69"/>
        <v>0.82355208794505008</v>
      </c>
      <c r="CC16" s="79">
        <f t="shared" si="70"/>
        <v>0.17644791205494989</v>
      </c>
      <c r="CD16" s="79">
        <f t="shared" si="19"/>
        <v>0.10945644169199148</v>
      </c>
      <c r="CE16" s="33"/>
      <c r="CG16" s="36">
        <v>22193.531317663485</v>
      </c>
      <c r="CH16" s="36">
        <v>23293.531317663485</v>
      </c>
      <c r="CI16" s="81">
        <f t="shared" si="71"/>
        <v>19482.01541966408</v>
      </c>
      <c r="CJ16" s="36">
        <f t="shared" si="72"/>
        <v>20456.40766535213</v>
      </c>
      <c r="CK16" s="36">
        <v>9301.1598087303137</v>
      </c>
      <c r="CL16" s="81">
        <f t="shared" si="73"/>
        <v>-7610.667223289609</v>
      </c>
      <c r="CN16" s="33"/>
      <c r="CO16" s="82"/>
      <c r="CP16" s="82"/>
      <c r="CQ16" s="82"/>
      <c r="CR16" s="33"/>
      <c r="CS16" s="33"/>
      <c r="CT16" s="33"/>
      <c r="CU16" s="83"/>
      <c r="CV16" s="33"/>
      <c r="CW16" s="33"/>
      <c r="CX16" s="33"/>
      <c r="CY16" s="84"/>
      <c r="CZ16" s="84"/>
      <c r="DA16" s="33"/>
      <c r="DB16" s="33"/>
      <c r="DC16" s="33"/>
      <c r="DD16" s="33"/>
      <c r="DE16" s="33"/>
      <c r="DF16" s="33"/>
      <c r="DG16" s="33"/>
      <c r="DI16" s="66">
        <f t="shared" si="20"/>
        <v>1</v>
      </c>
      <c r="DL16" s="90">
        <f t="shared" si="44"/>
        <v>1870.6500171011155</v>
      </c>
      <c r="DO16" s="3">
        <f t="shared" si="74"/>
        <v>207.01716985375174</v>
      </c>
      <c r="DP16" s="86">
        <f t="shared" si="75"/>
        <v>0.1106659011366324</v>
      </c>
      <c r="DQ16" s="3">
        <f t="shared" si="45"/>
        <v>83.193276804193104</v>
      </c>
      <c r="DR16" s="86">
        <f t="shared" si="76"/>
        <v>4.4472924407909807E-2</v>
      </c>
      <c r="DT16" s="14">
        <f t="shared" si="46"/>
        <v>1690.4925854407047</v>
      </c>
      <c r="DU16" s="14">
        <v>8817.1145267995089</v>
      </c>
      <c r="DV16" s="14">
        <f t="shared" si="77"/>
        <v>7126.6219413588042</v>
      </c>
      <c r="DX16" s="14">
        <f t="shared" si="47"/>
        <v>2711.515897999403</v>
      </c>
      <c r="DY16" s="14">
        <v>21637.48603573268</v>
      </c>
      <c r="DZ16" s="14">
        <f t="shared" si="78"/>
        <v>18925.970137733275</v>
      </c>
      <c r="EB16" s="3">
        <v>5409.3715089331708</v>
      </c>
      <c r="ED16" s="91">
        <f t="shared" si="48"/>
        <v>3496</v>
      </c>
      <c r="EE16" s="92">
        <f t="shared" si="79"/>
        <v>1913.3715089331708</v>
      </c>
      <c r="EF16" s="3">
        <f t="shared" si="80"/>
        <v>5409.3715089331708</v>
      </c>
      <c r="EH16" s="14">
        <f t="shared" si="49"/>
        <v>840.8658808982874</v>
      </c>
      <c r="EJ16" s="89">
        <f t="shared" si="81"/>
        <v>0.84736470448155621</v>
      </c>
      <c r="EK16" s="89">
        <f t="shared" si="50"/>
        <v>1</v>
      </c>
      <c r="EM16" s="67"/>
      <c r="EN16" s="67">
        <f t="shared" si="51"/>
        <v>1.6904925854407047</v>
      </c>
      <c r="EO16" s="67">
        <f t="shared" si="22"/>
        <v>0.18015743166041079</v>
      </c>
      <c r="EP16" s="67">
        <f t="shared" si="23"/>
        <v>0.8408658808982874</v>
      </c>
      <c r="EQ16" s="67">
        <f t="shared" si="24"/>
        <v>0.12549366915817051</v>
      </c>
      <c r="EU16" s="66">
        <f t="shared" si="25"/>
        <v>0</v>
      </c>
      <c r="EX16" s="14">
        <f t="shared" si="27"/>
        <v>840.8658808982874</v>
      </c>
      <c r="EZ16" s="14">
        <f t="shared" si="52"/>
        <v>0</v>
      </c>
      <c r="FA16" s="14" t="e">
        <f t="shared" si="53"/>
        <v>#VALUE!</v>
      </c>
      <c r="FC16" s="14">
        <f t="shared" si="54"/>
        <v>12766.46261144864</v>
      </c>
      <c r="FD16" s="66">
        <f t="shared" si="55"/>
        <v>0.87435478709393988</v>
      </c>
      <c r="FF16" s="14">
        <f t="shared" si="26"/>
        <v>12000</v>
      </c>
    </row>
    <row r="17" spans="2:162" x14ac:dyDescent="0.2">
      <c r="B17" s="4">
        <v>1996</v>
      </c>
      <c r="C17" s="71"/>
      <c r="D17" s="71"/>
      <c r="E17" s="71"/>
      <c r="G17" s="14"/>
      <c r="H17" s="14"/>
      <c r="I17" s="14"/>
      <c r="J17" s="14">
        <f t="shared" si="28"/>
        <v>0</v>
      </c>
      <c r="L17" s="72">
        <f>'Bayesian Sum (10Feb26)'!K12</f>
        <v>24082</v>
      </c>
      <c r="M17" s="73">
        <f t="shared" si="29"/>
        <v>0</v>
      </c>
      <c r="N17" s="56">
        <f>'Data-Coastal-Chin-Esc (new)'!J24</f>
        <v>710.81135845489166</v>
      </c>
      <c r="O17" s="74">
        <f t="shared" si="56"/>
        <v>2.9889873052375173</v>
      </c>
      <c r="P17" s="14">
        <f>'Data-Coastal-Chin-Esc (new)'!AL24</f>
        <v>2124.6061268403055</v>
      </c>
      <c r="Q17" s="66">
        <f>P17/'A6-Chin (NEW2+Khutz)'!V17</f>
        <v>8.909594601048404E-2</v>
      </c>
      <c r="R17" s="18" t="s">
        <v>106</v>
      </c>
      <c r="S17" s="927">
        <f t="shared" si="30"/>
        <v>226.42133210051179</v>
      </c>
      <c r="T17" s="14">
        <f t="shared" si="57"/>
        <v>226.42133210051179</v>
      </c>
      <c r="U17" s="73"/>
      <c r="V17" s="14">
        <f t="shared" si="3"/>
        <v>2124.6061268403055</v>
      </c>
      <c r="X17" s="14">
        <f t="shared" si="31"/>
        <v>0</v>
      </c>
      <c r="Y17" s="14">
        <f t="shared" si="32"/>
        <v>0</v>
      </c>
      <c r="Z17" s="14">
        <f t="shared" si="32"/>
        <v>226.42133210051179</v>
      </c>
      <c r="AA17" s="14">
        <f t="shared" si="4"/>
        <v>226.42133210051179</v>
      </c>
      <c r="AC17" s="14">
        <f>$Q17*'A6-Chin (NEW2+Khutz)'!AC17</f>
        <v>582.52963985536985</v>
      </c>
      <c r="AD17" s="14">
        <f>$Q17*'A6-Chin (NEW2+Khutz)'!AD17</f>
        <v>341.88861573367416</v>
      </c>
      <c r="AE17" s="14">
        <f t="shared" si="58"/>
        <v>924.41825558904407</v>
      </c>
      <c r="AJ17" s="14">
        <f t="shared" si="33"/>
        <v>3275.4457145298611</v>
      </c>
      <c r="AK17" s="66">
        <f>AJ17/'A6-Chin (NEW2+Khutz)'!AJ17</f>
        <v>7.7164071542353621E-2</v>
      </c>
      <c r="AL17" s="14">
        <f>AK17*'A6-Chin (NEW2+Khutz)'!AK17</f>
        <v>154.32814308470725</v>
      </c>
      <c r="AM17" s="14">
        <f t="shared" si="59"/>
        <v>3429.8510216861109</v>
      </c>
      <c r="AN17" s="14"/>
      <c r="AO17" s="14">
        <f>'[1]Data-FW Catch Rates - new'!CE11</f>
        <v>21794.384615384617</v>
      </c>
      <c r="AP17" s="76">
        <f t="shared" si="34"/>
        <v>0</v>
      </c>
      <c r="AQ17" s="60">
        <f t="shared" si="35"/>
        <v>26</v>
      </c>
      <c r="AR17" s="59"/>
      <c r="AS17" s="77">
        <f t="shared" si="36"/>
        <v>0.38053190139221971</v>
      </c>
      <c r="AT17" s="61">
        <f t="shared" si="60"/>
        <v>0</v>
      </c>
      <c r="AU17" s="61">
        <f t="shared" si="37"/>
        <v>0</v>
      </c>
      <c r="AV17" s="61">
        <f t="shared" si="38"/>
        <v>0</v>
      </c>
      <c r="AW17" s="61"/>
      <c r="AX17" s="33"/>
      <c r="AY17" s="61">
        <f t="shared" si="39"/>
        <v>6.6014917461109823E-2</v>
      </c>
      <c r="AZ17" s="61">
        <f t="shared" si="40"/>
        <v>0.16984109110634169</v>
      </c>
      <c r="BA17" s="61">
        <f t="shared" si="41"/>
        <v>9.9680310769183822E-2</v>
      </c>
      <c r="BB17" s="61">
        <f t="shared" si="42"/>
        <v>0</v>
      </c>
      <c r="BC17" s="61">
        <f t="shared" si="61"/>
        <v>0.3355363193366353</v>
      </c>
      <c r="BD17" s="61">
        <f t="shared" si="62"/>
        <v>4.4995582055584356E-2</v>
      </c>
      <c r="BE17" s="78">
        <f t="shared" si="43"/>
        <v>0.38053190139221971</v>
      </c>
      <c r="BF17" s="17"/>
      <c r="BG17" s="17"/>
      <c r="BH17" s="22">
        <f>'[1]Data-PSC CH Tables'!C11</f>
        <v>21842</v>
      </c>
      <c r="BI17" s="22">
        <f>'[1]Data-PSC CH Tables'!AG11</f>
        <v>41551.146707338012</v>
      </c>
      <c r="BJ17" s="22">
        <f>'[1]Data-PSC CH Tables'!AI11</f>
        <v>43651.146707338012</v>
      </c>
      <c r="BK17" s="17"/>
      <c r="BL17" s="22">
        <f t="shared" si="63"/>
        <v>21842</v>
      </c>
      <c r="BM17" s="22">
        <f t="shared" si="64"/>
        <v>38275.700992808153</v>
      </c>
      <c r="BN17" s="22">
        <f t="shared" si="65"/>
        <v>40221.295685651901</v>
      </c>
      <c r="BP17" s="33"/>
      <c r="BQ17" s="33"/>
      <c r="BR17" s="33"/>
      <c r="BT17" s="62">
        <f t="shared" si="66"/>
        <v>582.52963985536985</v>
      </c>
      <c r="BU17" s="62">
        <f t="shared" si="10"/>
        <v>226.42133210051179</v>
      </c>
      <c r="BV17" s="62">
        <f t="shared" si="11"/>
        <v>0</v>
      </c>
      <c r="BW17" s="62">
        <f t="shared" si="12"/>
        <v>341.88861573367416</v>
      </c>
      <c r="BX17" s="62">
        <f t="shared" si="13"/>
        <v>0</v>
      </c>
      <c r="BY17" s="62">
        <f t="shared" si="67"/>
        <v>1150.8395876895559</v>
      </c>
      <c r="BZ17" s="62">
        <f t="shared" si="15"/>
        <v>3275.4457145298611</v>
      </c>
      <c r="CA17" s="79">
        <f t="shared" si="68"/>
        <v>0.35135358299007585</v>
      </c>
      <c r="CB17" s="79">
        <f t="shared" si="69"/>
        <v>0.80325552359987984</v>
      </c>
      <c r="CC17" s="79">
        <f t="shared" si="70"/>
        <v>0.19674447640012013</v>
      </c>
      <c r="CD17" s="79">
        <f t="shared" si="19"/>
        <v>0.11824391566374028</v>
      </c>
      <c r="CE17" s="33"/>
      <c r="CG17" s="36">
        <v>42102.092556690142</v>
      </c>
      <c r="CH17" s="36">
        <v>44202.092556690142</v>
      </c>
      <c r="CI17" s="81">
        <f t="shared" si="71"/>
        <v>38826.646842160284</v>
      </c>
      <c r="CJ17" s="36">
        <f t="shared" si="72"/>
        <v>40772.241535004032</v>
      </c>
      <c r="CK17" s="36">
        <v>23500.555879855641</v>
      </c>
      <c r="CL17" s="81">
        <f t="shared" si="73"/>
        <v>-21375.949753015335</v>
      </c>
      <c r="CN17" s="33"/>
      <c r="CO17" s="82"/>
      <c r="CP17" s="82"/>
      <c r="CQ17" s="82"/>
      <c r="CR17" s="33"/>
      <c r="CS17" s="33"/>
      <c r="CT17" s="33"/>
      <c r="CU17" s="83"/>
      <c r="CV17" s="33"/>
      <c r="CW17" s="33"/>
      <c r="CX17" s="33"/>
      <c r="CY17" s="84"/>
      <c r="CZ17" s="84"/>
      <c r="DA17" s="33"/>
      <c r="DB17" s="33"/>
      <c r="DC17" s="33"/>
      <c r="DD17" s="33"/>
      <c r="DE17" s="33"/>
      <c r="DF17" s="33"/>
      <c r="DG17" s="33"/>
      <c r="DI17" s="66">
        <f t="shared" si="20"/>
        <v>1</v>
      </c>
      <c r="DL17" s="90">
        <f t="shared" si="44"/>
        <v>2351.0274589408173</v>
      </c>
      <c r="DO17" s="3">
        <f t="shared" si="74"/>
        <v>260.17857234065258</v>
      </c>
      <c r="DP17" s="86">
        <f t="shared" si="75"/>
        <v>0.1106659011366324</v>
      </c>
      <c r="DQ17" s="3">
        <f t="shared" si="45"/>
        <v>104.55706646239524</v>
      </c>
      <c r="DR17" s="86">
        <f t="shared" si="76"/>
        <v>4.4472924407909807E-2</v>
      </c>
      <c r="DT17" s="14">
        <f t="shared" si="46"/>
        <v>2124.6061268403055</v>
      </c>
      <c r="DU17" s="14">
        <v>22949.610030503507</v>
      </c>
      <c r="DV17" s="14">
        <f t="shared" si="77"/>
        <v>20825.003903663201</v>
      </c>
      <c r="DX17" s="14">
        <f t="shared" si="47"/>
        <v>3275.4457145298611</v>
      </c>
      <c r="DY17" s="14">
        <v>41502.146707338012</v>
      </c>
      <c r="DZ17" s="14">
        <f t="shared" si="78"/>
        <v>38226.700992808153</v>
      </c>
      <c r="EB17" s="3">
        <v>10375.536676834505</v>
      </c>
      <c r="ED17" s="91">
        <f t="shared" si="48"/>
        <v>6706</v>
      </c>
      <c r="EE17" s="92">
        <f t="shared" si="79"/>
        <v>3669.5366768345048</v>
      </c>
      <c r="EF17" s="3">
        <f t="shared" si="80"/>
        <v>10375.536676834505</v>
      </c>
      <c r="EH17" s="14">
        <f t="shared" si="49"/>
        <v>924.41825558904407</v>
      </c>
      <c r="EJ17" s="89">
        <f t="shared" si="81"/>
        <v>1.064431927274702</v>
      </c>
      <c r="EK17" s="89">
        <f t="shared" si="50"/>
        <v>1</v>
      </c>
      <c r="EM17" s="67"/>
      <c r="EN17" s="67">
        <f t="shared" si="51"/>
        <v>2.1246061268403054</v>
      </c>
      <c r="EO17" s="67">
        <f t="shared" si="22"/>
        <v>0.2264213321005118</v>
      </c>
      <c r="EP17" s="67">
        <f t="shared" si="23"/>
        <v>0.92441825558904411</v>
      </c>
      <c r="EQ17" s="67">
        <f t="shared" si="24"/>
        <v>0.15432814308470724</v>
      </c>
      <c r="EU17" s="66">
        <f t="shared" si="25"/>
        <v>0</v>
      </c>
      <c r="EX17" s="14">
        <f t="shared" si="27"/>
        <v>924.41825558904407</v>
      </c>
      <c r="EZ17" s="14">
        <f t="shared" si="52"/>
        <v>0</v>
      </c>
      <c r="FA17" s="14" t="e">
        <f t="shared" si="53"/>
        <v>#VALUE!</v>
      </c>
      <c r="FC17" s="14">
        <f t="shared" si="54"/>
        <v>25281.355961637273</v>
      </c>
      <c r="FD17" s="66">
        <f t="shared" si="55"/>
        <v>0.91892860462140025</v>
      </c>
      <c r="FF17" s="14">
        <f t="shared" si="26"/>
        <v>24000</v>
      </c>
    </row>
    <row r="18" spans="2:162" x14ac:dyDescent="0.2">
      <c r="B18" s="4">
        <v>1997</v>
      </c>
      <c r="C18" s="71"/>
      <c r="D18" s="71"/>
      <c r="E18" s="71"/>
      <c r="G18" s="14"/>
      <c r="H18" s="14"/>
      <c r="I18" s="14"/>
      <c r="J18" s="14">
        <f t="shared" si="28"/>
        <v>0</v>
      </c>
      <c r="L18" s="72">
        <f>'Bayesian Sum (10Feb26)'!K13</f>
        <v>23493</v>
      </c>
      <c r="M18" s="73">
        <f t="shared" si="29"/>
        <v>0</v>
      </c>
      <c r="N18" s="56">
        <f>'Data-Coastal-Chin-Esc (new)'!J25</f>
        <v>688.34560801498151</v>
      </c>
      <c r="O18" s="74">
        <f t="shared" si="56"/>
        <v>4.3538193132220426</v>
      </c>
      <c r="P18" s="14">
        <f>'Data-Coastal-Chin-Esc (new)'!AL25</f>
        <v>2996.9324023471959</v>
      </c>
      <c r="Q18" s="66">
        <f>P18/'A6-Chin (NEW2+Khutz)'!V18</f>
        <v>0.12298030719366226</v>
      </c>
      <c r="R18" s="18" t="s">
        <v>106</v>
      </c>
      <c r="S18" s="927">
        <f t="shared" si="30"/>
        <v>319.38598791664072</v>
      </c>
      <c r="T18" s="14">
        <f t="shared" si="57"/>
        <v>319.38598791664072</v>
      </c>
      <c r="U18" s="73"/>
      <c r="V18" s="14">
        <f t="shared" si="3"/>
        <v>2996.9324023471959</v>
      </c>
      <c r="X18" s="14">
        <f t="shared" si="31"/>
        <v>0</v>
      </c>
      <c r="Y18" s="14">
        <f t="shared" si="32"/>
        <v>0</v>
      </c>
      <c r="Z18" s="14">
        <f t="shared" si="32"/>
        <v>319.38598791664072</v>
      </c>
      <c r="AA18" s="14">
        <f t="shared" si="4"/>
        <v>319.38598791664072</v>
      </c>
      <c r="AC18" s="14">
        <f>$Q18*'A6-Chin (NEW2+Khutz)'!AC18</f>
        <v>696.6113559653171</v>
      </c>
      <c r="AD18" s="14">
        <f>$Q18*'A6-Chin (NEW2+Khutz)'!AD18</f>
        <v>408.84356074048202</v>
      </c>
      <c r="AE18" s="14">
        <f t="shared" si="58"/>
        <v>1105.4549167057992</v>
      </c>
      <c r="AJ18" s="14">
        <f t="shared" si="33"/>
        <v>4421.773306969636</v>
      </c>
      <c r="AK18" s="66">
        <f>AJ18/'A6-Chin (NEW2+Khutz)'!AJ18</f>
        <v>0.10970214057103295</v>
      </c>
      <c r="AL18" s="14">
        <f>AK18*'A6-Chin (NEW2+Khutz)'!AK18</f>
        <v>208.43406708496261</v>
      </c>
      <c r="AM18" s="14">
        <f t="shared" si="59"/>
        <v>4630.3170761951696</v>
      </c>
      <c r="AN18" s="14"/>
      <c r="AO18" s="14">
        <f>'[1]Data-FW Catch Rates - new'!CE12</f>
        <v>18702</v>
      </c>
      <c r="AP18" s="76">
        <f t="shared" si="34"/>
        <v>0</v>
      </c>
      <c r="AQ18" s="60">
        <f t="shared" si="35"/>
        <v>24</v>
      </c>
      <c r="AR18" s="59"/>
      <c r="AS18" s="77">
        <f t="shared" si="36"/>
        <v>0.35273501681001496</v>
      </c>
      <c r="AT18" s="61">
        <f t="shared" si="60"/>
        <v>0</v>
      </c>
      <c r="AU18" s="61">
        <f t="shared" si="37"/>
        <v>0</v>
      </c>
      <c r="AV18" s="61">
        <f t="shared" si="38"/>
        <v>0</v>
      </c>
      <c r="AW18" s="61"/>
      <c r="AX18" s="33"/>
      <c r="AY18" s="61">
        <f t="shared" si="39"/>
        <v>6.8977131082151935E-2</v>
      </c>
      <c r="AZ18" s="61">
        <f t="shared" si="40"/>
        <v>0.15044571343648402</v>
      </c>
      <c r="BA18" s="61">
        <f t="shared" si="41"/>
        <v>8.8297098019999423E-2</v>
      </c>
      <c r="BB18" s="61">
        <f t="shared" si="42"/>
        <v>0</v>
      </c>
      <c r="BC18" s="61">
        <f t="shared" si="61"/>
        <v>0.30771994253863538</v>
      </c>
      <c r="BD18" s="61">
        <f t="shared" si="62"/>
        <v>4.501507427137956E-2</v>
      </c>
      <c r="BE18" s="78">
        <f t="shared" si="43"/>
        <v>0.35273501681001496</v>
      </c>
      <c r="BF18" s="17"/>
      <c r="BG18" s="17"/>
      <c r="BH18" s="22">
        <f>'[1]Data-PSC CH Tables'!C12</f>
        <v>18702</v>
      </c>
      <c r="BI18" s="22">
        <f>'[1]Data-PSC CH Tables'!AG12</f>
        <v>36275.172460346294</v>
      </c>
      <c r="BJ18" s="22">
        <f>'[1]Data-PSC CH Tables'!AI12</f>
        <v>38075.172460346294</v>
      </c>
      <c r="BK18" s="17"/>
      <c r="BL18" s="22">
        <f t="shared" si="63"/>
        <v>18702</v>
      </c>
      <c r="BM18" s="22">
        <f t="shared" si="64"/>
        <v>31853.399153376657</v>
      </c>
      <c r="BN18" s="22">
        <f t="shared" si="65"/>
        <v>33444.855384151124</v>
      </c>
      <c r="BP18" s="33"/>
      <c r="BQ18" s="33"/>
      <c r="BR18" s="33"/>
      <c r="BT18" s="62">
        <f t="shared" si="66"/>
        <v>696.6113559653171</v>
      </c>
      <c r="BU18" s="62">
        <f t="shared" si="10"/>
        <v>319.38598791664072</v>
      </c>
      <c r="BV18" s="62">
        <f t="shared" si="11"/>
        <v>0</v>
      </c>
      <c r="BW18" s="62">
        <f t="shared" si="12"/>
        <v>408.84356074048202</v>
      </c>
      <c r="BX18" s="62">
        <f t="shared" si="13"/>
        <v>0</v>
      </c>
      <c r="BY18" s="62">
        <f t="shared" si="67"/>
        <v>1424.8409046224399</v>
      </c>
      <c r="BZ18" s="62">
        <f t="shared" si="15"/>
        <v>4421.773306969636</v>
      </c>
      <c r="CA18" s="79">
        <f t="shared" si="68"/>
        <v>0.32223291555371997</v>
      </c>
      <c r="CB18" s="79">
        <f t="shared" si="69"/>
        <v>0.77584445612103414</v>
      </c>
      <c r="CC18" s="79">
        <f t="shared" si="70"/>
        <v>0.22415554387896586</v>
      </c>
      <c r="CD18" s="79">
        <f t="shared" si="19"/>
        <v>0.12761725410331157</v>
      </c>
      <c r="CE18" s="33"/>
      <c r="CG18" s="36">
        <v>37145.537539580298</v>
      </c>
      <c r="CH18" s="36">
        <v>39045.537539580298</v>
      </c>
      <c r="CI18" s="81">
        <f t="shared" si="71"/>
        <v>32723.764232610662</v>
      </c>
      <c r="CJ18" s="36">
        <f t="shared" si="72"/>
        <v>34415.220463385129</v>
      </c>
      <c r="CK18" s="36">
        <v>21207.660036087051</v>
      </c>
      <c r="CL18" s="81">
        <f t="shared" si="73"/>
        <v>-18210.727633739854</v>
      </c>
      <c r="CN18" s="33"/>
      <c r="CO18" s="82"/>
      <c r="CP18" s="82"/>
      <c r="CQ18" s="82"/>
      <c r="CR18" s="33"/>
      <c r="CS18" s="33"/>
      <c r="CT18" s="33"/>
      <c r="CU18" s="83"/>
      <c r="CV18" s="33"/>
      <c r="CW18" s="33"/>
      <c r="CX18" s="33"/>
      <c r="CY18" s="84"/>
      <c r="CZ18" s="84"/>
      <c r="DA18" s="33"/>
      <c r="DB18" s="33"/>
      <c r="DC18" s="33"/>
      <c r="DD18" s="33"/>
      <c r="DE18" s="33"/>
      <c r="DF18" s="33"/>
      <c r="DG18" s="33"/>
      <c r="DI18" s="66">
        <f t="shared" si="20"/>
        <v>1</v>
      </c>
      <c r="DL18" s="90">
        <f t="shared" si="44"/>
        <v>3316.3183902638366</v>
      </c>
      <c r="DO18" s="3">
        <f t="shared" si="74"/>
        <v>367.00336311453361</v>
      </c>
      <c r="DP18" s="86">
        <f t="shared" si="75"/>
        <v>0.1106659011366324</v>
      </c>
      <c r="DQ18" s="3">
        <f t="shared" si="45"/>
        <v>147.48637708276473</v>
      </c>
      <c r="DR18" s="86">
        <f t="shared" si="76"/>
        <v>4.4472924407909807E-2</v>
      </c>
      <c r="DT18" s="14">
        <f t="shared" si="46"/>
        <v>2996.9324023471959</v>
      </c>
      <c r="DU18" s="14">
        <v>19892.63251047974</v>
      </c>
      <c r="DV18" s="14">
        <f t="shared" si="77"/>
        <v>16895.700108132543</v>
      </c>
      <c r="DX18" s="14">
        <f t="shared" si="47"/>
        <v>4421.773306969636</v>
      </c>
      <c r="DY18" s="14">
        <v>35955.510013972984</v>
      </c>
      <c r="DZ18" s="14">
        <f t="shared" si="78"/>
        <v>31533.736707003347</v>
      </c>
      <c r="EB18" s="3">
        <v>8988.8775034932441</v>
      </c>
      <c r="ED18" s="91">
        <f t="shared" si="48"/>
        <v>5810</v>
      </c>
      <c r="EE18" s="92">
        <f t="shared" si="79"/>
        <v>3178.8775034932441</v>
      </c>
      <c r="EF18" s="3">
        <f t="shared" si="80"/>
        <v>8988.8775034932441</v>
      </c>
      <c r="EH18" s="14">
        <f t="shared" si="49"/>
        <v>1105.4549167057992</v>
      </c>
      <c r="EJ18" s="89">
        <f t="shared" si="81"/>
        <v>1.5007172770892319</v>
      </c>
      <c r="EK18" s="89">
        <f t="shared" si="50"/>
        <v>1</v>
      </c>
      <c r="EM18" s="67"/>
      <c r="EN18" s="67">
        <f t="shared" si="51"/>
        <v>2.9969324023471957</v>
      </c>
      <c r="EO18" s="67">
        <f t="shared" si="22"/>
        <v>0.31938598791664069</v>
      </c>
      <c r="EP18" s="67">
        <f t="shared" si="23"/>
        <v>1.1054549167057992</v>
      </c>
      <c r="EQ18" s="67">
        <f t="shared" si="24"/>
        <v>0.20843406708496259</v>
      </c>
      <c r="EU18" s="66">
        <f t="shared" si="25"/>
        <v>0</v>
      </c>
      <c r="EX18" s="14">
        <f t="shared" si="27"/>
        <v>1105.4549167057992</v>
      </c>
      <c r="EZ18" s="14">
        <f t="shared" si="52"/>
        <v>0</v>
      </c>
      <c r="FA18" s="14" t="e">
        <f t="shared" si="53"/>
        <v>#VALUE!</v>
      </c>
      <c r="FC18" s="14">
        <f t="shared" si="54"/>
        <v>24941.494783887108</v>
      </c>
      <c r="FD18" s="66">
        <f t="shared" si="55"/>
        <v>0.88686523027587472</v>
      </c>
      <c r="FF18" s="14">
        <f t="shared" si="26"/>
        <v>23000</v>
      </c>
    </row>
    <row r="19" spans="2:162" x14ac:dyDescent="0.2">
      <c r="B19" s="4">
        <v>1998</v>
      </c>
      <c r="C19" s="71"/>
      <c r="D19" s="71"/>
      <c r="E19" s="71"/>
      <c r="G19" s="14"/>
      <c r="H19" s="14"/>
      <c r="I19" s="14"/>
      <c r="J19" s="14">
        <f t="shared" si="28"/>
        <v>0</v>
      </c>
      <c r="L19" s="72">
        <f>'Bayesian Sum (10Feb26)'!K14</f>
        <v>27044</v>
      </c>
      <c r="M19" s="73">
        <f t="shared" si="29"/>
        <v>0</v>
      </c>
      <c r="N19" s="56">
        <f>'Data-Coastal-Chin-Esc (new)'!J26</f>
        <v>1101.879590817676</v>
      </c>
      <c r="O19" s="74">
        <f t="shared" si="56"/>
        <v>2.5450866368160074</v>
      </c>
      <c r="P19" s="14">
        <f>'Data-Coastal-Chin-Esc (new)'!AL26</f>
        <v>2804.3790219703574</v>
      </c>
      <c r="Q19" s="66">
        <f>P19/'A6-Chin (NEW2+Khutz)'!V19</f>
        <v>0.10119589587552362</v>
      </c>
      <c r="R19" s="18" t="s">
        <v>106</v>
      </c>
      <c r="S19" s="927">
        <f t="shared" si="30"/>
        <v>298.86538772886888</v>
      </c>
      <c r="T19" s="14">
        <f t="shared" si="57"/>
        <v>298.86538772886888</v>
      </c>
      <c r="U19" s="73"/>
      <c r="V19" s="14">
        <f t="shared" si="3"/>
        <v>2804.3790219703574</v>
      </c>
      <c r="X19" s="14">
        <f t="shared" si="31"/>
        <v>0</v>
      </c>
      <c r="Y19" s="14">
        <f t="shared" si="32"/>
        <v>0</v>
      </c>
      <c r="Z19" s="14">
        <f t="shared" si="32"/>
        <v>298.86538772886888</v>
      </c>
      <c r="AA19" s="14">
        <f t="shared" si="4"/>
        <v>298.86538772886888</v>
      </c>
      <c r="AC19" s="14">
        <f>$Q19*'A6-Chin (NEW2+Khutz)'!AC19</f>
        <v>727.73898409167259</v>
      </c>
      <c r="AD19" s="14">
        <f>$Q19*'A6-Chin (NEW2+Khutz)'!AD19</f>
        <v>427.11247096080058</v>
      </c>
      <c r="AE19" s="14">
        <f t="shared" si="58"/>
        <v>1154.8514550524733</v>
      </c>
      <c r="AJ19" s="14">
        <f t="shared" si="33"/>
        <v>4258.0958647517</v>
      </c>
      <c r="AK19" s="66">
        <f>AJ19/'A6-Chin (NEW2+Khutz)'!AJ19</f>
        <v>8.7380656381784549E-2</v>
      </c>
      <c r="AL19" s="14">
        <f>AK19*'A6-Chin (NEW2+Khutz)'!AK19</f>
        <v>200.97550967810446</v>
      </c>
      <c r="AM19" s="14">
        <f t="shared" si="59"/>
        <v>4459.1587550861859</v>
      </c>
      <c r="AN19" s="14"/>
      <c r="AO19" s="14">
        <f>'[1]Data-FW Catch Rates - new'!CE13</f>
        <v>23511.997674418606</v>
      </c>
      <c r="AP19" s="76">
        <f t="shared" si="34"/>
        <v>0</v>
      </c>
      <c r="AQ19" s="60">
        <f t="shared" si="35"/>
        <v>29</v>
      </c>
      <c r="AR19" s="59"/>
      <c r="AS19" s="77">
        <f t="shared" si="36"/>
        <v>0.37107724648109441</v>
      </c>
      <c r="AT19" s="61">
        <f t="shared" si="60"/>
        <v>0</v>
      </c>
      <c r="AU19" s="61">
        <f t="shared" si="37"/>
        <v>0</v>
      </c>
      <c r="AV19" s="61">
        <f t="shared" si="38"/>
        <v>0</v>
      </c>
      <c r="AW19" s="61"/>
      <c r="AX19" s="33"/>
      <c r="AY19" s="61">
        <f t="shared" si="39"/>
        <v>6.7022818460539979E-2</v>
      </c>
      <c r="AZ19" s="61">
        <f t="shared" si="40"/>
        <v>0.16320095875967686</v>
      </c>
      <c r="BA19" s="61">
        <f t="shared" si="41"/>
        <v>9.5783194638143221E-2</v>
      </c>
      <c r="BB19" s="61">
        <f t="shared" si="42"/>
        <v>0</v>
      </c>
      <c r="BC19" s="61">
        <f t="shared" si="61"/>
        <v>0.32600697185836008</v>
      </c>
      <c r="BD19" s="61">
        <f t="shared" si="62"/>
        <v>4.5070274622734316E-2</v>
      </c>
      <c r="BE19" s="78">
        <f t="shared" si="43"/>
        <v>0.37107724648109441</v>
      </c>
      <c r="BF19" s="17"/>
      <c r="BG19" s="17"/>
      <c r="BH19" s="22">
        <f>'[1]Data-PSC CH Tables'!C13</f>
        <v>23212.997674418606</v>
      </c>
      <c r="BI19" s="22">
        <f>'[1]Data-PSC CH Tables'!AG13</f>
        <v>45693.153813391888</v>
      </c>
      <c r="BJ19" s="22">
        <f>'[1]Data-PSC CH Tables'!AI13</f>
        <v>47993.153813391888</v>
      </c>
      <c r="BK19" s="17"/>
      <c r="BL19" s="22">
        <f t="shared" si="63"/>
        <v>23212.997674418606</v>
      </c>
      <c r="BM19" s="22">
        <f t="shared" si="64"/>
        <v>41435.057948640184</v>
      </c>
      <c r="BN19" s="22">
        <f t="shared" si="65"/>
        <v>43533.9950583057</v>
      </c>
      <c r="BP19" s="33"/>
      <c r="BQ19" s="33"/>
      <c r="BR19" s="33"/>
      <c r="BT19" s="62">
        <f t="shared" si="66"/>
        <v>727.73898409167259</v>
      </c>
      <c r="BU19" s="62">
        <f t="shared" si="10"/>
        <v>298.86538772886888</v>
      </c>
      <c r="BV19" s="62">
        <f t="shared" si="11"/>
        <v>0</v>
      </c>
      <c r="BW19" s="62">
        <f t="shared" si="12"/>
        <v>427.11247096080058</v>
      </c>
      <c r="BX19" s="62">
        <f t="shared" si="13"/>
        <v>0</v>
      </c>
      <c r="BY19" s="62">
        <f t="shared" si="67"/>
        <v>1453.7168427813422</v>
      </c>
      <c r="BZ19" s="62">
        <f t="shared" si="15"/>
        <v>4258.0958647517</v>
      </c>
      <c r="CA19" s="79">
        <f t="shared" si="68"/>
        <v>0.34140068447381278</v>
      </c>
      <c r="CB19" s="79">
        <f t="shared" si="69"/>
        <v>0.79441292902883276</v>
      </c>
      <c r="CC19" s="79">
        <f t="shared" si="70"/>
        <v>0.20558707097116719</v>
      </c>
      <c r="CD19" s="79">
        <f t="shared" si="19"/>
        <v>0.12145793106457835</v>
      </c>
      <c r="CE19" s="33"/>
      <c r="CG19" s="36">
        <v>46802.082373026547</v>
      </c>
      <c r="CH19" s="36">
        <v>49202.082373026547</v>
      </c>
      <c r="CI19" s="81">
        <f t="shared" si="71"/>
        <v>42543.986508274844</v>
      </c>
      <c r="CJ19" s="36">
        <f t="shared" si="72"/>
        <v>44742.92361794036</v>
      </c>
      <c r="CK19" s="36">
        <v>25784.043919678574</v>
      </c>
      <c r="CL19" s="81">
        <f t="shared" si="73"/>
        <v>-22979.664897708215</v>
      </c>
      <c r="CN19" s="33"/>
      <c r="CO19" s="82"/>
      <c r="CP19" s="82"/>
      <c r="CQ19" s="82"/>
      <c r="CR19" s="33"/>
      <c r="CS19" s="33"/>
      <c r="CT19" s="33"/>
      <c r="CU19" s="83"/>
      <c r="CV19" s="33"/>
      <c r="CW19" s="33"/>
      <c r="CX19" s="33"/>
      <c r="CY19" s="84"/>
      <c r="CZ19" s="84"/>
      <c r="DA19" s="33"/>
      <c r="DB19" s="33"/>
      <c r="DC19" s="33"/>
      <c r="DD19" s="33"/>
      <c r="DE19" s="33"/>
      <c r="DF19" s="33"/>
      <c r="DG19" s="33"/>
      <c r="DI19" s="66">
        <f t="shared" si="20"/>
        <v>1</v>
      </c>
      <c r="DL19" s="90">
        <f t="shared" si="44"/>
        <v>3103.2444096992263</v>
      </c>
      <c r="DO19" s="3">
        <f t="shared" si="74"/>
        <v>343.42333904658176</v>
      </c>
      <c r="DP19" s="86">
        <f t="shared" si="75"/>
        <v>0.11066590113663241</v>
      </c>
      <c r="DQ19" s="3">
        <f t="shared" si="45"/>
        <v>138.01035405182239</v>
      </c>
      <c r="DR19" s="86">
        <f t="shared" si="76"/>
        <v>4.4472924407909807E-2</v>
      </c>
      <c r="DT19" s="14">
        <f t="shared" si="46"/>
        <v>2804.3790219703574</v>
      </c>
      <c r="DU19" s="14">
        <v>24675.115360043914</v>
      </c>
      <c r="DV19" s="14">
        <f t="shared" si="77"/>
        <v>21870.736338073555</v>
      </c>
      <c r="DX19" s="14">
        <f t="shared" si="47"/>
        <v>4258.0958647517</v>
      </c>
      <c r="DY19" s="14">
        <v>45648.153813391888</v>
      </c>
      <c r="DZ19" s="14">
        <f t="shared" si="78"/>
        <v>41390.057948640184</v>
      </c>
      <c r="EB19" s="3">
        <v>11412.038453347974</v>
      </c>
      <c r="ED19" s="91">
        <f t="shared" si="48"/>
        <v>7376</v>
      </c>
      <c r="EE19" s="92">
        <f t="shared" si="79"/>
        <v>4036.0384533479737</v>
      </c>
      <c r="EF19" s="3">
        <f t="shared" si="80"/>
        <v>11412.038453347974</v>
      </c>
      <c r="EH19" s="14">
        <f t="shared" si="49"/>
        <v>1154.8514550524733</v>
      </c>
      <c r="EJ19" s="89">
        <f t="shared" si="81"/>
        <v>1.403593104089268</v>
      </c>
      <c r="EK19" s="89">
        <f t="shared" si="50"/>
        <v>1</v>
      </c>
      <c r="EM19" s="67"/>
      <c r="EN19" s="67">
        <f t="shared" si="51"/>
        <v>2.8043790219703575</v>
      </c>
      <c r="EO19" s="67">
        <f t="shared" si="22"/>
        <v>0.29886538772886889</v>
      </c>
      <c r="EP19" s="67">
        <f t="shared" si="23"/>
        <v>1.1548514550524733</v>
      </c>
      <c r="EQ19" s="67">
        <f t="shared" si="24"/>
        <v>0.20097550967810446</v>
      </c>
      <c r="EU19" s="66">
        <f t="shared" si="25"/>
        <v>0</v>
      </c>
      <c r="EX19" s="14">
        <f t="shared" si="27"/>
        <v>1154.8514550524733</v>
      </c>
      <c r="EZ19" s="14">
        <f t="shared" si="52"/>
        <v>0</v>
      </c>
      <c r="FA19" s="14" t="e">
        <f t="shared" si="53"/>
        <v>#VALUE!</v>
      </c>
      <c r="FC19" s="14">
        <f t="shared" si="54"/>
        <v>28543.227142183325</v>
      </c>
      <c r="FD19" s="66">
        <f t="shared" si="55"/>
        <v>0.90604585194036324</v>
      </c>
      <c r="FF19" s="14">
        <f t="shared" si="26"/>
        <v>27000</v>
      </c>
    </row>
    <row r="20" spans="2:162" ht="13.5" thickBot="1" x14ac:dyDescent="0.25">
      <c r="B20" s="4">
        <v>1999</v>
      </c>
      <c r="C20" s="71"/>
      <c r="D20" s="71"/>
      <c r="E20" s="71"/>
      <c r="G20" s="14"/>
      <c r="H20" s="14"/>
      <c r="I20" s="14"/>
      <c r="J20" s="14">
        <f t="shared" si="28"/>
        <v>0</v>
      </c>
      <c r="L20" s="72">
        <f>'Bayesian Sum (10Feb26)'!K15</f>
        <v>14952</v>
      </c>
      <c r="M20" s="73">
        <f t="shared" si="29"/>
        <v>0</v>
      </c>
      <c r="N20" s="56">
        <f>'Data-Coastal-Chin-Esc (new)'!J27</f>
        <v>740.06838189246889</v>
      </c>
      <c r="O20" s="74">
        <f t="shared" si="56"/>
        <v>2.6486131953419267</v>
      </c>
      <c r="P20" s="14">
        <f>'Data-Coastal-Chin-Esc (new)'!AL27</f>
        <v>1960.1548817357414</v>
      </c>
      <c r="Q20" s="66">
        <f>P20/'A6-Chin (NEW2+Khutz)'!V20</f>
        <v>0.1304234933474423</v>
      </c>
      <c r="R20" s="18" t="s">
        <v>106</v>
      </c>
      <c r="S20" s="927">
        <f t="shared" si="30"/>
        <v>208.8956036787738</v>
      </c>
      <c r="T20" s="14">
        <f t="shared" si="57"/>
        <v>208.8956036787738</v>
      </c>
      <c r="U20" s="73"/>
      <c r="V20" s="14">
        <f t="shared" si="3"/>
        <v>1960.1548817357414</v>
      </c>
      <c r="X20" s="14">
        <f t="shared" si="31"/>
        <v>0</v>
      </c>
      <c r="Y20" s="14">
        <f t="shared" si="32"/>
        <v>0</v>
      </c>
      <c r="Z20" s="14">
        <f t="shared" si="32"/>
        <v>208.8956036787738</v>
      </c>
      <c r="AA20" s="14">
        <f t="shared" si="4"/>
        <v>208.8956036787738</v>
      </c>
      <c r="AC20" s="14">
        <f>$Q20*'A6-Chin (NEW2+Khutz)'!AC20</f>
        <v>594.98265263456221</v>
      </c>
      <c r="AD20" s="14">
        <f>$Q20*'A6-Chin (NEW2+Khutz)'!AD20</f>
        <v>349.19733104960022</v>
      </c>
      <c r="AE20" s="14">
        <f t="shared" si="58"/>
        <v>944.17998368416238</v>
      </c>
      <c r="AJ20" s="14">
        <f t="shared" si="33"/>
        <v>3113.2304690986775</v>
      </c>
      <c r="AK20" s="66">
        <f>AJ20/'A6-Chin (NEW2+Khutz)'!AJ20</f>
        <v>9.8956818782928391E-2</v>
      </c>
      <c r="AL20" s="14">
        <f>AK20*'A6-Chin (NEW2+Khutz)'!AK20</f>
        <v>148.43522817439259</v>
      </c>
      <c r="AM20" s="14">
        <f t="shared" si="59"/>
        <v>3261.7646540918531</v>
      </c>
      <c r="AN20" s="14"/>
      <c r="AO20" s="14">
        <f>'[1]Data-FW Catch Rates - new'!CE14</f>
        <v>11730.176923076924</v>
      </c>
      <c r="AP20" s="76">
        <f t="shared" si="34"/>
        <v>0</v>
      </c>
      <c r="AQ20" s="60">
        <f t="shared" si="35"/>
        <v>11</v>
      </c>
      <c r="AR20" s="59"/>
      <c r="AS20" s="77">
        <f t="shared" si="36"/>
        <v>0.39902045474206593</v>
      </c>
      <c r="AT20" s="61">
        <f t="shared" si="60"/>
        <v>0</v>
      </c>
      <c r="AU20" s="61">
        <f t="shared" si="37"/>
        <v>0</v>
      </c>
      <c r="AV20" s="61">
        <f t="shared" si="38"/>
        <v>0</v>
      </c>
      <c r="AW20" s="61"/>
      <c r="AX20" s="33"/>
      <c r="AY20" s="61">
        <f t="shared" si="39"/>
        <v>6.4043738844467582E-2</v>
      </c>
      <c r="AZ20" s="61">
        <f t="shared" si="40"/>
        <v>0.18241127602145116</v>
      </c>
      <c r="BA20" s="61">
        <f t="shared" si="41"/>
        <v>0.10705779480795324</v>
      </c>
      <c r="BB20" s="61">
        <f t="shared" si="42"/>
        <v>0</v>
      </c>
      <c r="BC20" s="61">
        <f t="shared" si="61"/>
        <v>0.353512809673872</v>
      </c>
      <c r="BD20" s="61">
        <f t="shared" si="62"/>
        <v>4.5507645068193991E-2</v>
      </c>
      <c r="BE20" s="78">
        <f t="shared" si="43"/>
        <v>0.39902045474206593</v>
      </c>
      <c r="BF20" s="17"/>
      <c r="BG20" s="17"/>
      <c r="BH20" s="22">
        <f>'[1]Data-PSC CH Tables'!C14</f>
        <v>11544</v>
      </c>
      <c r="BI20" s="22">
        <f>'[1]Data-PSC CH Tables'!AG14</f>
        <v>28957.359121455502</v>
      </c>
      <c r="BJ20" s="22">
        <f>'[1]Data-PSC CH Tables'!AI14</f>
        <v>30457.359121455502</v>
      </c>
      <c r="BK20" s="17"/>
      <c r="BL20" s="22">
        <f t="shared" si="63"/>
        <v>11544</v>
      </c>
      <c r="BM20" s="22">
        <f t="shared" si="64"/>
        <v>25844.128652356823</v>
      </c>
      <c r="BN20" s="22">
        <f t="shared" si="65"/>
        <v>27195.594467363648</v>
      </c>
      <c r="BP20" s="33"/>
      <c r="BQ20" s="33"/>
      <c r="BR20" s="33"/>
      <c r="BT20" s="62">
        <f t="shared" si="66"/>
        <v>594.98265263456221</v>
      </c>
      <c r="BU20" s="62">
        <f t="shared" si="10"/>
        <v>208.8956036787738</v>
      </c>
      <c r="BV20" s="62">
        <f t="shared" si="11"/>
        <v>0</v>
      </c>
      <c r="BW20" s="62">
        <f t="shared" si="12"/>
        <v>349.19733104960022</v>
      </c>
      <c r="BX20" s="62">
        <f t="shared" si="13"/>
        <v>0</v>
      </c>
      <c r="BY20" s="62">
        <f t="shared" si="67"/>
        <v>1153.0755873629362</v>
      </c>
      <c r="BZ20" s="62">
        <f t="shared" si="15"/>
        <v>3113.2304690986775</v>
      </c>
      <c r="CA20" s="79">
        <f t="shared" si="68"/>
        <v>0.37037912830679931</v>
      </c>
      <c r="CB20" s="79">
        <f t="shared" si="69"/>
        <v>0.81883615786497188</v>
      </c>
      <c r="CC20" s="79">
        <f t="shared" si="70"/>
        <v>0.18116384213502812</v>
      </c>
      <c r="CD20" s="79">
        <f t="shared" si="19"/>
        <v>0.11404840159788539</v>
      </c>
      <c r="CE20" s="33"/>
      <c r="CG20" s="36">
        <v>29702.161885389225</v>
      </c>
      <c r="CH20" s="36">
        <v>31202.161885389225</v>
      </c>
      <c r="CI20" s="81">
        <f t="shared" si="71"/>
        <v>26588.931416290547</v>
      </c>
      <c r="CJ20" s="36">
        <f t="shared" si="72"/>
        <v>27940.397231297371</v>
      </c>
      <c r="CK20" s="36">
        <v>13270.822105025351</v>
      </c>
      <c r="CL20" s="81">
        <f t="shared" si="73"/>
        <v>-11310.667223289609</v>
      </c>
      <c r="CN20" s="33"/>
      <c r="CO20" s="82"/>
      <c r="CP20" s="82"/>
      <c r="CQ20" s="82"/>
      <c r="CR20" s="33"/>
      <c r="CS20" s="33"/>
      <c r="CT20" s="33"/>
      <c r="CU20" s="83"/>
      <c r="CV20" s="33"/>
      <c r="CW20" s="33"/>
      <c r="CX20" s="33"/>
      <c r="CY20" s="84"/>
      <c r="CZ20" s="84"/>
      <c r="DA20" s="33"/>
      <c r="DB20" s="33"/>
      <c r="DC20" s="33"/>
      <c r="DD20" s="33"/>
      <c r="DE20" s="33"/>
      <c r="DF20" s="33"/>
      <c r="DG20" s="33"/>
      <c r="DI20" s="66">
        <f t="shared" si="20"/>
        <v>1</v>
      </c>
      <c r="DL20" s="93">
        <f t="shared" si="44"/>
        <v>2169.0504854145152</v>
      </c>
      <c r="DO20" s="3">
        <f t="shared" si="74"/>
        <v>240.03992657924724</v>
      </c>
      <c r="DP20" s="86">
        <f t="shared" si="75"/>
        <v>0.1106659011366324</v>
      </c>
      <c r="DQ20" s="3">
        <f t="shared" si="45"/>
        <v>96.464018274779804</v>
      </c>
      <c r="DR20" s="86">
        <f t="shared" si="76"/>
        <v>4.4472924407909807E-2</v>
      </c>
      <c r="DT20" s="14">
        <f t="shared" si="46"/>
        <v>1960.1548817357414</v>
      </c>
      <c r="DU20" s="14">
        <v>12526.019341091624</v>
      </c>
      <c r="DV20" s="14">
        <f t="shared" si="77"/>
        <v>10565.864459355882</v>
      </c>
      <c r="DX20" s="14">
        <f t="shared" si="47"/>
        <v>3113.2304690986775</v>
      </c>
      <c r="DY20" s="14">
        <v>28957.359121455502</v>
      </c>
      <c r="DZ20" s="14">
        <f t="shared" si="78"/>
        <v>25844.128652356823</v>
      </c>
      <c r="EB20" s="3">
        <v>7239.3397803638763</v>
      </c>
      <c r="ED20" s="94">
        <f t="shared" si="48"/>
        <v>4679</v>
      </c>
      <c r="EE20" s="95">
        <f t="shared" si="79"/>
        <v>2560.3397803638763</v>
      </c>
      <c r="EF20" s="3">
        <f t="shared" si="80"/>
        <v>7239.3397803638763</v>
      </c>
      <c r="EH20" s="14">
        <f t="shared" si="49"/>
        <v>944.17998368416238</v>
      </c>
      <c r="EJ20" s="89">
        <f t="shared" si="81"/>
        <v>0.98056772473023579</v>
      </c>
      <c r="EK20" s="89">
        <f t="shared" si="50"/>
        <v>1</v>
      </c>
      <c r="EM20" s="67"/>
      <c r="EN20" s="67">
        <f t="shared" si="51"/>
        <v>1.9601548817357413</v>
      </c>
      <c r="EO20" s="67">
        <f t="shared" si="22"/>
        <v>0.2088956036787738</v>
      </c>
      <c r="EP20" s="67">
        <f t="shared" si="23"/>
        <v>0.94417998368416234</v>
      </c>
      <c r="EQ20" s="67">
        <f t="shared" si="24"/>
        <v>0.14843522817439259</v>
      </c>
      <c r="EU20" s="66">
        <f t="shared" si="25"/>
        <v>0</v>
      </c>
      <c r="EX20" s="14">
        <f t="shared" si="27"/>
        <v>944.17998368416238</v>
      </c>
      <c r="EZ20" s="14">
        <f t="shared" si="52"/>
        <v>0</v>
      </c>
      <c r="FA20" s="14" t="e">
        <f t="shared" si="53"/>
        <v>#VALUE!</v>
      </c>
      <c r="FC20" s="14">
        <f t="shared" si="54"/>
        <v>16102.662931483093</v>
      </c>
      <c r="FD20" s="66">
        <f t="shared" si="55"/>
        <v>0.88409786361094611</v>
      </c>
      <c r="FF20" s="14">
        <f t="shared" si="26"/>
        <v>15000</v>
      </c>
    </row>
    <row r="21" spans="2:162" x14ac:dyDescent="0.2">
      <c r="B21" s="4">
        <v>2000</v>
      </c>
      <c r="C21" s="71"/>
      <c r="D21" s="71"/>
      <c r="E21" s="71"/>
      <c r="G21" s="14"/>
      <c r="H21" s="14"/>
      <c r="I21" s="14"/>
      <c r="J21" s="14">
        <f t="shared" si="28"/>
        <v>0</v>
      </c>
      <c r="L21" s="72">
        <f>'Bayesian Sum (10Feb26)'!K16</f>
        <v>21655</v>
      </c>
      <c r="M21" s="73">
        <f t="shared" si="29"/>
        <v>0</v>
      </c>
      <c r="N21" s="56">
        <f>'Data-Coastal-Chin-Esc (new)'!J28</f>
        <v>822.75788234449112</v>
      </c>
      <c r="O21" s="74">
        <f t="shared" si="56"/>
        <v>3.1841228128304615</v>
      </c>
      <c r="P21" s="14">
        <f>'Data-Coastal-Chin-Esc (new)'!AL28</f>
        <v>2619.762142609175</v>
      </c>
      <c r="Q21" s="66">
        <f>P21/'A6-Chin (NEW2+Khutz)'!V21</f>
        <v>0.12652944885649564</v>
      </c>
      <c r="R21" s="5">
        <f>$Q21*'A6-Chin (NEW2+Khutz)'!R21</f>
        <v>27.136429611277894</v>
      </c>
      <c r="S21" s="926">
        <f>'Data-Nisga''a Angling'!A5</f>
        <v>323</v>
      </c>
      <c r="T21" s="14">
        <f t="shared" si="57"/>
        <v>350.13642961127789</v>
      </c>
      <c r="U21" s="73">
        <f>R21/SUM(T21,P21)</f>
        <v>9.1371570278877458E-3</v>
      </c>
      <c r="V21" s="14">
        <f t="shared" si="3"/>
        <v>2619.762142609175</v>
      </c>
      <c r="X21" s="14">
        <f t="shared" si="31"/>
        <v>0</v>
      </c>
      <c r="Y21" s="14">
        <f t="shared" si="32"/>
        <v>27.136429611277894</v>
      </c>
      <c r="Z21" s="14">
        <f t="shared" si="32"/>
        <v>323</v>
      </c>
      <c r="AA21" s="14">
        <f t="shared" si="4"/>
        <v>350.13642961127789</v>
      </c>
      <c r="AC21" s="14">
        <f>$Q21*'A6-Chin (NEW2+Khutz)'!AC21</f>
        <v>231.04277361196105</v>
      </c>
      <c r="AD21" s="14">
        <f>$Q21*'A6-Chin (NEW2+Khutz)'!AD21</f>
        <v>124.75803657250471</v>
      </c>
      <c r="AE21" s="14">
        <f t="shared" si="58"/>
        <v>355.80081018446577</v>
      </c>
      <c r="AJ21" s="14">
        <f t="shared" si="33"/>
        <v>3325.6993824049187</v>
      </c>
      <c r="AK21" s="66">
        <f>AJ21/'A6-Chin (NEW2+Khutz)'!AJ21</f>
        <v>9.7444314930461282E-2</v>
      </c>
      <c r="AL21" s="14">
        <f>AK21*'A6-Chin (NEW2+Khutz)'!AK21</f>
        <v>155.91090388873806</v>
      </c>
      <c r="AM21" s="14">
        <f t="shared" si="59"/>
        <v>3481.7077306085871</v>
      </c>
      <c r="AN21" s="14"/>
      <c r="AO21" s="14">
        <f>'[1]Data-FW Catch Rates - new'!CE15</f>
        <v>18488.665343866141</v>
      </c>
      <c r="AP21" s="76">
        <f t="shared" si="34"/>
        <v>0</v>
      </c>
      <c r="AQ21" s="60">
        <f t="shared" si="35"/>
        <v>22</v>
      </c>
      <c r="AR21" s="59"/>
      <c r="AS21" s="77">
        <f t="shared" si="36"/>
        <v>0.24753603988863088</v>
      </c>
      <c r="AT21" s="61">
        <f t="shared" si="60"/>
        <v>0</v>
      </c>
      <c r="AU21" s="61">
        <f t="shared" si="37"/>
        <v>0</v>
      </c>
      <c r="AV21" s="61">
        <f t="shared" si="38"/>
        <v>0</v>
      </c>
      <c r="AW21" s="61"/>
      <c r="AX21" s="33"/>
      <c r="AY21" s="61">
        <f t="shared" si="39"/>
        <v>9.2770566914742447E-2</v>
      </c>
      <c r="AZ21" s="61">
        <f t="shared" si="40"/>
        <v>6.6359037428904408E-2</v>
      </c>
      <c r="BA21" s="61">
        <f t="shared" si="41"/>
        <v>4.3626426436785416E-2</v>
      </c>
      <c r="BB21" s="61">
        <f t="shared" si="42"/>
        <v>0</v>
      </c>
      <c r="BC21" s="61">
        <f t="shared" si="61"/>
        <v>0.20275603078043225</v>
      </c>
      <c r="BD21" s="61">
        <f t="shared" si="62"/>
        <v>4.4780009108198612E-2</v>
      </c>
      <c r="BE21" s="78">
        <f t="shared" si="43"/>
        <v>0.24753603988863088</v>
      </c>
      <c r="BF21" s="17"/>
      <c r="BG21" s="17"/>
      <c r="BH21" s="22">
        <f>'[1]Data-PSC CH Tables'!C15</f>
        <v>18046.703991143764</v>
      </c>
      <c r="BI21" s="22">
        <f>'[1]Data-PSC CH Tables'!AG15</f>
        <v>32772.911392876646</v>
      </c>
      <c r="BJ21" s="22">
        <f>'[1]Data-PSC CH Tables'!AI15</f>
        <v>34472.911392876646</v>
      </c>
      <c r="BK21" s="17"/>
      <c r="BL21" s="22">
        <f t="shared" si="63"/>
        <v>18046.703991143764</v>
      </c>
      <c r="BM21" s="22">
        <f t="shared" si="64"/>
        <v>29447.212010471725</v>
      </c>
      <c r="BN21" s="22">
        <f t="shared" si="65"/>
        <v>30991.203662268057</v>
      </c>
      <c r="BP21" s="33"/>
      <c r="BQ21" s="33"/>
      <c r="BR21" s="33"/>
      <c r="BT21" s="62">
        <f t="shared" si="66"/>
        <v>231.04277361196105</v>
      </c>
      <c r="BU21" s="62">
        <f t="shared" si="10"/>
        <v>323</v>
      </c>
      <c r="BV21" s="62">
        <f t="shared" si="11"/>
        <v>0</v>
      </c>
      <c r="BW21" s="62">
        <f t="shared" si="12"/>
        <v>124.75803657250471</v>
      </c>
      <c r="BX21" s="62">
        <f t="shared" si="13"/>
        <v>27.136429611277894</v>
      </c>
      <c r="BY21" s="62">
        <f t="shared" si="67"/>
        <v>705.93723979574361</v>
      </c>
      <c r="BZ21" s="62">
        <f t="shared" si="15"/>
        <v>3325.6993824049187</v>
      </c>
      <c r="CA21" s="79">
        <f t="shared" si="68"/>
        <v>0.21226730339206365</v>
      </c>
      <c r="CB21" s="79">
        <f t="shared" si="69"/>
        <v>0.5040119576173846</v>
      </c>
      <c r="CC21" s="79">
        <f t="shared" si="70"/>
        <v>0.49598804238261551</v>
      </c>
      <c r="CD21" s="79">
        <f t="shared" si="19"/>
        <v>0.18090298741284552</v>
      </c>
      <c r="CE21" s="33"/>
      <c r="CG21" s="36">
        <v>33390.935106344754</v>
      </c>
      <c r="CH21" s="36">
        <v>35090.935106344754</v>
      </c>
      <c r="CI21" s="81">
        <f t="shared" si="71"/>
        <v>30065.235723939833</v>
      </c>
      <c r="CJ21" s="36">
        <f t="shared" si="72"/>
        <v>31609.227375736165</v>
      </c>
      <c r="CK21" s="36">
        <v>19966.46780362177</v>
      </c>
      <c r="CL21" s="81">
        <f t="shared" si="73"/>
        <v>-17346.705661012595</v>
      </c>
      <c r="CN21" s="33">
        <f t="shared" ref="CN21:CN46" si="82">B21</f>
        <v>2000</v>
      </c>
      <c r="CO21" s="96">
        <f>AJ21</f>
        <v>3325.6993824049187</v>
      </c>
      <c r="CP21" s="97">
        <f>IF((CO21-DF$2-CU21)&gt;0, (CO21-DF$2-CU21),0)</f>
        <v>0</v>
      </c>
      <c r="CQ21" s="97">
        <f>CP21+CU21</f>
        <v>698.39687030503285</v>
      </c>
      <c r="CR21" s="62">
        <f>V21</f>
        <v>2619.762142609175</v>
      </c>
      <c r="CS21" s="98" t="str">
        <f t="shared" ref="CS21:CS44" si="83">IF(ROUND(CR21,-3)&gt;=DF$3,"Y","N")</f>
        <v>N</v>
      </c>
      <c r="CT21" s="98" t="str">
        <f>IF(CR21&gt;DF$2,"Y","N")</f>
        <v>N</v>
      </c>
      <c r="CU21" s="99">
        <f>IF(CO21*DC$1&gt;12600,12600,CO21*DC$1)</f>
        <v>698.39687030503285</v>
      </c>
      <c r="CV21" s="100">
        <f>IF(CT21="N",(BY21-BU21)+CU21,CU21)</f>
        <v>1081.3341101007763</v>
      </c>
      <c r="CW21" s="100"/>
      <c r="CX21" s="100"/>
      <c r="CY21" s="101">
        <f>BU21</f>
        <v>323</v>
      </c>
      <c r="CZ21" s="102">
        <f t="shared" ref="CZ21:CZ42" si="84">CY21-CV21</f>
        <v>-758.33411010077634</v>
      </c>
      <c r="DA21" s="79">
        <v>1</v>
      </c>
      <c r="DB21" s="103">
        <f>IF(DA21=100%,CZ21,DA21*CU21*-1)</f>
        <v>-758.33411010077634</v>
      </c>
      <c r="DC21" s="103">
        <f t="shared" ref="DC21:DC39" si="85">IF(CY21&gt;CU21,CZ21,(IF(CZ21*-1&gt;(CU21*DA21),CU21*DA21*-1,CZ21)))</f>
        <v>-698.39687030503285</v>
      </c>
      <c r="DD21" s="104">
        <v>2391</v>
      </c>
      <c r="DE21" s="104">
        <f>DD21+DE20</f>
        <v>2391</v>
      </c>
      <c r="DF21" s="105">
        <f>DC21</f>
        <v>-698.39687030503285</v>
      </c>
      <c r="DG21" s="105">
        <f>IF($DC21&gt;0,$DC21,$DC21*-1)</f>
        <v>698.39687030503285</v>
      </c>
      <c r="DI21" s="66">
        <f t="shared" si="20"/>
        <v>1</v>
      </c>
      <c r="DL21" s="106">
        <f t="shared" ref="DL21:DL31" si="86">AC21/AJ21</f>
        <v>6.9471935687971498E-2</v>
      </c>
      <c r="DM21" s="106">
        <f t="shared" ref="DM21:DM31" si="87">AD21/AJ21</f>
        <v>3.7513323432825797E-2</v>
      </c>
      <c r="DT21" s="14">
        <f t="shared" si="46"/>
        <v>2619.762142609175</v>
      </c>
      <c r="DU21" s="14">
        <v>19348.444090153665</v>
      </c>
      <c r="DV21" s="14">
        <f t="shared" si="77"/>
        <v>16728.68194754449</v>
      </c>
      <c r="DX21" s="14">
        <f t="shared" si="47"/>
        <v>3325.6993824049187</v>
      </c>
      <c r="DY21" s="14">
        <v>32617.444090153662</v>
      </c>
      <c r="DZ21" s="14">
        <f t="shared" si="78"/>
        <v>29291.744707748745</v>
      </c>
      <c r="ED21" s="3">
        <f t="shared" ref="ED21:ED32" si="88">AC21/$AE21</f>
        <v>0.64935988620199148</v>
      </c>
      <c r="EE21" s="3">
        <f t="shared" ref="EE21:EE32" si="89">AD21/$AE21</f>
        <v>0.35064011379800852</v>
      </c>
      <c r="EH21" s="14">
        <f t="shared" si="49"/>
        <v>382.93723979574366</v>
      </c>
      <c r="EJ21" s="89">
        <f t="shared" si="81"/>
        <v>1.3098810713045874</v>
      </c>
      <c r="EK21" s="89">
        <f t="shared" si="50"/>
        <v>1</v>
      </c>
      <c r="EM21" s="67"/>
      <c r="EN21" s="67">
        <f t="shared" si="51"/>
        <v>2.6197621426091748</v>
      </c>
      <c r="EO21" s="67">
        <f t="shared" si="22"/>
        <v>0.32300000000000001</v>
      </c>
      <c r="EP21" s="67">
        <f t="shared" si="23"/>
        <v>0.38293723979574368</v>
      </c>
      <c r="EQ21" s="67">
        <f t="shared" si="24"/>
        <v>0.15591090388873807</v>
      </c>
      <c r="EU21" s="66">
        <f t="shared" si="25"/>
        <v>0</v>
      </c>
      <c r="EX21" s="14">
        <f t="shared" si="27"/>
        <v>382.93723979574361</v>
      </c>
      <c r="EZ21" s="14">
        <f t="shared" si="52"/>
        <v>0</v>
      </c>
      <c r="FA21" s="14">
        <f t="shared" si="53"/>
        <v>27.136429611277894</v>
      </c>
      <c r="FC21" s="14">
        <f t="shared" si="54"/>
        <v>22399.62860076916</v>
      </c>
      <c r="FD21" s="66">
        <f t="shared" si="55"/>
        <v>0.89207877188585338</v>
      </c>
      <c r="FF21" s="14">
        <f t="shared" si="26"/>
        <v>22000</v>
      </c>
    </row>
    <row r="22" spans="2:162" x14ac:dyDescent="0.2">
      <c r="B22" s="4">
        <v>2001</v>
      </c>
      <c r="C22" s="71"/>
      <c r="D22" s="71"/>
      <c r="E22" s="71"/>
      <c r="G22" s="14"/>
      <c r="H22" s="14"/>
      <c r="I22" s="14"/>
      <c r="J22" s="14">
        <f t="shared" si="28"/>
        <v>0</v>
      </c>
      <c r="L22" s="72">
        <f>'Bayesian Sum (10Feb26)'!K17</f>
        <v>35715</v>
      </c>
      <c r="M22" s="73">
        <f t="shared" si="29"/>
        <v>0</v>
      </c>
      <c r="N22" s="56">
        <f>'Data-Coastal-Chin-Esc (new)'!J29</f>
        <v>1514.9352638133296</v>
      </c>
      <c r="O22" s="74">
        <f t="shared" si="56"/>
        <v>3.2574574601036721</v>
      </c>
      <c r="P22" s="14">
        <f>'Data-Coastal-Chin-Esc (new)'!AL29</f>
        <v>4934.837176682855</v>
      </c>
      <c r="Q22" s="66">
        <f>P22/'A6-Chin (NEW2+Khutz)'!V22</f>
        <v>0.14397422741988991</v>
      </c>
      <c r="R22" s="5">
        <f>$Q22*'A6-Chin (NEW2+Khutz)'!R22</f>
        <v>47.22481586032864</v>
      </c>
      <c r="S22" s="926">
        <f>'Data-Nisga''a Angling'!A6</f>
        <v>494</v>
      </c>
      <c r="T22" s="14">
        <f t="shared" si="57"/>
        <v>541.22481586032859</v>
      </c>
      <c r="U22" s="73">
        <f t="shared" ref="U22:U43" si="90">R22/SUM(T22,P22)</f>
        <v>8.6238643617685875E-3</v>
      </c>
      <c r="V22" s="14">
        <f t="shared" si="3"/>
        <v>4934.837176682855</v>
      </c>
      <c r="X22" s="14">
        <f t="shared" si="31"/>
        <v>0</v>
      </c>
      <c r="Y22" s="14">
        <f t="shared" si="32"/>
        <v>47.22481586032864</v>
      </c>
      <c r="Z22" s="14">
        <f t="shared" si="32"/>
        <v>494</v>
      </c>
      <c r="AA22" s="14">
        <f t="shared" si="4"/>
        <v>541.22481586032859</v>
      </c>
      <c r="AC22" s="14">
        <f>$Q22*'A6-Chin (NEW2+Khutz)'!AC22</f>
        <v>133.60808304565785</v>
      </c>
      <c r="AD22" s="14">
        <f>$Q22*'A6-Chin (NEW2+Khutz)'!AD22</f>
        <v>245.4760577509123</v>
      </c>
      <c r="AE22" s="14">
        <f t="shared" si="58"/>
        <v>379.08414079657018</v>
      </c>
      <c r="AJ22" s="14">
        <f t="shared" si="33"/>
        <v>5855.1461333397538</v>
      </c>
      <c r="AK22" s="66">
        <f>AJ22/'A6-Chin (NEW2+Khutz)'!AJ22</f>
        <v>0.11729564881878757</v>
      </c>
      <c r="AL22" s="14">
        <f>AK22*'A6-Chin (NEW2+Khutz)'!AK22</f>
        <v>269.77999228321141</v>
      </c>
      <c r="AM22" s="14">
        <f t="shared" si="59"/>
        <v>6125.0434212717846</v>
      </c>
      <c r="AN22" s="14"/>
      <c r="AO22" s="14">
        <f>'[1]Data-FW Catch Rates - new'!CE16</f>
        <v>28924.479431156342</v>
      </c>
      <c r="AP22" s="76">
        <f t="shared" si="34"/>
        <v>0</v>
      </c>
      <c r="AQ22" s="60">
        <f t="shared" si="35"/>
        <v>34</v>
      </c>
      <c r="AR22" s="59"/>
      <c r="AS22" s="77">
        <f t="shared" si="36"/>
        <v>0.19429885914065959</v>
      </c>
      <c r="AT22" s="61">
        <f t="shared" si="60"/>
        <v>0</v>
      </c>
      <c r="AU22" s="61">
        <f t="shared" si="37"/>
        <v>0</v>
      </c>
      <c r="AV22" s="61">
        <f t="shared" si="38"/>
        <v>0</v>
      </c>
      <c r="AW22" s="61"/>
      <c r="AX22" s="33"/>
      <c r="AY22" s="61">
        <f t="shared" si="39"/>
        <v>8.0652489463891405E-2</v>
      </c>
      <c r="AZ22" s="61">
        <f t="shared" si="40"/>
        <v>2.1813409939535726E-2</v>
      </c>
      <c r="BA22" s="61">
        <f t="shared" si="41"/>
        <v>4.7787558957494779E-2</v>
      </c>
      <c r="BB22" s="61">
        <f t="shared" si="42"/>
        <v>0</v>
      </c>
      <c r="BC22" s="61">
        <f t="shared" si="61"/>
        <v>0.15025345836092191</v>
      </c>
      <c r="BD22" s="61">
        <f t="shared" si="62"/>
        <v>4.4045400779737683E-2</v>
      </c>
      <c r="BE22" s="78">
        <f t="shared" si="43"/>
        <v>0.19429885914065959</v>
      </c>
      <c r="BF22" s="17"/>
      <c r="BG22" s="17"/>
      <c r="BH22" s="22">
        <f>'[1]Data-PSC CH Tables'!C16</f>
        <v>28329</v>
      </c>
      <c r="BI22" s="22">
        <f>'[1]Data-PSC CH Tables'!AG16</f>
        <v>47898.318267833471</v>
      </c>
      <c r="BJ22" s="22">
        <f>'[1]Data-PSC CH Tables'!AI16</f>
        <v>50298.318267833471</v>
      </c>
      <c r="BK22" s="17"/>
      <c r="BL22" s="22">
        <f t="shared" si="63"/>
        <v>28329</v>
      </c>
      <c r="BM22" s="22">
        <f t="shared" si="64"/>
        <v>42043.172134493718</v>
      </c>
      <c r="BN22" s="22">
        <f t="shared" si="65"/>
        <v>44173.27484656169</v>
      </c>
      <c r="BP22" s="33"/>
      <c r="BQ22" s="33"/>
      <c r="BR22" s="33"/>
      <c r="BT22" s="62">
        <f t="shared" si="66"/>
        <v>133.60808304565785</v>
      </c>
      <c r="BU22" s="62">
        <f t="shared" si="10"/>
        <v>494</v>
      </c>
      <c r="BV22" s="62">
        <f t="shared" si="11"/>
        <v>0</v>
      </c>
      <c r="BW22" s="62">
        <f t="shared" si="12"/>
        <v>245.4760577509123</v>
      </c>
      <c r="BX22" s="62">
        <f t="shared" si="13"/>
        <v>47.22481586032864</v>
      </c>
      <c r="BY22" s="62">
        <f t="shared" si="67"/>
        <v>920.30895665689877</v>
      </c>
      <c r="BZ22" s="62">
        <f t="shared" si="15"/>
        <v>5855.1461333397538</v>
      </c>
      <c r="CA22" s="79">
        <f t="shared" si="68"/>
        <v>0.15717950256041824</v>
      </c>
      <c r="CB22" s="79">
        <f t="shared" si="69"/>
        <v>0.4119096506173599</v>
      </c>
      <c r="CC22" s="79">
        <f t="shared" si="70"/>
        <v>0.58809034938264015</v>
      </c>
      <c r="CD22" s="79">
        <f t="shared" si="19"/>
        <v>0.22668893154875247</v>
      </c>
      <c r="CE22" s="33"/>
      <c r="CG22" s="36">
        <v>47505.849332349782</v>
      </c>
      <c r="CH22" s="36">
        <v>49905.849332349782</v>
      </c>
      <c r="CI22" s="81">
        <f>AJ22-CG22</f>
        <v>-41650.703199010029</v>
      </c>
      <c r="CJ22" s="36">
        <f>AM22-CH22</f>
        <v>-43780.805911078001</v>
      </c>
      <c r="CK22" s="36">
        <v>31863.840516420514</v>
      </c>
      <c r="CL22" s="81">
        <f t="shared" si="73"/>
        <v>-26929.003339737661</v>
      </c>
      <c r="CN22" s="33">
        <f t="shared" si="82"/>
        <v>2001</v>
      </c>
      <c r="CO22" s="96">
        <f t="shared" ref="CO22:CO46" si="91">AJ22</f>
        <v>5855.1461333397538</v>
      </c>
      <c r="CP22" s="97">
        <f t="shared" ref="CP22:CP39" si="92">IF((CO22-DF$2-CU22)&gt;0, (CO22-DF$2-CU22),0)</f>
        <v>0</v>
      </c>
      <c r="CQ22" s="97">
        <f t="shared" ref="CQ22:CQ46" si="93">CP22+CU22</f>
        <v>1229.5806880013483</v>
      </c>
      <c r="CR22" s="62">
        <f t="shared" ref="CR22:CR39" si="94">V22</f>
        <v>4934.837176682855</v>
      </c>
      <c r="CS22" s="98" t="str">
        <f t="shared" si="83"/>
        <v>N</v>
      </c>
      <c r="CT22" s="98" t="str">
        <f t="shared" ref="CT22:CT44" si="95">IF(CR22&gt;DF$2,"Y","N")</f>
        <v>N</v>
      </c>
      <c r="CU22" s="99">
        <f>IF(CO22*DC$1&gt;12600,12600,CO22*DC$1)</f>
        <v>1229.5806880013483</v>
      </c>
      <c r="CV22" s="100">
        <f>IF(CS22="N",0,IF(CT22="N",(BY22-BU22)+CU22,CU22))</f>
        <v>0</v>
      </c>
      <c r="CW22" s="100"/>
      <c r="CX22" s="100"/>
      <c r="CY22" s="101">
        <f t="shared" ref="CY22:CY44" si="96">BU22</f>
        <v>494</v>
      </c>
      <c r="CZ22" s="102">
        <f t="shared" si="84"/>
        <v>494</v>
      </c>
      <c r="DA22" s="79">
        <v>1</v>
      </c>
      <c r="DB22" s="103">
        <f t="shared" ref="DB22:DB46" si="97">IF(DA22=100%,CZ22,DA22*CU22*-1)</f>
        <v>494</v>
      </c>
      <c r="DC22" s="103">
        <f t="shared" si="85"/>
        <v>494</v>
      </c>
      <c r="DD22" s="104">
        <v>1317</v>
      </c>
      <c r="DE22" s="104">
        <f>DD22+DE21</f>
        <v>3708</v>
      </c>
      <c r="DF22" s="105">
        <f t="shared" ref="DF22:DF46" si="98">DC22</f>
        <v>494</v>
      </c>
      <c r="DG22" s="105">
        <f t="shared" ref="DG22:DG46" si="99">IF($DC22&gt;0,$DC22,$DC22*-1)</f>
        <v>494</v>
      </c>
      <c r="DI22" s="66">
        <f t="shared" si="20"/>
        <v>1</v>
      </c>
      <c r="DL22" s="106">
        <f t="shared" si="86"/>
        <v>2.2818915190669767E-2</v>
      </c>
      <c r="DM22" s="106">
        <f t="shared" si="87"/>
        <v>4.192483879320253E-2</v>
      </c>
      <c r="DT22" s="14">
        <f t="shared" si="46"/>
        <v>4934.837176682855</v>
      </c>
      <c r="DU22" s="14">
        <v>32952.32699619772</v>
      </c>
      <c r="DV22" s="14">
        <f t="shared" si="77"/>
        <v>28017.489819514863</v>
      </c>
      <c r="DX22" s="14">
        <f t="shared" si="47"/>
        <v>5855.1461333397538</v>
      </c>
      <c r="DY22" s="14">
        <v>48266.32699619772</v>
      </c>
      <c r="DZ22" s="14">
        <f t="shared" si="78"/>
        <v>42411.180862857967</v>
      </c>
      <c r="ED22" s="3">
        <f t="shared" si="88"/>
        <v>0.35244967717432585</v>
      </c>
      <c r="EE22" s="3">
        <f t="shared" si="89"/>
        <v>0.64755032282567404</v>
      </c>
      <c r="EH22" s="14">
        <f t="shared" si="49"/>
        <v>426.30895665689883</v>
      </c>
      <c r="EJ22" s="89">
        <f t="shared" si="81"/>
        <v>2.4661854955936309</v>
      </c>
      <c r="EK22" s="89">
        <f t="shared" si="50"/>
        <v>1</v>
      </c>
      <c r="EM22" s="67"/>
      <c r="EN22" s="67">
        <f t="shared" si="51"/>
        <v>4.9348371766828549</v>
      </c>
      <c r="EO22" s="67">
        <f t="shared" si="22"/>
        <v>0.49399999999999999</v>
      </c>
      <c r="EP22" s="67">
        <f t="shared" si="23"/>
        <v>0.42630895665689883</v>
      </c>
      <c r="EQ22" s="67">
        <f t="shared" si="24"/>
        <v>0.26977999228321142</v>
      </c>
      <c r="EU22" s="66">
        <f t="shared" si="25"/>
        <v>0</v>
      </c>
      <c r="EX22" s="14">
        <f t="shared" si="27"/>
        <v>426.30895665689877</v>
      </c>
      <c r="EZ22" s="14">
        <f t="shared" si="52"/>
        <v>0</v>
      </c>
      <c r="FA22" s="14">
        <f t="shared" si="53"/>
        <v>47.22481586032864</v>
      </c>
      <c r="FC22" s="14">
        <f t="shared" si="54"/>
        <v>36719.12191900138</v>
      </c>
      <c r="FD22" s="66">
        <f t="shared" si="55"/>
        <v>0.8786013052098145</v>
      </c>
      <c r="FF22" s="14">
        <f t="shared" si="26"/>
        <v>36000</v>
      </c>
    </row>
    <row r="23" spans="2:162" x14ac:dyDescent="0.2">
      <c r="B23" s="4">
        <v>2002</v>
      </c>
      <c r="C23" s="71"/>
      <c r="D23" s="71"/>
      <c r="E23" s="71"/>
      <c r="G23" s="14"/>
      <c r="H23" s="14"/>
      <c r="I23" s="14"/>
      <c r="J23" s="14">
        <f t="shared" si="28"/>
        <v>0</v>
      </c>
      <c r="L23" s="72">
        <f>'Bayesian Sum (10Feb26)'!K18</f>
        <v>17089</v>
      </c>
      <c r="M23" s="73">
        <f t="shared" si="29"/>
        <v>0</v>
      </c>
      <c r="N23" s="56">
        <f>'Data-Coastal-Chin-Esc (new)'!J30</f>
        <v>1399.6101396678414</v>
      </c>
      <c r="O23" s="74">
        <f t="shared" si="56"/>
        <v>1.4752344986392494</v>
      </c>
      <c r="P23" s="14">
        <f>'Data-Coastal-Chin-Esc (new)'!AL30</f>
        <v>2064.7531626832979</v>
      </c>
      <c r="Q23" s="66">
        <f>P23/'A6-Chin (NEW2+Khutz)'!V23</f>
        <v>0.12570984429613072</v>
      </c>
      <c r="R23" s="5">
        <f>$Q23*'A6-Chin (NEW2+Khutz)'!R23</f>
        <v>20.950846622944766</v>
      </c>
      <c r="S23" s="926">
        <f>'Data-Nisga''a Angling'!A7</f>
        <v>251</v>
      </c>
      <c r="T23" s="14">
        <f t="shared" si="57"/>
        <v>271.95084662294477</v>
      </c>
      <c r="U23" s="73">
        <f t="shared" si="90"/>
        <v>8.965982229458741E-3</v>
      </c>
      <c r="V23" s="14">
        <f t="shared" si="3"/>
        <v>2064.7531626832979</v>
      </c>
      <c r="X23" s="14">
        <f t="shared" si="31"/>
        <v>0</v>
      </c>
      <c r="Y23" s="14">
        <f t="shared" si="32"/>
        <v>20.950846622944766</v>
      </c>
      <c r="Z23" s="14">
        <f t="shared" si="32"/>
        <v>251</v>
      </c>
      <c r="AA23" s="14">
        <f t="shared" si="4"/>
        <v>271.95084662294477</v>
      </c>
      <c r="AC23" s="14">
        <f>$Q23*'A6-Chin (NEW2+Khutz)'!AC23</f>
        <v>751.74486889086165</v>
      </c>
      <c r="AD23" s="14">
        <f>$Q23*'A6-Chin (NEW2+Khutz)'!AD23</f>
        <v>140.29218623448187</v>
      </c>
      <c r="AE23" s="14">
        <f t="shared" si="58"/>
        <v>892.0370551253435</v>
      </c>
      <c r="AJ23" s="14">
        <f t="shared" si="33"/>
        <v>3228.7410644315864</v>
      </c>
      <c r="AK23" s="66">
        <f>AJ23/'A6-Chin (NEW2+Khutz)'!AJ23</f>
        <v>0.10772416109338434</v>
      </c>
      <c r="AL23" s="14">
        <f>AK23*'A6-Chin (NEW2+Khutz)'!AK23</f>
        <v>150.81382553073809</v>
      </c>
      <c r="AM23" s="14">
        <f t="shared" si="59"/>
        <v>3379.6626141234178</v>
      </c>
      <c r="AN23" s="14"/>
      <c r="AO23" s="14">
        <f>'[1]Data-FW Catch Rates - new'!CE17</f>
        <v>13909.456177650904</v>
      </c>
      <c r="AP23" s="76">
        <f t="shared" si="34"/>
        <v>0</v>
      </c>
      <c r="AQ23" s="60">
        <f t="shared" si="35"/>
        <v>18</v>
      </c>
      <c r="AR23" s="59"/>
      <c r="AS23" s="77">
        <f t="shared" si="36"/>
        <v>0.38903342652741274</v>
      </c>
      <c r="AT23" s="61">
        <f t="shared" si="60"/>
        <v>0</v>
      </c>
      <c r="AU23" s="61">
        <f t="shared" si="37"/>
        <v>0</v>
      </c>
      <c r="AV23" s="61">
        <f t="shared" si="38"/>
        <v>0</v>
      </c>
      <c r="AW23" s="61"/>
      <c r="AX23" s="33"/>
      <c r="AY23" s="61">
        <f t="shared" si="39"/>
        <v>7.4267768312459737E-2</v>
      </c>
      <c r="AZ23" s="61">
        <f t="shared" si="40"/>
        <v>0.22243192730225869</v>
      </c>
      <c r="BA23" s="61">
        <f t="shared" si="41"/>
        <v>4.7709801618540611E-2</v>
      </c>
      <c r="BB23" s="61">
        <f t="shared" si="42"/>
        <v>0</v>
      </c>
      <c r="BC23" s="61">
        <f t="shared" si="61"/>
        <v>0.34440949723325903</v>
      </c>
      <c r="BD23" s="61">
        <f t="shared" si="62"/>
        <v>4.4623929294153708E-2</v>
      </c>
      <c r="BE23" s="78">
        <f t="shared" si="43"/>
        <v>0.38903342652741274</v>
      </c>
      <c r="BF23" s="17"/>
      <c r="BG23" s="17"/>
      <c r="BH23" s="22">
        <f>'[1]Data-PSC CH Tables'!C17</f>
        <v>13352</v>
      </c>
      <c r="BI23" s="22">
        <f>'[1]Data-PSC CH Tables'!AG17</f>
        <v>28352.032162114476</v>
      </c>
      <c r="BJ23" s="22">
        <f>'[1]Data-PSC CH Tables'!AI17</f>
        <v>29752.032162114476</v>
      </c>
      <c r="BK23" s="17"/>
      <c r="BL23" s="22">
        <f t="shared" si="63"/>
        <v>13352</v>
      </c>
      <c r="BM23" s="22">
        <f t="shared" si="64"/>
        <v>25123.29109768289</v>
      </c>
      <c r="BN23" s="22">
        <f t="shared" si="65"/>
        <v>26372.369547991057</v>
      </c>
      <c r="BP23" s="33"/>
      <c r="BQ23" s="33"/>
      <c r="BR23" s="33"/>
      <c r="BT23" s="62">
        <f t="shared" si="66"/>
        <v>751.74486889086165</v>
      </c>
      <c r="BU23" s="62">
        <f t="shared" si="10"/>
        <v>251</v>
      </c>
      <c r="BV23" s="62">
        <f t="shared" si="11"/>
        <v>0</v>
      </c>
      <c r="BW23" s="62">
        <f t="shared" si="12"/>
        <v>140.29218623448187</v>
      </c>
      <c r="BX23" s="62">
        <f t="shared" si="13"/>
        <v>20.950846622944766</v>
      </c>
      <c r="BY23" s="62">
        <f t="shared" si="67"/>
        <v>1163.9879017482883</v>
      </c>
      <c r="BZ23" s="62">
        <f t="shared" si="15"/>
        <v>3228.7410644315864</v>
      </c>
      <c r="CA23" s="79">
        <f t="shared" si="68"/>
        <v>0.36050828434989601</v>
      </c>
      <c r="CB23" s="79">
        <f t="shared" si="69"/>
        <v>0.76636282369045272</v>
      </c>
      <c r="CC23" s="79">
        <f t="shared" si="70"/>
        <v>0.23363717630954722</v>
      </c>
      <c r="CD23" s="79">
        <f t="shared" si="19"/>
        <v>0.11470461469718808</v>
      </c>
      <c r="CE23" s="33"/>
      <c r="CG23" s="36">
        <v>28366.035519699588</v>
      </c>
      <c r="CH23" s="36">
        <v>29766.035519699588</v>
      </c>
      <c r="CI23" s="81">
        <f t="shared" ref="CI23:CI46" si="100">AJ23-CG23</f>
        <v>-25137.294455268002</v>
      </c>
      <c r="CJ23" s="36">
        <f t="shared" ref="CJ23:CJ46" si="101">AM23-CH23</f>
        <v>-26386.372905576169</v>
      </c>
      <c r="CK23" s="36">
        <v>14818.486910335268</v>
      </c>
      <c r="CL23" s="81">
        <f t="shared" si="73"/>
        <v>-12753.733747651971</v>
      </c>
      <c r="CN23" s="33">
        <f t="shared" si="82"/>
        <v>2002</v>
      </c>
      <c r="CO23" s="96">
        <f t="shared" si="91"/>
        <v>3228.7410644315864</v>
      </c>
      <c r="CP23" s="97">
        <f t="shared" si="92"/>
        <v>0</v>
      </c>
      <c r="CQ23" s="97">
        <f t="shared" si="93"/>
        <v>678.03562353063307</v>
      </c>
      <c r="CR23" s="62">
        <f t="shared" si="94"/>
        <v>2064.7531626832979</v>
      </c>
      <c r="CS23" s="98" t="str">
        <f t="shared" si="83"/>
        <v>N</v>
      </c>
      <c r="CT23" s="98" t="str">
        <f t="shared" si="95"/>
        <v>N</v>
      </c>
      <c r="CU23" s="99">
        <f t="shared" ref="CU23:CU46" si="102">IF(CO23*DC$1&gt;12600,12600,CO23*DC$1)</f>
        <v>678.03562353063307</v>
      </c>
      <c r="CV23" s="100">
        <f t="shared" ref="CV23:CV39" si="103">IF(CS23="N",0,IF(CT23="N",(BY23-BU23)+CU23,CU23))</f>
        <v>0</v>
      </c>
      <c r="CW23" s="100"/>
      <c r="CX23" s="100"/>
      <c r="CY23" s="101">
        <f t="shared" si="96"/>
        <v>251</v>
      </c>
      <c r="CZ23" s="102">
        <f t="shared" si="84"/>
        <v>251</v>
      </c>
      <c r="DA23" s="79">
        <v>1</v>
      </c>
      <c r="DB23" s="103">
        <f t="shared" si="97"/>
        <v>251</v>
      </c>
      <c r="DC23" s="103">
        <f t="shared" si="85"/>
        <v>251</v>
      </c>
      <c r="DD23" s="104">
        <v>-884</v>
      </c>
      <c r="DE23" s="104">
        <f>DD23+DE22</f>
        <v>2824</v>
      </c>
      <c r="DF23" s="105">
        <f t="shared" si="98"/>
        <v>251</v>
      </c>
      <c r="DG23" s="105">
        <f t="shared" si="99"/>
        <v>251</v>
      </c>
      <c r="DI23" s="66">
        <f t="shared" si="20"/>
        <v>1</v>
      </c>
      <c r="DL23" s="106">
        <f t="shared" si="86"/>
        <v>0.23282909774717561</v>
      </c>
      <c r="DM23" s="106">
        <f t="shared" si="87"/>
        <v>4.3451049011011371E-2</v>
      </c>
      <c r="DT23" s="14">
        <f t="shared" si="46"/>
        <v>2064.7531626832979</v>
      </c>
      <c r="DU23" s="14">
        <v>17162.387825418129</v>
      </c>
      <c r="DV23" s="14">
        <f t="shared" si="77"/>
        <v>15097.634662734832</v>
      </c>
      <c r="DX23" s="14">
        <f t="shared" si="47"/>
        <v>3228.7410644315864</v>
      </c>
      <c r="DY23" s="14">
        <v>30543.276084988433</v>
      </c>
      <c r="DZ23" s="14">
        <f t="shared" si="78"/>
        <v>27314.535020556847</v>
      </c>
      <c r="ED23" s="3">
        <f t="shared" si="88"/>
        <v>0.84272829763246904</v>
      </c>
      <c r="EE23" s="3">
        <f t="shared" si="89"/>
        <v>0.15727170236753102</v>
      </c>
      <c r="EH23" s="14">
        <f t="shared" si="49"/>
        <v>912.98790174828832</v>
      </c>
      <c r="EJ23" s="89">
        <f t="shared" si="81"/>
        <v>1.0313452361055433</v>
      </c>
      <c r="EK23" s="89">
        <f t="shared" si="50"/>
        <v>1</v>
      </c>
      <c r="EM23" s="67"/>
      <c r="EN23" s="67">
        <f t="shared" si="51"/>
        <v>2.064753162683298</v>
      </c>
      <c r="EO23" s="67">
        <f t="shared" si="22"/>
        <v>0.251</v>
      </c>
      <c r="EP23" s="67">
        <f t="shared" si="23"/>
        <v>0.91298790174828837</v>
      </c>
      <c r="EQ23" s="67">
        <f t="shared" si="24"/>
        <v>0.15081382553073808</v>
      </c>
      <c r="EU23" s="66">
        <f t="shared" si="25"/>
        <v>0</v>
      </c>
      <c r="EX23" s="14">
        <f t="shared" si="27"/>
        <v>912.98790174828832</v>
      </c>
      <c r="EZ23" s="14">
        <f t="shared" si="52"/>
        <v>0</v>
      </c>
      <c r="FA23" s="14">
        <f t="shared" si="53"/>
        <v>20.950846622944766</v>
      </c>
      <c r="FC23" s="14">
        <f t="shared" si="54"/>
        <v>18243.375203216528</v>
      </c>
      <c r="FD23" s="66">
        <f t="shared" si="55"/>
        <v>0.89220111874961427</v>
      </c>
      <c r="FF23" s="14">
        <f t="shared" si="26"/>
        <v>17000</v>
      </c>
    </row>
    <row r="24" spans="2:162" x14ac:dyDescent="0.2">
      <c r="B24" s="4">
        <v>2003</v>
      </c>
      <c r="C24" s="71"/>
      <c r="D24" s="71"/>
      <c r="E24" s="71"/>
      <c r="G24" s="14"/>
      <c r="H24" s="14"/>
      <c r="I24" s="14"/>
      <c r="J24" s="14">
        <f t="shared" si="28"/>
        <v>0</v>
      </c>
      <c r="L24" s="72">
        <f>'Bayesian Sum (10Feb26)'!K19</f>
        <v>34354</v>
      </c>
      <c r="M24" s="73">
        <f t="shared" si="29"/>
        <v>0</v>
      </c>
      <c r="N24" s="56">
        <f>'Data-Coastal-Chin-Esc (new)'!J31</f>
        <v>1145.1355688191429</v>
      </c>
      <c r="O24" s="74">
        <f t="shared" si="56"/>
        <v>2.5926525393368229</v>
      </c>
      <c r="P24" s="14">
        <f>'Data-Coastal-Chin-Esc (new)'!AL31</f>
        <v>2968.938640383868</v>
      </c>
      <c r="Q24" s="66">
        <f>P24/'A6-Chin (NEW2+Khutz)'!V24</f>
        <v>8.8075708109867049E-2</v>
      </c>
      <c r="R24" s="5">
        <f>$Q24*'A6-Chin (NEW2+Khutz)'!R24</f>
        <v>14.093918428641693</v>
      </c>
      <c r="S24" s="926">
        <f>'Data-Nisga''a Angling'!A8</f>
        <v>241</v>
      </c>
      <c r="T24" s="14">
        <f t="shared" si="57"/>
        <v>255.0939184286417</v>
      </c>
      <c r="U24" s="73">
        <f t="shared" si="90"/>
        <v>4.3715186405663435E-3</v>
      </c>
      <c r="V24" s="14">
        <f t="shared" si="3"/>
        <v>2968.938640383868</v>
      </c>
      <c r="X24" s="14">
        <f t="shared" si="31"/>
        <v>0</v>
      </c>
      <c r="Y24" s="14">
        <f t="shared" si="32"/>
        <v>14.093918428641693</v>
      </c>
      <c r="Z24" s="14">
        <f t="shared" si="32"/>
        <v>241</v>
      </c>
      <c r="AA24" s="14">
        <f t="shared" si="4"/>
        <v>255.0939184286417</v>
      </c>
      <c r="AC24" s="14">
        <f>$Q24*'A6-Chin (NEW2+Khutz)'!AC24</f>
        <v>535.14800247555218</v>
      </c>
      <c r="AD24" s="14">
        <f>$Q24*'A6-Chin (NEW2+Khutz)'!AD24</f>
        <v>102.78435136421484</v>
      </c>
      <c r="AE24" s="14">
        <f t="shared" si="58"/>
        <v>637.93235383976707</v>
      </c>
      <c r="AJ24" s="14">
        <f t="shared" si="33"/>
        <v>3861.9649126522768</v>
      </c>
      <c r="AK24" s="66">
        <f>AJ24/'A6-Chin (NEW2+Khutz)'!AJ24</f>
        <v>7.8764238279190477E-2</v>
      </c>
      <c r="AL24" s="14">
        <f>AK24*'A6-Chin (NEW2+Khutz)'!AK24</f>
        <v>181.15774804213811</v>
      </c>
      <c r="AM24" s="14">
        <f t="shared" si="59"/>
        <v>4043.201424932694</v>
      </c>
      <c r="AN24" s="14"/>
      <c r="AO24" s="14">
        <f>'[1]Data-FW Catch Rates - new'!CE18</f>
        <v>26658.367611499238</v>
      </c>
      <c r="AP24" s="76">
        <f t="shared" si="34"/>
        <v>0</v>
      </c>
      <c r="AQ24" s="60">
        <f t="shared" si="35"/>
        <v>33</v>
      </c>
      <c r="AR24" s="59"/>
      <c r="AS24" s="77">
        <f t="shared" si="36"/>
        <v>0.2656766031211093</v>
      </c>
      <c r="AT24" s="61">
        <f t="shared" si="60"/>
        <v>0</v>
      </c>
      <c r="AU24" s="61">
        <f t="shared" si="37"/>
        <v>0</v>
      </c>
      <c r="AV24" s="61">
        <f t="shared" si="38"/>
        <v>0</v>
      </c>
      <c r="AW24" s="61"/>
      <c r="AX24" s="33"/>
      <c r="AY24" s="61">
        <f t="shared" si="39"/>
        <v>5.9606231466445392E-2</v>
      </c>
      <c r="AZ24" s="61">
        <f t="shared" si="40"/>
        <v>0.1323574925492268</v>
      </c>
      <c r="BA24" s="61">
        <f t="shared" si="41"/>
        <v>2.8907357687430125E-2</v>
      </c>
      <c r="BB24" s="61">
        <f t="shared" si="42"/>
        <v>0</v>
      </c>
      <c r="BC24" s="61">
        <f t="shared" si="61"/>
        <v>0.22087108170310232</v>
      </c>
      <c r="BD24" s="61">
        <f t="shared" si="62"/>
        <v>4.480552141800697E-2</v>
      </c>
      <c r="BE24" s="78">
        <f t="shared" si="43"/>
        <v>0.2656766031211093</v>
      </c>
      <c r="BF24" s="17"/>
      <c r="BG24" s="17"/>
      <c r="BH24" s="22">
        <f>'[1]Data-PSC CH Tables'!C18</f>
        <v>25848.367611499238</v>
      </c>
      <c r="BI24" s="22">
        <f>'[1]Data-PSC CH Tables'!AG18</f>
        <v>43596.832974513345</v>
      </c>
      <c r="BJ24" s="22">
        <f>'[1]Data-PSC CH Tables'!AI18</f>
        <v>45796.832974513345</v>
      </c>
      <c r="BK24" s="17"/>
      <c r="BL24" s="22">
        <f t="shared" si="63"/>
        <v>25848.367611499238</v>
      </c>
      <c r="BM24" s="22">
        <f t="shared" si="64"/>
        <v>39734.868061861067</v>
      </c>
      <c r="BN24" s="22">
        <f t="shared" si="65"/>
        <v>41753.631549580648</v>
      </c>
      <c r="BP24" s="33"/>
      <c r="BQ24" s="33"/>
      <c r="BR24" s="33"/>
      <c r="BT24" s="62">
        <f t="shared" si="66"/>
        <v>535.14800247555218</v>
      </c>
      <c r="BU24" s="62">
        <f t="shared" si="10"/>
        <v>241</v>
      </c>
      <c r="BV24" s="62">
        <f t="shared" si="11"/>
        <v>0</v>
      </c>
      <c r="BW24" s="62">
        <f t="shared" si="12"/>
        <v>102.78435136421484</v>
      </c>
      <c r="BX24" s="62">
        <f t="shared" si="13"/>
        <v>14.093918428641693</v>
      </c>
      <c r="BY24" s="62">
        <f t="shared" si="67"/>
        <v>893.02627226840877</v>
      </c>
      <c r="BZ24" s="62">
        <f t="shared" si="15"/>
        <v>3861.9649126522768</v>
      </c>
      <c r="CA24" s="79">
        <f t="shared" si="68"/>
        <v>0.23123624695365402</v>
      </c>
      <c r="CB24" s="79">
        <f t="shared" si="69"/>
        <v>0.71434892079863643</v>
      </c>
      <c r="CC24" s="79">
        <f t="shared" si="70"/>
        <v>0.28565107920136357</v>
      </c>
      <c r="CD24" s="79">
        <f t="shared" si="19"/>
        <v>0.16864684692457568</v>
      </c>
      <c r="CE24" s="33"/>
      <c r="CG24" s="36">
        <v>43620.216627789407</v>
      </c>
      <c r="CH24" s="36">
        <v>45820.216627789407</v>
      </c>
      <c r="CI24" s="81">
        <f t="shared" si="100"/>
        <v>-39758.251715137128</v>
      </c>
      <c r="CJ24" s="36">
        <f t="shared" si="101"/>
        <v>-41777.01520285671</v>
      </c>
      <c r="CK24" s="36">
        <v>28297.196132568853</v>
      </c>
      <c r="CL24" s="81">
        <f t="shared" si="73"/>
        <v>-25328.257492184985</v>
      </c>
      <c r="CN24" s="33">
        <f t="shared" si="82"/>
        <v>2003</v>
      </c>
      <c r="CO24" s="96">
        <f t="shared" si="91"/>
        <v>3861.9649126522768</v>
      </c>
      <c r="CP24" s="97">
        <f t="shared" si="92"/>
        <v>0</v>
      </c>
      <c r="CQ24" s="97">
        <f t="shared" si="93"/>
        <v>811.0126316569781</v>
      </c>
      <c r="CR24" s="62">
        <f t="shared" si="94"/>
        <v>2968.938640383868</v>
      </c>
      <c r="CS24" s="98" t="str">
        <f t="shared" si="83"/>
        <v>N</v>
      </c>
      <c r="CT24" s="98" t="str">
        <f t="shared" si="95"/>
        <v>N</v>
      </c>
      <c r="CU24" s="99">
        <f t="shared" si="102"/>
        <v>811.0126316569781</v>
      </c>
      <c r="CV24" s="100">
        <f>IF(CS24="N",0,IF(CT24="N",(BY24-BU24)+CU24,CU24))</f>
        <v>0</v>
      </c>
      <c r="CW24" s="100"/>
      <c r="CX24" s="100"/>
      <c r="CY24" s="101">
        <f t="shared" si="96"/>
        <v>241</v>
      </c>
      <c r="CZ24" s="102">
        <f>CY24-CV24</f>
        <v>241</v>
      </c>
      <c r="DA24" s="79">
        <v>0.1</v>
      </c>
      <c r="DB24" s="103">
        <f t="shared" si="97"/>
        <v>-81.101263165697816</v>
      </c>
      <c r="DC24" s="107">
        <f t="shared" si="85"/>
        <v>241</v>
      </c>
      <c r="DD24" s="33"/>
      <c r="DE24" s="107">
        <f>DC24+DE23</f>
        <v>3065</v>
      </c>
      <c r="DF24" s="105">
        <f t="shared" si="98"/>
        <v>241</v>
      </c>
      <c r="DG24" s="105">
        <f t="shared" si="99"/>
        <v>241</v>
      </c>
      <c r="DI24" s="66">
        <f t="shared" si="20"/>
        <v>1</v>
      </c>
      <c r="DL24" s="106">
        <f t="shared" si="86"/>
        <v>0.13856884114154969</v>
      </c>
      <c r="DM24" s="106">
        <f t="shared" si="87"/>
        <v>2.6614522319320027E-2</v>
      </c>
      <c r="DT24" s="14">
        <f t="shared" si="46"/>
        <v>2968.938640383868</v>
      </c>
      <c r="DU24" s="14">
        <v>28477.624273975463</v>
      </c>
      <c r="DV24" s="14">
        <f t="shared" si="77"/>
        <v>25508.685633591595</v>
      </c>
      <c r="DX24" s="14">
        <f t="shared" si="47"/>
        <v>3861.9649126522768</v>
      </c>
      <c r="DY24" s="14">
        <v>43690.62427397546</v>
      </c>
      <c r="DZ24" s="14">
        <f t="shared" si="78"/>
        <v>39828.659361323182</v>
      </c>
      <c r="ED24" s="3">
        <f t="shared" si="88"/>
        <v>0.83887891757559019</v>
      </c>
      <c r="EE24" s="3">
        <f t="shared" si="89"/>
        <v>0.16112108242440976</v>
      </c>
      <c r="EH24" s="14">
        <f t="shared" si="49"/>
        <v>652.02627226840877</v>
      </c>
      <c r="EJ24" s="89">
        <f t="shared" si="81"/>
        <v>1.4822459512650366</v>
      </c>
      <c r="EK24" s="89">
        <f t="shared" si="50"/>
        <v>1</v>
      </c>
      <c r="EM24" s="67"/>
      <c r="EN24" s="67">
        <f t="shared" si="51"/>
        <v>2.9689386403838678</v>
      </c>
      <c r="EO24" s="67">
        <f t="shared" si="22"/>
        <v>0.24099999999999999</v>
      </c>
      <c r="EP24" s="67">
        <f t="shared" si="23"/>
        <v>0.65202627226840881</v>
      </c>
      <c r="EQ24" s="67">
        <f t="shared" si="24"/>
        <v>0.18115774804213811</v>
      </c>
      <c r="EU24" s="66">
        <f t="shared" si="25"/>
        <v>0</v>
      </c>
      <c r="EX24" s="14">
        <f t="shared" si="27"/>
        <v>652.02627226840877</v>
      </c>
      <c r="EZ24" s="14">
        <f t="shared" si="52"/>
        <v>0</v>
      </c>
      <c r="FA24" s="14">
        <f t="shared" si="53"/>
        <v>14.093918428641693</v>
      </c>
      <c r="FC24" s="14">
        <f t="shared" si="54"/>
        <v>35329.762806646897</v>
      </c>
      <c r="FD24" s="66">
        <f t="shared" si="55"/>
        <v>0.92045270955241887</v>
      </c>
      <c r="FF24" s="14">
        <f t="shared" si="26"/>
        <v>34000</v>
      </c>
    </row>
    <row r="25" spans="2:162" x14ac:dyDescent="0.2">
      <c r="B25" s="4">
        <v>2004</v>
      </c>
      <c r="C25" s="71"/>
      <c r="D25" s="71"/>
      <c r="E25" s="71"/>
      <c r="G25" s="14"/>
      <c r="H25" s="14"/>
      <c r="I25" s="14"/>
      <c r="J25" s="14">
        <f t="shared" si="28"/>
        <v>0</v>
      </c>
      <c r="L25" s="72">
        <f>'Bayesian Sum (10Feb26)'!K20</f>
        <v>16604</v>
      </c>
      <c r="M25" s="73">
        <f t="shared" si="29"/>
        <v>0</v>
      </c>
      <c r="N25" s="56">
        <f>'Data-Coastal-Chin-Esc (new)'!J32</f>
        <v>801.5948981734</v>
      </c>
      <c r="O25" s="74">
        <f t="shared" si="56"/>
        <v>2.2978347279143878</v>
      </c>
      <c r="P25" s="14">
        <f>'Data-Coastal-Chin-Esc (new)'!AL32</f>
        <v>1841.9325947418361</v>
      </c>
      <c r="Q25" s="66">
        <f>P25/'A6-Chin (NEW2+Khutz)'!V25</f>
        <v>0.11823530769281419</v>
      </c>
      <c r="R25" s="5">
        <f>$Q25*'A6-Chin (NEW2+Khutz)'!R25</f>
        <v>33.945805081299902</v>
      </c>
      <c r="S25" s="926">
        <f>'Data-Nisga''a Angling'!A9</f>
        <v>432</v>
      </c>
      <c r="T25" s="14">
        <f t="shared" si="57"/>
        <v>465.94580508129991</v>
      </c>
      <c r="U25" s="73">
        <f t="shared" si="90"/>
        <v>1.4708662763125359E-2</v>
      </c>
      <c r="V25" s="14">
        <f t="shared" si="3"/>
        <v>1841.9325947418361</v>
      </c>
      <c r="X25" s="14">
        <f t="shared" si="31"/>
        <v>0</v>
      </c>
      <c r="Y25" s="14">
        <f t="shared" si="32"/>
        <v>33.945805081299902</v>
      </c>
      <c r="Z25" s="14">
        <f t="shared" si="32"/>
        <v>432</v>
      </c>
      <c r="AA25" s="14">
        <f t="shared" si="4"/>
        <v>465.94580508129991</v>
      </c>
      <c r="AC25" s="14">
        <f>$Q25*'A6-Chin (NEW2+Khutz)'!AC25</f>
        <v>849.5812222504087</v>
      </c>
      <c r="AD25" s="14">
        <f>$Q25*'A6-Chin (NEW2+Khutz)'!AD25</f>
        <v>227.60296730866733</v>
      </c>
      <c r="AE25" s="14">
        <f t="shared" si="58"/>
        <v>1077.184189559076</v>
      </c>
      <c r="AJ25" s="14">
        <f t="shared" si="33"/>
        <v>3385.0625893822121</v>
      </c>
      <c r="AK25" s="66">
        <f>AJ25/'A6-Chin (NEW2+Khutz)'!AJ25</f>
        <v>0.1063356582565374</v>
      </c>
      <c r="AL25" s="14">
        <f>AK25*'A6-Chin (NEW2+Khutz)'!AK25</f>
        <v>63.588723637409366</v>
      </c>
      <c r="AM25" s="14">
        <f t="shared" si="59"/>
        <v>3448.757648677878</v>
      </c>
      <c r="AN25" s="14"/>
      <c r="AO25" s="14">
        <f>'[1]Data-FW Catch Rates - new'!CE19</f>
        <v>15736.751738356423</v>
      </c>
      <c r="AP25" s="76">
        <f t="shared" si="34"/>
        <v>0</v>
      </c>
      <c r="AQ25" s="60">
        <f t="shared" si="35"/>
        <v>16</v>
      </c>
      <c r="AR25" s="59"/>
      <c r="AS25" s="77">
        <f t="shared" si="36"/>
        <v>0.4658833359583095</v>
      </c>
      <c r="AT25" s="61">
        <f t="shared" si="60"/>
        <v>0</v>
      </c>
      <c r="AU25" s="61">
        <f t="shared" si="37"/>
        <v>0</v>
      </c>
      <c r="AV25" s="61">
        <f t="shared" si="38"/>
        <v>0</v>
      </c>
      <c r="AW25" s="61"/>
      <c r="AX25" s="33"/>
      <c r="AY25" s="61">
        <f t="shared" si="39"/>
        <v>0.12526249855962257</v>
      </c>
      <c r="AZ25" s="61">
        <f t="shared" si="40"/>
        <v>0.2463441357139449</v>
      </c>
      <c r="BA25" s="61">
        <f t="shared" si="41"/>
        <v>7.5838547974003051E-2</v>
      </c>
      <c r="BB25" s="61">
        <f t="shared" si="42"/>
        <v>0</v>
      </c>
      <c r="BC25" s="61">
        <f t="shared" si="61"/>
        <v>0.44744518224757057</v>
      </c>
      <c r="BD25" s="108">
        <f t="shared" si="62"/>
        <v>1.8438153710738953E-2</v>
      </c>
      <c r="BE25" s="78">
        <f t="shared" si="43"/>
        <v>0.4658833359583095</v>
      </c>
      <c r="BF25" s="17"/>
      <c r="BG25" s="17"/>
      <c r="BH25" s="22">
        <f>'[1]Data-PSC CH Tables'!C19</f>
        <v>15184.751738356423</v>
      </c>
      <c r="BI25" s="22">
        <f>'[1]Data-PSC CH Tables'!AG19</f>
        <v>33130.599955108351</v>
      </c>
      <c r="BJ25" s="22">
        <f>'[1]Data-PSC CH Tables'!AI19</f>
        <v>33728.599955108351</v>
      </c>
      <c r="BK25" s="17"/>
      <c r="BL25" s="22">
        <f t="shared" si="63"/>
        <v>15184.751738356423</v>
      </c>
      <c r="BM25" s="22">
        <f t="shared" si="64"/>
        <v>29745.537365726141</v>
      </c>
      <c r="BN25" s="22">
        <f t="shared" si="65"/>
        <v>30279.842306430473</v>
      </c>
      <c r="BP25" s="33"/>
      <c r="BQ25" s="33"/>
      <c r="BR25" s="33"/>
      <c r="BT25" s="62">
        <f t="shared" si="66"/>
        <v>849.5812222504087</v>
      </c>
      <c r="BU25" s="62">
        <f t="shared" si="10"/>
        <v>432</v>
      </c>
      <c r="BV25" s="62">
        <f t="shared" si="11"/>
        <v>0</v>
      </c>
      <c r="BW25" s="62">
        <f t="shared" si="12"/>
        <v>227.60296730866733</v>
      </c>
      <c r="BX25" s="62">
        <f t="shared" si="13"/>
        <v>33.945805081299902</v>
      </c>
      <c r="BY25" s="62">
        <f t="shared" si="67"/>
        <v>1543.1299946403758</v>
      </c>
      <c r="BZ25" s="62">
        <f t="shared" si="15"/>
        <v>3385.0625893822121</v>
      </c>
      <c r="CA25" s="79">
        <f t="shared" si="68"/>
        <v>0.45586453836352947</v>
      </c>
      <c r="CB25" s="79">
        <f t="shared" si="69"/>
        <v>0.69805148840367937</v>
      </c>
      <c r="CC25" s="79">
        <f t="shared" si="70"/>
        <v>0.30194851159632075</v>
      </c>
      <c r="CD25" s="79">
        <f t="shared" si="19"/>
        <v>3.9576761578759133E-2</v>
      </c>
      <c r="CE25" s="33"/>
      <c r="CG25" s="36">
        <v>33146.899300017598</v>
      </c>
      <c r="CH25" s="36">
        <v>33744.899300017598</v>
      </c>
      <c r="CI25" s="81">
        <f t="shared" si="100"/>
        <v>-29761.836710635387</v>
      </c>
      <c r="CJ25" s="36">
        <f t="shared" si="101"/>
        <v>-30296.14165133972</v>
      </c>
      <c r="CK25" s="36">
        <v>16891.683508910683</v>
      </c>
      <c r="CL25" s="81">
        <f t="shared" si="73"/>
        <v>-15049.750914168846</v>
      </c>
      <c r="CN25" s="33">
        <f t="shared" si="82"/>
        <v>2004</v>
      </c>
      <c r="CO25" s="96">
        <f t="shared" si="91"/>
        <v>3385.0625893822121</v>
      </c>
      <c r="CP25" s="97">
        <f t="shared" si="92"/>
        <v>0</v>
      </c>
      <c r="CQ25" s="97">
        <f t="shared" si="93"/>
        <v>710.86314377026451</v>
      </c>
      <c r="CR25" s="62">
        <f t="shared" si="94"/>
        <v>1841.9325947418361</v>
      </c>
      <c r="CS25" s="98" t="str">
        <f t="shared" si="83"/>
        <v>N</v>
      </c>
      <c r="CT25" s="98" t="str">
        <f t="shared" si="95"/>
        <v>N</v>
      </c>
      <c r="CU25" s="99">
        <f t="shared" si="102"/>
        <v>710.86314377026451</v>
      </c>
      <c r="CV25" s="100">
        <f t="shared" si="103"/>
        <v>0</v>
      </c>
      <c r="CW25" s="100"/>
      <c r="CX25" s="100"/>
      <c r="CY25" s="101">
        <f t="shared" si="96"/>
        <v>432</v>
      </c>
      <c r="CZ25" s="102">
        <f t="shared" si="84"/>
        <v>432</v>
      </c>
      <c r="DA25" s="79">
        <v>0.1</v>
      </c>
      <c r="DB25" s="103">
        <f t="shared" si="97"/>
        <v>-71.086314377026454</v>
      </c>
      <c r="DC25" s="107">
        <f t="shared" si="85"/>
        <v>432</v>
      </c>
      <c r="DD25" s="33"/>
      <c r="DE25" s="107">
        <f t="shared" ref="DE25:DE46" si="104">DC25+DE24</f>
        <v>3497</v>
      </c>
      <c r="DF25" s="105">
        <f t="shared" si="98"/>
        <v>432</v>
      </c>
      <c r="DG25" s="105">
        <f t="shared" si="99"/>
        <v>432</v>
      </c>
      <c r="DI25" s="66">
        <f t="shared" si="20"/>
        <v>1</v>
      </c>
      <c r="DL25" s="106">
        <f t="shared" si="86"/>
        <v>0.25097947226005674</v>
      </c>
      <c r="DM25" s="106">
        <f t="shared" si="87"/>
        <v>6.7237447255061186E-2</v>
      </c>
      <c r="DT25" s="14">
        <f t="shared" si="46"/>
        <v>1841.9325947418361</v>
      </c>
      <c r="DU25" s="14">
        <v>17670.381390128794</v>
      </c>
      <c r="DV25" s="14">
        <f t="shared" si="77"/>
        <v>15828.448795386957</v>
      </c>
      <c r="DX25" s="14">
        <f t="shared" si="47"/>
        <v>3385.0625893822121</v>
      </c>
      <c r="DY25" s="14">
        <v>32875.501390128797</v>
      </c>
      <c r="DZ25" s="14">
        <f t="shared" si="78"/>
        <v>29490.438800746586</v>
      </c>
      <c r="ED25" s="3">
        <f t="shared" si="88"/>
        <v>0.78870561830114494</v>
      </c>
      <c r="EE25" s="3">
        <f t="shared" si="89"/>
        <v>0.21129438169885514</v>
      </c>
      <c r="EH25" s="14">
        <f t="shared" si="49"/>
        <v>1111.1299946403758</v>
      </c>
      <c r="EJ25" s="89">
        <f t="shared" si="81"/>
        <v>0.91912804128834136</v>
      </c>
      <c r="EK25" s="89">
        <f t="shared" si="50"/>
        <v>1</v>
      </c>
      <c r="EM25" s="67"/>
      <c r="EN25" s="67">
        <f t="shared" si="51"/>
        <v>1.8419325947418361</v>
      </c>
      <c r="EO25" s="67">
        <f t="shared" si="22"/>
        <v>0.432</v>
      </c>
      <c r="EP25" s="67">
        <f t="shared" si="23"/>
        <v>1.1111299946403759</v>
      </c>
      <c r="EQ25" s="67">
        <f t="shared" si="24"/>
        <v>6.3588723637409361E-2</v>
      </c>
      <c r="EU25" s="66">
        <f t="shared" si="25"/>
        <v>0</v>
      </c>
      <c r="EX25" s="14">
        <f t="shared" si="27"/>
        <v>1111.1299946403758</v>
      </c>
      <c r="EZ25" s="14">
        <f t="shared" si="52"/>
        <v>0</v>
      </c>
      <c r="FA25" s="14">
        <f t="shared" si="53"/>
        <v>33.945805081299902</v>
      </c>
      <c r="FC25" s="14">
        <f t="shared" si="54"/>
        <v>18019.72248063828</v>
      </c>
      <c r="FD25" s="66">
        <f t="shared" si="55"/>
        <v>0.90014424126937909</v>
      </c>
      <c r="FF25" s="14">
        <f t="shared" si="26"/>
        <v>17000</v>
      </c>
    </row>
    <row r="26" spans="2:162" x14ac:dyDescent="0.2">
      <c r="B26" s="4">
        <v>2005</v>
      </c>
      <c r="C26" s="71"/>
      <c r="D26" s="71"/>
      <c r="E26" s="71"/>
      <c r="G26" s="14"/>
      <c r="H26" s="14"/>
      <c r="I26" s="14"/>
      <c r="J26" s="14">
        <f t="shared" si="28"/>
        <v>0</v>
      </c>
      <c r="L26" s="72">
        <f>'Bayesian Sum (10Feb26)'!K21</f>
        <v>16178.999999999998</v>
      </c>
      <c r="M26" s="73">
        <f t="shared" si="29"/>
        <v>0</v>
      </c>
      <c r="N26" s="56">
        <f>'Data-Coastal-Chin-Esc (new)'!J33</f>
        <v>996.39339008363618</v>
      </c>
      <c r="O26" s="74">
        <f t="shared" si="56"/>
        <v>2.5558630076550202</v>
      </c>
      <c r="P26" s="14">
        <f>'Data-Coastal-Chin-Esc (new)'!AL33</f>
        <v>2546.645006786744</v>
      </c>
      <c r="Q26" s="66">
        <f>P26/'A6-Chin (NEW2+Khutz)'!V26</f>
        <v>0.16265793452363075</v>
      </c>
      <c r="R26" s="5">
        <f>$Q26*'A6-Chin (NEW2+Khutz)'!R26</f>
        <v>25.396870332630037</v>
      </c>
      <c r="S26" s="926">
        <f>'Data-Nisga''a Angling'!A10</f>
        <v>235</v>
      </c>
      <c r="T26" s="14">
        <f t="shared" si="57"/>
        <v>260.39687033263004</v>
      </c>
      <c r="U26" s="73">
        <f t="shared" si="90"/>
        <v>9.0475566252302096E-3</v>
      </c>
      <c r="V26" s="14">
        <f t="shared" si="3"/>
        <v>2546.645006786744</v>
      </c>
      <c r="X26" s="14">
        <f t="shared" si="31"/>
        <v>0</v>
      </c>
      <c r="Y26" s="14">
        <f t="shared" si="32"/>
        <v>25.396870332630037</v>
      </c>
      <c r="Z26" s="14">
        <f t="shared" si="32"/>
        <v>235</v>
      </c>
      <c r="AA26" s="14">
        <f t="shared" si="4"/>
        <v>260.39687033263004</v>
      </c>
      <c r="AC26" s="14">
        <f>$Q26*'A6-Chin (NEW2+Khutz)'!AC26</f>
        <v>560.94996057905018</v>
      </c>
      <c r="AD26" s="14">
        <f>$Q26*'A6-Chin (NEW2+Khutz)'!AD26</f>
        <v>250.81853503543863</v>
      </c>
      <c r="AE26" s="14">
        <f t="shared" si="58"/>
        <v>811.76849561448876</v>
      </c>
      <c r="AJ26" s="14">
        <f t="shared" si="33"/>
        <v>3618.810372733863</v>
      </c>
      <c r="AK26" s="66">
        <f>AJ26/'A6-Chin (NEW2+Khutz)'!AJ26</f>
        <v>0.12840114678582301</v>
      </c>
      <c r="AL26" s="14">
        <f>AK26*'A6-Chin (NEW2+Khutz)'!AK26</f>
        <v>32.228687843241573</v>
      </c>
      <c r="AM26" s="14">
        <f t="shared" si="59"/>
        <v>3651.1674617238905</v>
      </c>
      <c r="AN26" s="109">
        <v>622</v>
      </c>
      <c r="AO26" s="14">
        <f>'[1]Data-FW Catch Rates - new'!CE20</f>
        <v>14374.486895266944</v>
      </c>
      <c r="AP26" s="76">
        <f t="shared" si="34"/>
        <v>0</v>
      </c>
      <c r="AQ26" s="60">
        <f t="shared" si="35"/>
        <v>15</v>
      </c>
      <c r="AR26" s="59"/>
      <c r="AS26" s="77">
        <f t="shared" si="36"/>
        <v>0.30247696534546881</v>
      </c>
      <c r="AT26" s="61">
        <f t="shared" si="60"/>
        <v>0</v>
      </c>
      <c r="AU26" s="61">
        <f t="shared" si="37"/>
        <v>0</v>
      </c>
      <c r="AV26" s="61">
        <f t="shared" si="38"/>
        <v>0</v>
      </c>
      <c r="AW26" s="61"/>
      <c r="AX26" s="33"/>
      <c r="AY26" s="61">
        <f t="shared" si="39"/>
        <v>6.4362974983635857E-2</v>
      </c>
      <c r="AZ26" s="61">
        <f t="shared" si="40"/>
        <v>0.1536357799141316</v>
      </c>
      <c r="BA26" s="61">
        <f t="shared" si="41"/>
        <v>7.5651256279999329E-2</v>
      </c>
      <c r="BB26" s="61">
        <f t="shared" si="42"/>
        <v>0</v>
      </c>
      <c r="BC26" s="61">
        <f t="shared" si="61"/>
        <v>0.29365001117776679</v>
      </c>
      <c r="BD26" s="108">
        <f t="shared" si="62"/>
        <v>8.8269541677019857E-3</v>
      </c>
      <c r="BE26" s="78">
        <f t="shared" si="43"/>
        <v>0.30247696534546881</v>
      </c>
      <c r="BF26" s="17"/>
      <c r="BG26" s="17"/>
      <c r="BH26" s="22">
        <f>'[1]Data-PSC CH Tables'!C20</f>
        <v>13706.486895266944</v>
      </c>
      <c r="BI26" s="22">
        <f>'[1]Data-PSC CH Tables'!AG20</f>
        <v>28115.467449808668</v>
      </c>
      <c r="BJ26" s="22">
        <f>'[1]Data-PSC CH Tables'!AI20</f>
        <v>28366.467449808668</v>
      </c>
      <c r="BK26" s="17"/>
      <c r="BL26" s="22">
        <f t="shared" si="63"/>
        <v>13706.486895266944</v>
      </c>
      <c r="BM26" s="22">
        <f t="shared" si="64"/>
        <v>24496.657077074804</v>
      </c>
      <c r="BN26" s="22">
        <f t="shared" si="65"/>
        <v>24715.299988084778</v>
      </c>
      <c r="BP26" s="33"/>
      <c r="BQ26" s="33"/>
      <c r="BR26" s="33"/>
      <c r="BT26" s="62">
        <f t="shared" si="66"/>
        <v>560.94996057905018</v>
      </c>
      <c r="BU26" s="62">
        <f t="shared" si="10"/>
        <v>235</v>
      </c>
      <c r="BV26" s="62">
        <f t="shared" si="11"/>
        <v>0</v>
      </c>
      <c r="BW26" s="62">
        <f t="shared" si="12"/>
        <v>250.81853503543863</v>
      </c>
      <c r="BX26" s="62">
        <f t="shared" si="13"/>
        <v>25.396870332630037</v>
      </c>
      <c r="BY26" s="62">
        <f t="shared" si="67"/>
        <v>1072.1653659471187</v>
      </c>
      <c r="BZ26" s="62">
        <f t="shared" si="15"/>
        <v>3618.810372733863</v>
      </c>
      <c r="CA26" s="79">
        <f t="shared" si="68"/>
        <v>0.29627564185883043</v>
      </c>
      <c r="CB26" s="79">
        <f t="shared" si="69"/>
        <v>0.75712993666550388</v>
      </c>
      <c r="CC26" s="79">
        <f t="shared" si="70"/>
        <v>0.24287006333449621</v>
      </c>
      <c r="CD26" s="79">
        <f t="shared" si="19"/>
        <v>2.9182235935289926E-2</v>
      </c>
      <c r="CE26" s="33"/>
      <c r="CG26" s="36">
        <v>28133.445900143179</v>
      </c>
      <c r="CH26" s="36">
        <v>28384.445900143179</v>
      </c>
      <c r="CI26" s="81">
        <f t="shared" si="100"/>
        <v>-24514.635527409315</v>
      </c>
      <c r="CJ26" s="36">
        <f t="shared" si="101"/>
        <v>-24733.278438419289</v>
      </c>
      <c r="CK26" s="36">
        <v>15589.261217312373</v>
      </c>
      <c r="CL26" s="81">
        <f t="shared" si="73"/>
        <v>-13042.616210525628</v>
      </c>
      <c r="CN26" s="33">
        <f t="shared" si="82"/>
        <v>2005</v>
      </c>
      <c r="CO26" s="96">
        <f t="shared" si="91"/>
        <v>3618.810372733863</v>
      </c>
      <c r="CP26" s="97">
        <f t="shared" si="92"/>
        <v>0</v>
      </c>
      <c r="CQ26" s="97">
        <f t="shared" si="93"/>
        <v>759.95017827411118</v>
      </c>
      <c r="CR26" s="62">
        <f t="shared" si="94"/>
        <v>2546.645006786744</v>
      </c>
      <c r="CS26" s="98" t="str">
        <f t="shared" si="83"/>
        <v>N</v>
      </c>
      <c r="CT26" s="98" t="str">
        <f t="shared" si="95"/>
        <v>N</v>
      </c>
      <c r="CU26" s="99">
        <f t="shared" si="102"/>
        <v>759.95017827411118</v>
      </c>
      <c r="CV26" s="100">
        <f>IF(CS26="N",0,IF(CT26="N",(BY26-BU26)+CU26,CU26))</f>
        <v>0</v>
      </c>
      <c r="CW26" s="100"/>
      <c r="CX26" s="100"/>
      <c r="CY26" s="101">
        <f t="shared" si="96"/>
        <v>235</v>
      </c>
      <c r="CZ26" s="102">
        <f t="shared" si="84"/>
        <v>235</v>
      </c>
      <c r="DA26" s="79">
        <v>0.1</v>
      </c>
      <c r="DB26" s="103">
        <f t="shared" si="97"/>
        <v>-75.995017827411118</v>
      </c>
      <c r="DC26" s="107">
        <f t="shared" si="85"/>
        <v>235</v>
      </c>
      <c r="DD26" s="33"/>
      <c r="DE26" s="107">
        <f t="shared" si="104"/>
        <v>3732</v>
      </c>
      <c r="DF26" s="105">
        <f t="shared" si="98"/>
        <v>235</v>
      </c>
      <c r="DG26" s="105">
        <f t="shared" si="99"/>
        <v>235</v>
      </c>
      <c r="DI26" s="66">
        <f t="shared" si="20"/>
        <v>1</v>
      </c>
      <c r="DL26" s="106">
        <f t="shared" si="86"/>
        <v>0.15500949284482002</v>
      </c>
      <c r="DM26" s="106">
        <f t="shared" si="87"/>
        <v>6.9309665111287805E-2</v>
      </c>
      <c r="DT26" s="14">
        <f t="shared" si="46"/>
        <v>2546.645006786744</v>
      </c>
      <c r="DU26" s="14">
        <v>16663.306215128945</v>
      </c>
      <c r="DV26" s="14">
        <f t="shared" si="77"/>
        <v>14116.661208342201</v>
      </c>
      <c r="DX26" s="14">
        <f t="shared" si="47"/>
        <v>3618.810372733863</v>
      </c>
      <c r="DY26" s="14">
        <v>28324.306215128945</v>
      </c>
      <c r="DZ26" s="14">
        <f t="shared" si="78"/>
        <v>24705.495842395081</v>
      </c>
      <c r="ED26" s="3">
        <f t="shared" si="88"/>
        <v>0.69102208771285822</v>
      </c>
      <c r="EE26" s="3">
        <f t="shared" si="89"/>
        <v>0.30897791228714189</v>
      </c>
      <c r="EH26" s="14">
        <f t="shared" si="49"/>
        <v>837.16536594711874</v>
      </c>
      <c r="EJ26" s="89">
        <f t="shared" si="81"/>
        <v>1.2701471355544858</v>
      </c>
      <c r="EK26" s="89">
        <f t="shared" si="50"/>
        <v>1</v>
      </c>
      <c r="EM26" s="67"/>
      <c r="EN26" s="67">
        <f t="shared" si="51"/>
        <v>2.5466450067867439</v>
      </c>
      <c r="EO26" s="67">
        <f t="shared" si="22"/>
        <v>0.23499999999999999</v>
      </c>
      <c r="EP26" s="67">
        <f t="shared" si="23"/>
        <v>0.83716536594711877</v>
      </c>
      <c r="EQ26" s="67">
        <f t="shared" si="24"/>
        <v>3.2228687843241573E-2</v>
      </c>
      <c r="EU26" s="66">
        <f t="shared" si="25"/>
        <v>0</v>
      </c>
      <c r="EX26" s="14">
        <f t="shared" si="27"/>
        <v>837.16536594711874</v>
      </c>
      <c r="EZ26" s="14">
        <f t="shared" si="52"/>
        <v>0</v>
      </c>
      <c r="FA26" s="14">
        <f t="shared" si="53"/>
        <v>25.396870332630037</v>
      </c>
      <c r="FC26" s="14">
        <f t="shared" si="54"/>
        <v>17111.256027754218</v>
      </c>
      <c r="FD26" s="66">
        <f t="shared" si="55"/>
        <v>0.86400228105019816</v>
      </c>
      <c r="FF26" s="14">
        <f t="shared" si="26"/>
        <v>16000</v>
      </c>
    </row>
    <row r="27" spans="2:162" x14ac:dyDescent="0.2">
      <c r="B27" s="4">
        <v>2006</v>
      </c>
      <c r="C27" s="71"/>
      <c r="D27" s="71"/>
      <c r="E27" s="71"/>
      <c r="G27" s="14"/>
      <c r="H27" s="14"/>
      <c r="I27" s="14"/>
      <c r="J27" s="14">
        <f t="shared" si="28"/>
        <v>0</v>
      </c>
      <c r="L27" s="72">
        <f>'Bayesian Sum (10Feb26)'!K22</f>
        <v>27633</v>
      </c>
      <c r="M27" s="73">
        <f t="shared" si="29"/>
        <v>0</v>
      </c>
      <c r="N27" s="56">
        <f>'Data-Coastal-Chin-Esc (new)'!J34</f>
        <v>964.39827963336984</v>
      </c>
      <c r="O27" s="74">
        <f t="shared" si="56"/>
        <v>5.7811586270446762</v>
      </c>
      <c r="P27" s="14">
        <f>'Data-Coastal-Chin-Esc (new)'!AL34</f>
        <v>5575.3394342094998</v>
      </c>
      <c r="Q27" s="66">
        <f>P27/'A6-Chin (NEW2+Khutz)'!V27</f>
        <v>0.19801645927095071</v>
      </c>
      <c r="R27" s="5">
        <f>$Q27*'A6-Chin (NEW2+Khutz)'!R27</f>
        <v>53.049927826725671</v>
      </c>
      <c r="S27" s="926">
        <f>'Data-Nisga''a Angling'!A11</f>
        <v>403</v>
      </c>
      <c r="T27" s="14">
        <f t="shared" si="57"/>
        <v>456.04992782672565</v>
      </c>
      <c r="U27" s="73">
        <f t="shared" si="90"/>
        <v>8.7956397178801556E-3</v>
      </c>
      <c r="V27" s="14">
        <f t="shared" si="3"/>
        <v>5575.3394342094998</v>
      </c>
      <c r="X27" s="14">
        <f t="shared" si="31"/>
        <v>0</v>
      </c>
      <c r="Y27" s="14">
        <f t="shared" si="32"/>
        <v>53.049927826725671</v>
      </c>
      <c r="Z27" s="14">
        <f t="shared" si="32"/>
        <v>403</v>
      </c>
      <c r="AA27" s="14">
        <f t="shared" si="4"/>
        <v>456.04992782672565</v>
      </c>
      <c r="AC27" s="14">
        <f>$Q27*'A6-Chin (NEW2+Khutz)'!AC27</f>
        <v>978.05556868447309</v>
      </c>
      <c r="AD27" s="14">
        <f>$Q27*'A6-Chin (NEW2+Khutz)'!AD27</f>
        <v>194.65017946334456</v>
      </c>
      <c r="AE27" s="14">
        <f t="shared" si="58"/>
        <v>1172.7057481478178</v>
      </c>
      <c r="AJ27" s="14">
        <f t="shared" si="33"/>
        <v>7204.0951101840428</v>
      </c>
      <c r="AK27" s="66">
        <f>AJ27/'A6-Chin (NEW2+Khutz)'!AJ27</f>
        <v>0.16514097647278986</v>
      </c>
      <c r="AL27" s="14">
        <f>AK27*'A6-Chin (NEW2+Khutz)'!AK27</f>
        <v>288.99670882738224</v>
      </c>
      <c r="AM27" s="14">
        <f t="shared" si="59"/>
        <v>7493.256959987898</v>
      </c>
      <c r="AN27" s="109">
        <v>2741</v>
      </c>
      <c r="AO27" s="14">
        <f>'[1]Data-FW Catch Rates - new'!CE21</f>
        <v>24539.274081002797</v>
      </c>
      <c r="AP27" s="76">
        <f t="shared" si="34"/>
        <v>0</v>
      </c>
      <c r="AQ27" s="60">
        <f t="shared" si="35"/>
        <v>30</v>
      </c>
      <c r="AR27" s="59"/>
      <c r="AS27" s="77">
        <f t="shared" si="36"/>
        <v>0.25593041784663728</v>
      </c>
      <c r="AT27" s="61">
        <f t="shared" si="60"/>
        <v>0</v>
      </c>
      <c r="AU27" s="61">
        <f t="shared" si="37"/>
        <v>0</v>
      </c>
      <c r="AV27" s="61">
        <f t="shared" si="38"/>
        <v>0</v>
      </c>
      <c r="AW27" s="61"/>
      <c r="AX27" s="33"/>
      <c r="AY27" s="61">
        <f t="shared" si="39"/>
        <v>5.3781686942262673E-2</v>
      </c>
      <c r="AZ27" s="61">
        <f t="shared" si="40"/>
        <v>0.13052476031544669</v>
      </c>
      <c r="BA27" s="61">
        <f t="shared" si="41"/>
        <v>3.3056401056673533E-2</v>
      </c>
      <c r="BB27" s="61">
        <f t="shared" si="42"/>
        <v>0</v>
      </c>
      <c r="BC27" s="61">
        <f t="shared" si="61"/>
        <v>0.21736284831438291</v>
      </c>
      <c r="BD27" s="61">
        <f t="shared" si="62"/>
        <v>3.8567569532254369E-2</v>
      </c>
      <c r="BE27" s="78">
        <f t="shared" si="43"/>
        <v>0.25593041784663728</v>
      </c>
      <c r="BF27" s="17"/>
      <c r="BG27" s="17"/>
      <c r="BH27" s="22">
        <f>'[1]Data-PSC CH Tables'!C21</f>
        <v>23594.274081002797</v>
      </c>
      <c r="BI27" s="22">
        <f>'[1]Data-PSC CH Tables'!AG21</f>
        <v>43559.187215170736</v>
      </c>
      <c r="BJ27" s="22">
        <f>'[1]Data-PSC CH Tables'!AI21</f>
        <v>45309.187215170736</v>
      </c>
      <c r="BK27" s="17"/>
      <c r="BL27" s="22">
        <f t="shared" si="63"/>
        <v>23594.274081002797</v>
      </c>
      <c r="BM27" s="22">
        <f t="shared" si="64"/>
        <v>36355.092104986696</v>
      </c>
      <c r="BN27" s="22">
        <f t="shared" si="65"/>
        <v>37815.930255182837</v>
      </c>
      <c r="BP27" s="33"/>
      <c r="BQ27" s="33"/>
      <c r="BR27" s="33"/>
      <c r="BT27" s="62">
        <f t="shared" si="66"/>
        <v>978.05556868447309</v>
      </c>
      <c r="BU27" s="62">
        <f t="shared" si="10"/>
        <v>403</v>
      </c>
      <c r="BV27" s="62">
        <f t="shared" si="11"/>
        <v>0</v>
      </c>
      <c r="BW27" s="62">
        <f t="shared" si="12"/>
        <v>194.65017946334456</v>
      </c>
      <c r="BX27" s="62">
        <f t="shared" si="13"/>
        <v>53.049927826725671</v>
      </c>
      <c r="BY27" s="62">
        <f t="shared" si="67"/>
        <v>1628.7556759745435</v>
      </c>
      <c r="BZ27" s="62">
        <f t="shared" si="15"/>
        <v>7204.0951101840428</v>
      </c>
      <c r="CA27" s="79">
        <f t="shared" si="68"/>
        <v>0.22608747539605065</v>
      </c>
      <c r="CB27" s="79">
        <f t="shared" si="69"/>
        <v>0.72000102007082523</v>
      </c>
      <c r="CC27" s="79">
        <f t="shared" si="70"/>
        <v>0.27999897992917477</v>
      </c>
      <c r="CD27" s="79">
        <f t="shared" si="19"/>
        <v>0.15069552832663075</v>
      </c>
      <c r="CE27" s="33"/>
      <c r="CG27" s="36">
        <v>43603.252895802958</v>
      </c>
      <c r="CH27" s="36">
        <v>45353.252895802958</v>
      </c>
      <c r="CI27" s="81">
        <f t="shared" si="100"/>
        <v>-36399.157785618918</v>
      </c>
      <c r="CJ27" s="36">
        <f t="shared" si="101"/>
        <v>-37859.995935815059</v>
      </c>
      <c r="CK27" s="36">
        <v>28104.282237830972</v>
      </c>
      <c r="CL27" s="81">
        <f t="shared" si="73"/>
        <v>-22528.942803621474</v>
      </c>
      <c r="CN27" s="33">
        <f t="shared" si="82"/>
        <v>2006</v>
      </c>
      <c r="CO27" s="96">
        <f t="shared" si="91"/>
        <v>7204.0951101840428</v>
      </c>
      <c r="CP27" s="97">
        <f t="shared" si="92"/>
        <v>0</v>
      </c>
      <c r="CQ27" s="97">
        <f t="shared" si="93"/>
        <v>1512.8599731386489</v>
      </c>
      <c r="CR27" s="62">
        <f t="shared" si="94"/>
        <v>5575.3394342094998</v>
      </c>
      <c r="CS27" s="98" t="str">
        <f t="shared" si="83"/>
        <v>N</v>
      </c>
      <c r="CT27" s="98" t="str">
        <f t="shared" si="95"/>
        <v>N</v>
      </c>
      <c r="CU27" s="99">
        <f t="shared" si="102"/>
        <v>1512.8599731386489</v>
      </c>
      <c r="CV27" s="100">
        <f t="shared" si="103"/>
        <v>0</v>
      </c>
      <c r="CW27" s="100"/>
      <c r="CX27" s="100"/>
      <c r="CY27" s="101">
        <f t="shared" si="96"/>
        <v>403</v>
      </c>
      <c r="CZ27" s="102">
        <f t="shared" si="84"/>
        <v>403</v>
      </c>
      <c r="DA27" s="79">
        <v>0.1</v>
      </c>
      <c r="DB27" s="103">
        <f t="shared" si="97"/>
        <v>-151.2859973138649</v>
      </c>
      <c r="DC27" s="107">
        <f t="shared" si="85"/>
        <v>403</v>
      </c>
      <c r="DD27" s="33"/>
      <c r="DE27" s="107">
        <f t="shared" si="104"/>
        <v>4135</v>
      </c>
      <c r="DF27" s="105">
        <f t="shared" si="98"/>
        <v>403</v>
      </c>
      <c r="DG27" s="105">
        <f t="shared" si="99"/>
        <v>403</v>
      </c>
      <c r="DI27" s="66">
        <f t="shared" si="20"/>
        <v>1</v>
      </c>
      <c r="DL27" s="106">
        <f t="shared" si="86"/>
        <v>0.13576383344826312</v>
      </c>
      <c r="DM27" s="106">
        <f t="shared" si="87"/>
        <v>2.7019379462130927E-2</v>
      </c>
      <c r="DT27" s="14">
        <f t="shared" si="46"/>
        <v>5575.3394342094998</v>
      </c>
      <c r="DU27" s="14">
        <v>28577.107523933752</v>
      </c>
      <c r="DV27" s="14">
        <f t="shared" si="77"/>
        <v>23001.768089724254</v>
      </c>
      <c r="DX27" s="14">
        <f t="shared" si="47"/>
        <v>7204.0951101840428</v>
      </c>
      <c r="DY27" s="14">
        <v>42688.913623933746</v>
      </c>
      <c r="DZ27" s="14">
        <f t="shared" si="78"/>
        <v>35484.818513749706</v>
      </c>
      <c r="ED27" s="3">
        <f t="shared" si="88"/>
        <v>0.83401618029861546</v>
      </c>
      <c r="EE27" s="3">
        <f t="shared" si="89"/>
        <v>0.16598381970138446</v>
      </c>
      <c r="EH27" s="14">
        <f t="shared" si="49"/>
        <v>1225.7556759745435</v>
      </c>
      <c r="EJ27" s="89">
        <f t="shared" si="81"/>
        <v>2.7793317219389331</v>
      </c>
      <c r="EK27" s="89">
        <f t="shared" si="50"/>
        <v>1</v>
      </c>
      <c r="EM27" s="67"/>
      <c r="EN27" s="67">
        <f t="shared" si="51"/>
        <v>5.5753394342095</v>
      </c>
      <c r="EO27" s="67">
        <f t="shared" si="22"/>
        <v>0.40300000000000002</v>
      </c>
      <c r="EP27" s="67">
        <f t="shared" si="23"/>
        <v>1.2257556759745434</v>
      </c>
      <c r="EQ27" s="67">
        <f t="shared" si="24"/>
        <v>0.28899670882738221</v>
      </c>
      <c r="EU27" s="66">
        <f t="shared" si="25"/>
        <v>0</v>
      </c>
      <c r="EX27" s="14">
        <f t="shared" si="27"/>
        <v>1225.7556759745435</v>
      </c>
      <c r="EZ27" s="14">
        <f t="shared" si="52"/>
        <v>0</v>
      </c>
      <c r="FA27" s="14">
        <f t="shared" si="53"/>
        <v>53.049927826725671</v>
      </c>
      <c r="FC27" s="14">
        <f t="shared" si="54"/>
        <v>29184.638048499197</v>
      </c>
      <c r="FD27" s="66">
        <f t="shared" si="55"/>
        <v>0.83211026118138043</v>
      </c>
      <c r="FF27" s="14">
        <f t="shared" si="26"/>
        <v>28000</v>
      </c>
    </row>
    <row r="28" spans="2:162" x14ac:dyDescent="0.2">
      <c r="B28" s="4">
        <v>2007</v>
      </c>
      <c r="C28" s="71"/>
      <c r="D28" s="71"/>
      <c r="E28" s="71"/>
      <c r="G28" s="14"/>
      <c r="H28" s="14"/>
      <c r="I28" s="14"/>
      <c r="J28" s="14">
        <f t="shared" si="28"/>
        <v>0</v>
      </c>
      <c r="L28" s="72">
        <f>'Bayesian Sum (10Feb26)'!K23</f>
        <v>25722</v>
      </c>
      <c r="M28" s="73">
        <f t="shared" si="29"/>
        <v>0</v>
      </c>
      <c r="N28" s="56">
        <f>'Data-Coastal-Chin-Esc (new)'!J35</f>
        <v>1912.5599223080219</v>
      </c>
      <c r="O28" s="74">
        <f t="shared" si="56"/>
        <v>1.9671721005127598</v>
      </c>
      <c r="P28" s="14">
        <f>'Data-Coastal-Chin-Esc (new)'!AL35</f>
        <v>3762.334519723192</v>
      </c>
      <c r="Q28" s="66">
        <f>P28/'A6-Chin (NEW2+Khutz)'!V28</f>
        <v>0.15417675903011338</v>
      </c>
      <c r="R28" s="5">
        <f>$Q28*'A6-Chin (NEW2+Khutz)'!R28</f>
        <v>80.942798490809523</v>
      </c>
      <c r="S28" s="926">
        <f>'Data-Nisga''a Angling'!A12</f>
        <v>340</v>
      </c>
      <c r="T28" s="14">
        <f t="shared" si="57"/>
        <v>420.94279849080954</v>
      </c>
      <c r="U28" s="73">
        <f t="shared" si="90"/>
        <v>1.9349135219504654E-2</v>
      </c>
      <c r="V28" s="14">
        <f t="shared" si="3"/>
        <v>3762.334519723192</v>
      </c>
      <c r="X28" s="14">
        <f t="shared" si="31"/>
        <v>0</v>
      </c>
      <c r="Y28" s="14">
        <f t="shared" si="32"/>
        <v>80.942798490809523</v>
      </c>
      <c r="Z28" s="14">
        <f t="shared" si="32"/>
        <v>340</v>
      </c>
      <c r="AA28" s="14">
        <f t="shared" si="4"/>
        <v>420.94279849080954</v>
      </c>
      <c r="AC28" s="14">
        <f>$Q28*'A6-Chin (NEW2+Khutz)'!AC28</f>
        <v>689.94839714419084</v>
      </c>
      <c r="AD28" s="14">
        <f>$Q28*'A6-Chin (NEW2+Khutz)'!AD28</f>
        <v>279.05993384450522</v>
      </c>
      <c r="AE28" s="14">
        <f t="shared" si="58"/>
        <v>969.00833098869612</v>
      </c>
      <c r="AJ28" s="14">
        <f t="shared" si="33"/>
        <v>5152.2856492026976</v>
      </c>
      <c r="AK28" s="66">
        <f>AJ28/'A6-Chin (NEW2+Khutz)'!AJ28</f>
        <v>0.13205644783872073</v>
      </c>
      <c r="AL28" s="14">
        <f>AK28*'A6-Chin (NEW2+Khutz)'!AK28</f>
        <v>174.57862404278879</v>
      </c>
      <c r="AM28" s="14">
        <f t="shared" si="59"/>
        <v>5326.9963296933247</v>
      </c>
      <c r="AN28" s="109">
        <v>1141</v>
      </c>
      <c r="AO28" s="14">
        <f>'[1]Data-FW Catch Rates - new'!CE22</f>
        <v>22649.31290378391</v>
      </c>
      <c r="AP28" s="76">
        <f t="shared" si="34"/>
        <v>0</v>
      </c>
      <c r="AQ28" s="60">
        <f t="shared" si="35"/>
        <v>27</v>
      </c>
      <c r="AR28" s="59"/>
      <c r="AS28" s="77">
        <f t="shared" si="36"/>
        <v>0.29369829763189725</v>
      </c>
      <c r="AT28" s="61">
        <f t="shared" si="60"/>
        <v>0</v>
      </c>
      <c r="AU28" s="61">
        <f t="shared" si="37"/>
        <v>0</v>
      </c>
      <c r="AV28" s="61">
        <f t="shared" si="38"/>
        <v>0</v>
      </c>
      <c r="AW28" s="61"/>
      <c r="AX28" s="33"/>
      <c r="AY28" s="61">
        <f t="shared" si="39"/>
        <v>6.382583710538689E-2</v>
      </c>
      <c r="AZ28" s="61">
        <f t="shared" si="40"/>
        <v>0.12951921766837621</v>
      </c>
      <c r="BA28" s="61">
        <f t="shared" si="41"/>
        <v>6.7580811033905883E-2</v>
      </c>
      <c r="BB28" s="61">
        <f t="shared" si="42"/>
        <v>0</v>
      </c>
      <c r="BC28" s="61">
        <f t="shared" si="61"/>
        <v>0.26092586580766897</v>
      </c>
      <c r="BD28" s="61">
        <f>AL28/AM28</f>
        <v>3.2772431824228287E-2</v>
      </c>
      <c r="BE28" s="78">
        <f t="shared" si="43"/>
        <v>0.29369829763189725</v>
      </c>
      <c r="BF28" s="17"/>
      <c r="BG28" s="17"/>
      <c r="BH28" s="22">
        <f>'[1]Data-PSC CH Tables'!C22</f>
        <v>22136.31290378391</v>
      </c>
      <c r="BI28" s="22">
        <f>'[1]Data-PSC CH Tables'!AG22</f>
        <v>39605.233147075145</v>
      </c>
      <c r="BJ28" s="22">
        <f>'[1]Data-PSC CH Tables'!AI22</f>
        <v>40927.233147075145</v>
      </c>
      <c r="BK28" s="17"/>
      <c r="BL28" s="22">
        <f t="shared" si="63"/>
        <v>22136.31290378391</v>
      </c>
      <c r="BM28" s="22">
        <f t="shared" si="64"/>
        <v>34452.947497872447</v>
      </c>
      <c r="BN28" s="22">
        <f t="shared" si="65"/>
        <v>35600.236817381818</v>
      </c>
      <c r="BP28" s="33"/>
      <c r="BQ28" s="33"/>
      <c r="BR28" s="33"/>
      <c r="BT28" s="62">
        <f t="shared" si="66"/>
        <v>689.94839714419084</v>
      </c>
      <c r="BU28" s="62">
        <f t="shared" si="10"/>
        <v>340</v>
      </c>
      <c r="BV28" s="62">
        <f t="shared" si="11"/>
        <v>0</v>
      </c>
      <c r="BW28" s="62">
        <f t="shared" si="12"/>
        <v>279.05993384450522</v>
      </c>
      <c r="BX28" s="62">
        <f t="shared" si="13"/>
        <v>80.942798490809523</v>
      </c>
      <c r="BY28" s="62">
        <f t="shared" si="67"/>
        <v>1389.9511294795057</v>
      </c>
      <c r="BZ28" s="62">
        <f t="shared" si="15"/>
        <v>5152.2856492026976</v>
      </c>
      <c r="CA28" s="79">
        <f t="shared" si="68"/>
        <v>0.26977369348584096</v>
      </c>
      <c r="CB28" s="79">
        <f t="shared" si="69"/>
        <v>0.69715280662533807</v>
      </c>
      <c r="CC28" s="79">
        <f t="shared" si="70"/>
        <v>0.30284719337466187</v>
      </c>
      <c r="CD28" s="79">
        <f t="shared" si="19"/>
        <v>0.11158536528292433</v>
      </c>
      <c r="CE28" s="33"/>
      <c r="CG28" s="36">
        <v>39632.49659260804</v>
      </c>
      <c r="CH28" s="36">
        <v>40954.49659260804</v>
      </c>
      <c r="CI28" s="81">
        <f t="shared" si="100"/>
        <v>-34480.210943405342</v>
      </c>
      <c r="CJ28" s="36">
        <f t="shared" si="101"/>
        <v>-35627.500262914713</v>
      </c>
      <c r="CK28" s="36">
        <v>24991.448592608034</v>
      </c>
      <c r="CL28" s="81">
        <f t="shared" si="73"/>
        <v>-21229.11407288484</v>
      </c>
      <c r="CN28" s="33">
        <f t="shared" si="82"/>
        <v>2007</v>
      </c>
      <c r="CO28" s="96">
        <f t="shared" si="91"/>
        <v>5152.2856492026976</v>
      </c>
      <c r="CP28" s="97">
        <f t="shared" si="92"/>
        <v>0</v>
      </c>
      <c r="CQ28" s="97">
        <f t="shared" si="93"/>
        <v>1081.9799863325666</v>
      </c>
      <c r="CR28" s="62">
        <f t="shared" si="94"/>
        <v>3762.334519723192</v>
      </c>
      <c r="CS28" s="98" t="str">
        <f t="shared" si="83"/>
        <v>N</v>
      </c>
      <c r="CT28" s="98" t="str">
        <f t="shared" si="95"/>
        <v>N</v>
      </c>
      <c r="CU28" s="99">
        <f t="shared" si="102"/>
        <v>1081.9799863325666</v>
      </c>
      <c r="CV28" s="100">
        <f t="shared" si="103"/>
        <v>0</v>
      </c>
      <c r="CW28" s="100"/>
      <c r="CX28" s="100"/>
      <c r="CY28" s="101">
        <f t="shared" si="96"/>
        <v>340</v>
      </c>
      <c r="CZ28" s="102">
        <f t="shared" si="84"/>
        <v>340</v>
      </c>
      <c r="DA28" s="79">
        <v>0.1</v>
      </c>
      <c r="DB28" s="103">
        <f t="shared" si="97"/>
        <v>-108.19799863325666</v>
      </c>
      <c r="DC28" s="107">
        <f t="shared" si="85"/>
        <v>340</v>
      </c>
      <c r="DD28" s="33"/>
      <c r="DE28" s="107">
        <f t="shared" si="104"/>
        <v>4475</v>
      </c>
      <c r="DF28" s="105">
        <f t="shared" si="98"/>
        <v>340</v>
      </c>
      <c r="DG28" s="105">
        <f t="shared" si="99"/>
        <v>340</v>
      </c>
      <c r="DI28" s="66">
        <f t="shared" si="20"/>
        <v>1</v>
      </c>
      <c r="DL28" s="106">
        <f t="shared" si="86"/>
        <v>0.13391113073300945</v>
      </c>
      <c r="DM28" s="106">
        <f t="shared" si="87"/>
        <v>5.4162356834328275E-2</v>
      </c>
      <c r="DT28" s="14">
        <f t="shared" si="46"/>
        <v>3762.334519723192</v>
      </c>
      <c r="DU28" s="14">
        <v>27841.629482244516</v>
      </c>
      <c r="DV28" s="14">
        <f t="shared" si="77"/>
        <v>24079.294962521322</v>
      </c>
      <c r="DX28" s="14">
        <f t="shared" si="47"/>
        <v>5152.2856492026976</v>
      </c>
      <c r="DY28" s="14">
        <v>41711.629482244512</v>
      </c>
      <c r="DZ28" s="14">
        <f t="shared" si="78"/>
        <v>36559.343833041814</v>
      </c>
      <c r="ED28" s="3">
        <f t="shared" si="88"/>
        <v>0.71201492812783607</v>
      </c>
      <c r="EE28" s="3">
        <f t="shared" si="89"/>
        <v>0.28798507187216388</v>
      </c>
      <c r="EH28" s="14">
        <f t="shared" si="49"/>
        <v>1049.9511294795057</v>
      </c>
      <c r="EJ28" s="89">
        <f t="shared" si="81"/>
        <v>1.8746061383772756</v>
      </c>
      <c r="EK28" s="89">
        <f t="shared" si="50"/>
        <v>1</v>
      </c>
      <c r="EM28" s="67"/>
      <c r="EN28" s="67">
        <f t="shared" si="51"/>
        <v>3.7623345197231921</v>
      </c>
      <c r="EO28" s="67">
        <f t="shared" si="22"/>
        <v>0.34</v>
      </c>
      <c r="EP28" s="67">
        <f t="shared" si="23"/>
        <v>1.0499511294795056</v>
      </c>
      <c r="EQ28" s="67">
        <f t="shared" si="24"/>
        <v>0.17457862404278879</v>
      </c>
      <c r="EU28" s="66">
        <f t="shared" si="25"/>
        <v>0</v>
      </c>
      <c r="EX28" s="14">
        <f t="shared" si="27"/>
        <v>1049.9511294795057</v>
      </c>
      <c r="EZ28" s="14">
        <f t="shared" si="52"/>
        <v>0</v>
      </c>
      <c r="FA28" s="14">
        <f t="shared" si="53"/>
        <v>80.942798490809523</v>
      </c>
      <c r="FC28" s="14">
        <f t="shared" si="54"/>
        <v>27016.274545413009</v>
      </c>
      <c r="FD28" s="66">
        <f t="shared" si="55"/>
        <v>0.8723954743761837</v>
      </c>
      <c r="FF28" s="14">
        <f t="shared" si="26"/>
        <v>26000</v>
      </c>
    </row>
    <row r="29" spans="2:162" x14ac:dyDescent="0.2">
      <c r="B29" s="4">
        <v>2008</v>
      </c>
      <c r="C29" s="71"/>
      <c r="D29" s="71"/>
      <c r="E29" s="71"/>
      <c r="G29" s="14"/>
      <c r="H29" s="14"/>
      <c r="I29" s="14"/>
      <c r="J29" s="14">
        <f t="shared" si="28"/>
        <v>0</v>
      </c>
      <c r="L29" s="72">
        <f>'Bayesian Sum (10Feb26)'!K24</f>
        <v>23088</v>
      </c>
      <c r="M29" s="73">
        <f t="shared" si="29"/>
        <v>0</v>
      </c>
      <c r="N29" s="56">
        <f>'Data-Coastal-Chin-Esc (new)'!J36</f>
        <v>616.19310226672303</v>
      </c>
      <c r="O29" s="74">
        <f t="shared" si="56"/>
        <v>4.8596458573634207</v>
      </c>
      <c r="P29" s="14">
        <f>'Data-Coastal-Chin-Esc (new)'!AL36</f>
        <v>2994.4802567663951</v>
      </c>
      <c r="Q29" s="66">
        <f>P29/'A6-Chin (NEW2+Khutz)'!V29</f>
        <v>0.124555773435718</v>
      </c>
      <c r="R29" s="5">
        <f>$Q29*'A6-Chin (NEW2+Khutz)'!R29</f>
        <v>64.644446413137644</v>
      </c>
      <c r="S29" s="926">
        <f>'Data-Nisga''a Angling'!A13</f>
        <v>618</v>
      </c>
      <c r="T29" s="14">
        <f t="shared" si="57"/>
        <v>682.64444641313764</v>
      </c>
      <c r="U29" s="73">
        <f t="shared" si="90"/>
        <v>1.7580161574950379E-2</v>
      </c>
      <c r="V29" s="14">
        <f t="shared" si="3"/>
        <v>2994.4802567663951</v>
      </c>
      <c r="X29" s="14">
        <f t="shared" si="31"/>
        <v>0</v>
      </c>
      <c r="Y29" s="14">
        <f t="shared" si="32"/>
        <v>64.644446413137644</v>
      </c>
      <c r="Z29" s="14">
        <f t="shared" si="32"/>
        <v>618</v>
      </c>
      <c r="AA29" s="14">
        <f t="shared" si="4"/>
        <v>682.64444641313764</v>
      </c>
      <c r="AC29" s="14">
        <f>$Q29*'A6-Chin (NEW2+Khutz)'!AC29</f>
        <v>58.120713223668481</v>
      </c>
      <c r="AD29" s="14">
        <f>$Q29*'A6-Chin (NEW2+Khutz)'!AD29</f>
        <v>201.78035296586316</v>
      </c>
      <c r="AE29" s="14">
        <f t="shared" si="58"/>
        <v>259.90106618953166</v>
      </c>
      <c r="AJ29" s="14">
        <f t="shared" si="33"/>
        <v>3937.0257693690646</v>
      </c>
      <c r="AK29" s="66">
        <f>AJ29/'A6-Chin (NEW2+Khutz)'!AJ29</f>
        <v>0.12275928318054179</v>
      </c>
      <c r="AL29" s="14">
        <f>AK29*'A6-Chin (NEW2+Khutz)'!AK29</f>
        <v>44.929897644078295</v>
      </c>
      <c r="AM29" s="14">
        <f t="shared" si="59"/>
        <v>3982.0784262963234</v>
      </c>
      <c r="AN29" s="109">
        <v>353</v>
      </c>
      <c r="AO29" s="14">
        <f>'[1]Data-FW Catch Rates - new'!CE23</f>
        <v>20294.36</v>
      </c>
      <c r="AP29" s="76">
        <f t="shared" si="34"/>
        <v>0</v>
      </c>
      <c r="AQ29" s="60">
        <f t="shared" si="35"/>
        <v>23</v>
      </c>
      <c r="AR29" s="59"/>
      <c r="AS29" s="77">
        <f t="shared" si="36"/>
        <v>0.24797990007574636</v>
      </c>
      <c r="AT29" s="61">
        <f t="shared" si="60"/>
        <v>0</v>
      </c>
      <c r="AU29" s="61">
        <f t="shared" si="37"/>
        <v>0</v>
      </c>
      <c r="AV29" s="61">
        <f t="shared" si="38"/>
        <v>0</v>
      </c>
      <c r="AW29" s="61"/>
      <c r="AX29" s="33"/>
      <c r="AY29" s="61">
        <f t="shared" si="39"/>
        <v>0.15519533616388198</v>
      </c>
      <c r="AZ29" s="61">
        <f t="shared" si="40"/>
        <v>1.4595572211701957E-2</v>
      </c>
      <c r="BA29" s="61">
        <f t="shared" si="41"/>
        <v>6.6905964889998115E-2</v>
      </c>
      <c r="BB29" s="61">
        <f t="shared" si="42"/>
        <v>0</v>
      </c>
      <c r="BC29" s="61">
        <f t="shared" si="61"/>
        <v>0.23669687326558206</v>
      </c>
      <c r="BD29" s="61">
        <f t="shared" si="62"/>
        <v>1.1283026810164304E-2</v>
      </c>
      <c r="BE29" s="78">
        <f t="shared" si="43"/>
        <v>0.24797990007574636</v>
      </c>
      <c r="BF29" s="17"/>
      <c r="BG29" s="17"/>
      <c r="BH29" s="22">
        <f>'[1]Data-PSC CH Tables'!C23</f>
        <v>19630</v>
      </c>
      <c r="BI29" s="22">
        <f>'[1]Data-PSC CH Tables'!AG23</f>
        <v>30190.519494596934</v>
      </c>
      <c r="BJ29" s="22">
        <f>'[1]Data-PSC CH Tables'!AI23</f>
        <v>30556.519494596934</v>
      </c>
      <c r="BK29" s="17"/>
      <c r="BL29" s="22">
        <f t="shared" si="63"/>
        <v>19630</v>
      </c>
      <c r="BM29" s="22">
        <f t="shared" si="64"/>
        <v>26253.493725227869</v>
      </c>
      <c r="BN29" s="22">
        <f t="shared" si="65"/>
        <v>26574.44106830061</v>
      </c>
      <c r="BP29" s="33"/>
      <c r="BQ29" s="33"/>
      <c r="BR29" s="33"/>
      <c r="BT29" s="62">
        <f t="shared" si="66"/>
        <v>58.120713223668481</v>
      </c>
      <c r="BU29" s="62">
        <f t="shared" si="10"/>
        <v>618</v>
      </c>
      <c r="BV29" s="62">
        <f t="shared" si="11"/>
        <v>0</v>
      </c>
      <c r="BW29" s="62">
        <f t="shared" si="12"/>
        <v>201.78035296586316</v>
      </c>
      <c r="BX29" s="62">
        <f t="shared" si="13"/>
        <v>64.644446413137644</v>
      </c>
      <c r="BY29" s="62">
        <f t="shared" si="67"/>
        <v>942.54551260266931</v>
      </c>
      <c r="BZ29" s="62">
        <f t="shared" si="15"/>
        <v>3937.0257693690646</v>
      </c>
      <c r="CA29" s="79">
        <f t="shared" si="68"/>
        <v>0.23940547200271911</v>
      </c>
      <c r="CB29" s="79">
        <f t="shared" si="69"/>
        <v>0.27574378394934135</v>
      </c>
      <c r="CC29" s="79">
        <f t="shared" si="70"/>
        <v>0.7242562160506586</v>
      </c>
      <c r="CD29" s="79">
        <f t="shared" si="19"/>
        <v>4.5499763515986016E-2</v>
      </c>
      <c r="CE29" s="33"/>
      <c r="CG29" s="36">
        <v>30214.69612410777</v>
      </c>
      <c r="CH29" s="36">
        <v>30580.69612410777</v>
      </c>
      <c r="CI29" s="81">
        <f t="shared" si="100"/>
        <v>-26277.670354738704</v>
      </c>
      <c r="CJ29" s="36">
        <f t="shared" si="101"/>
        <v>-26598.617697811445</v>
      </c>
      <c r="CK29" s="36">
        <v>22161.872124107769</v>
      </c>
      <c r="CL29" s="81">
        <f t="shared" si="73"/>
        <v>-19167.391867341375</v>
      </c>
      <c r="CN29" s="33">
        <f t="shared" si="82"/>
        <v>2008</v>
      </c>
      <c r="CO29" s="96">
        <f t="shared" si="91"/>
        <v>3937.0257693690646</v>
      </c>
      <c r="CP29" s="97">
        <f t="shared" si="92"/>
        <v>0</v>
      </c>
      <c r="CQ29" s="97">
        <f t="shared" si="93"/>
        <v>826.77541156750351</v>
      </c>
      <c r="CR29" s="62">
        <f t="shared" si="94"/>
        <v>2994.4802567663951</v>
      </c>
      <c r="CS29" s="98" t="str">
        <f t="shared" si="83"/>
        <v>N</v>
      </c>
      <c r="CT29" s="98" t="str">
        <f t="shared" si="95"/>
        <v>N</v>
      </c>
      <c r="CU29" s="99">
        <f t="shared" si="102"/>
        <v>826.77541156750351</v>
      </c>
      <c r="CV29" s="100">
        <f t="shared" si="103"/>
        <v>0</v>
      </c>
      <c r="CW29" s="100"/>
      <c r="CX29" s="100"/>
      <c r="CY29" s="101">
        <f t="shared" si="96"/>
        <v>618</v>
      </c>
      <c r="CZ29" s="102">
        <f t="shared" si="84"/>
        <v>618</v>
      </c>
      <c r="DA29" s="79">
        <v>0.1</v>
      </c>
      <c r="DB29" s="103">
        <f t="shared" si="97"/>
        <v>-82.677541156750351</v>
      </c>
      <c r="DC29" s="107">
        <f t="shared" si="85"/>
        <v>618</v>
      </c>
      <c r="DD29" s="33"/>
      <c r="DE29" s="107">
        <f t="shared" si="104"/>
        <v>5093</v>
      </c>
      <c r="DF29" s="105">
        <f t="shared" si="98"/>
        <v>618</v>
      </c>
      <c r="DG29" s="105">
        <f t="shared" si="99"/>
        <v>618</v>
      </c>
      <c r="DI29" s="66">
        <f t="shared" si="20"/>
        <v>1</v>
      </c>
      <c r="DL29" s="106">
        <f t="shared" si="86"/>
        <v>1.4762594056625319E-2</v>
      </c>
      <c r="DM29" s="106">
        <f t="shared" si="87"/>
        <v>5.1251976691582553E-2</v>
      </c>
      <c r="DT29" s="14">
        <f t="shared" si="46"/>
        <v>2994.4802567663951</v>
      </c>
      <c r="DU29" s="14">
        <v>21390</v>
      </c>
      <c r="DV29" s="14">
        <f t="shared" si="77"/>
        <v>18395.519743233606</v>
      </c>
      <c r="DX29" s="14">
        <f t="shared" si="47"/>
        <v>3937.0257693690646</v>
      </c>
      <c r="DY29" s="14">
        <v>29328.132232680142</v>
      </c>
      <c r="DZ29" s="14">
        <f t="shared" si="78"/>
        <v>25391.106463311076</v>
      </c>
      <c r="ED29" s="3">
        <f t="shared" si="88"/>
        <v>0.22362629779011456</v>
      </c>
      <c r="EE29" s="3">
        <f t="shared" si="89"/>
        <v>0.77637370220988533</v>
      </c>
      <c r="EH29" s="14">
        <f t="shared" si="49"/>
        <v>324.54551260266931</v>
      </c>
      <c r="EJ29" s="89">
        <f t="shared" si="81"/>
        <v>1.491275028270117</v>
      </c>
      <c r="EK29" s="89">
        <f t="shared" si="50"/>
        <v>1</v>
      </c>
      <c r="EM29" s="67"/>
      <c r="EN29" s="67">
        <f t="shared" si="51"/>
        <v>2.9944802567663951</v>
      </c>
      <c r="EO29" s="67">
        <f t="shared" si="22"/>
        <v>0.61799999999999999</v>
      </c>
      <c r="EP29" s="67">
        <f t="shared" si="23"/>
        <v>0.32454551260266928</v>
      </c>
      <c r="EQ29" s="67">
        <f t="shared" si="24"/>
        <v>4.4929897644078294E-2</v>
      </c>
      <c r="EU29" s="66">
        <f t="shared" si="25"/>
        <v>0</v>
      </c>
      <c r="EX29" s="14">
        <f t="shared" si="27"/>
        <v>324.54551260266931</v>
      </c>
      <c r="EZ29" s="14">
        <f t="shared" si="52"/>
        <v>0</v>
      </c>
      <c r="FA29" s="14">
        <f t="shared" si="53"/>
        <v>64.644446413137644</v>
      </c>
      <c r="FC29" s="14">
        <f t="shared" si="54"/>
        <v>23904.882485225426</v>
      </c>
      <c r="FD29" s="66">
        <f t="shared" si="55"/>
        <v>0.88519189021567235</v>
      </c>
      <c r="FF29" s="14">
        <f t="shared" si="26"/>
        <v>23000</v>
      </c>
    </row>
    <row r="30" spans="2:162" x14ac:dyDescent="0.2">
      <c r="B30" s="4">
        <v>2009</v>
      </c>
      <c r="C30" s="71"/>
      <c r="D30" s="71"/>
      <c r="E30" s="71"/>
      <c r="G30" s="14"/>
      <c r="H30" s="14"/>
      <c r="I30" s="14"/>
      <c r="J30" s="14">
        <f t="shared" si="28"/>
        <v>0</v>
      </c>
      <c r="L30" s="72">
        <f>'Bayesian Sum (10Feb26)'!K25</f>
        <v>30523</v>
      </c>
      <c r="M30" s="73">
        <f t="shared" si="29"/>
        <v>0</v>
      </c>
      <c r="N30" s="56">
        <f>'Data-Coastal-Chin-Esc (new)'!J37</f>
        <v>2170.114761959102</v>
      </c>
      <c r="O30" s="74">
        <f t="shared" si="56"/>
        <v>1.8787855479008366</v>
      </c>
      <c r="P30" s="14">
        <f>'Data-Coastal-Chin-Esc (new)'!AL37</f>
        <v>4077.180252055025</v>
      </c>
      <c r="Q30" s="66">
        <f>P30/'A6-Chin (NEW2+Khutz)'!V30</f>
        <v>0.13333887830385172</v>
      </c>
      <c r="R30" s="5">
        <f>$Q30*'A6-Chin (NEW2+Khutz)'!R30</f>
        <v>25.734403512643382</v>
      </c>
      <c r="S30" s="926">
        <f>'Data-Nisga''a Angling'!A14</f>
        <v>221</v>
      </c>
      <c r="T30" s="14">
        <f t="shared" si="57"/>
        <v>246.73440351264338</v>
      </c>
      <c r="U30" s="73">
        <f t="shared" si="90"/>
        <v>5.95164464671073E-3</v>
      </c>
      <c r="V30" s="14">
        <f t="shared" si="3"/>
        <v>4077.180252055025</v>
      </c>
      <c r="X30" s="14">
        <f t="shared" si="31"/>
        <v>0</v>
      </c>
      <c r="Y30" s="14">
        <f t="shared" si="32"/>
        <v>25.734403512643382</v>
      </c>
      <c r="Z30" s="14">
        <f t="shared" si="32"/>
        <v>221</v>
      </c>
      <c r="AA30" s="14">
        <f t="shared" si="4"/>
        <v>246.73440351264338</v>
      </c>
      <c r="AC30" s="14">
        <f>$Q30*'A6-Chin (NEW2+Khutz)'!AC30</f>
        <v>182.15050816229933</v>
      </c>
      <c r="AD30" s="14">
        <f>$Q30*'A6-Chin (NEW2+Khutz)'!AD30</f>
        <v>175.47396384786884</v>
      </c>
      <c r="AE30" s="14">
        <f t="shared" si="58"/>
        <v>357.62447201016818</v>
      </c>
      <c r="AJ30" s="14">
        <f t="shared" si="33"/>
        <v>4681.5391275778366</v>
      </c>
      <c r="AK30" s="66">
        <f>AJ30/'A6-Chin (NEW2+Khutz)'!AJ30</f>
        <v>0.11648502216959562</v>
      </c>
      <c r="AL30" s="14">
        <f>AK30*'A6-Chin (NEW2+Khutz)'!AK30</f>
        <v>134.19074553937415</v>
      </c>
      <c r="AM30" s="14">
        <f t="shared" si="59"/>
        <v>4815.8463581393798</v>
      </c>
      <c r="AN30" s="109">
        <v>1056</v>
      </c>
      <c r="AO30" s="14">
        <f>'[1]Data-FW Catch Rates - new'!CE24</f>
        <v>26864</v>
      </c>
      <c r="AP30" s="76">
        <f t="shared" si="34"/>
        <v>0</v>
      </c>
      <c r="AQ30" s="60">
        <f t="shared" si="35"/>
        <v>32</v>
      </c>
      <c r="AR30" s="59"/>
      <c r="AS30" s="77">
        <f t="shared" si="36"/>
        <v>0.15335821912464978</v>
      </c>
      <c r="AT30" s="61">
        <f t="shared" si="60"/>
        <v>0</v>
      </c>
      <c r="AU30" s="61">
        <f t="shared" si="37"/>
        <v>0</v>
      </c>
      <c r="AV30" s="61">
        <f t="shared" si="38"/>
        <v>0</v>
      </c>
      <c r="AW30" s="61"/>
      <c r="AX30" s="33"/>
      <c r="AY30" s="61">
        <f t="shared" si="39"/>
        <v>4.5890168324511121E-2</v>
      </c>
      <c r="AZ30" s="61">
        <f t="shared" si="40"/>
        <v>3.7823156017932819E-2</v>
      </c>
      <c r="BA30" s="61">
        <f t="shared" si="41"/>
        <v>4.1780478943321153E-2</v>
      </c>
      <c r="BB30" s="61">
        <f t="shared" si="42"/>
        <v>0</v>
      </c>
      <c r="BC30" s="61">
        <f t="shared" si="61"/>
        <v>0.12549380328576509</v>
      </c>
      <c r="BD30" s="61">
        <f t="shared" si="62"/>
        <v>2.7864415838884701E-2</v>
      </c>
      <c r="BE30" s="78">
        <f t="shared" si="43"/>
        <v>0.15335821912464978</v>
      </c>
      <c r="BF30" s="17"/>
      <c r="BG30" s="17"/>
      <c r="BH30" s="22">
        <f>'[1]Data-PSC CH Tables'!C24</f>
        <v>26226</v>
      </c>
      <c r="BI30" s="22">
        <f>'[1]Data-PSC CH Tables'!AG24</f>
        <v>39219.794060178268</v>
      </c>
      <c r="BJ30" s="22">
        <f>'[1]Data-PSC CH Tables'!AI24</f>
        <v>40371.794060178268</v>
      </c>
      <c r="BK30" s="17"/>
      <c r="BL30" s="22">
        <f t="shared" si="63"/>
        <v>26226</v>
      </c>
      <c r="BM30" s="22">
        <f t="shared" si="64"/>
        <v>34538.25493260043</v>
      </c>
      <c r="BN30" s="22">
        <f t="shared" si="65"/>
        <v>35555.947702038888</v>
      </c>
      <c r="BP30" s="33"/>
      <c r="BQ30" s="33"/>
      <c r="BR30" s="33"/>
      <c r="BT30" s="62">
        <f t="shared" si="66"/>
        <v>182.15050816229933</v>
      </c>
      <c r="BU30" s="62">
        <f t="shared" si="10"/>
        <v>221</v>
      </c>
      <c r="BV30" s="62">
        <f t="shared" si="11"/>
        <v>0</v>
      </c>
      <c r="BW30" s="62">
        <f t="shared" si="12"/>
        <v>175.47396384786884</v>
      </c>
      <c r="BX30" s="62">
        <f t="shared" si="13"/>
        <v>25.734403512643382</v>
      </c>
      <c r="BY30" s="62">
        <f t="shared" si="67"/>
        <v>604.35887552281156</v>
      </c>
      <c r="BZ30" s="62">
        <f t="shared" si="15"/>
        <v>4681.5391275778366</v>
      </c>
      <c r="CA30" s="79">
        <f t="shared" si="68"/>
        <v>0.12909405626083029</v>
      </c>
      <c r="CB30" s="79">
        <f t="shared" si="69"/>
        <v>0.59174190451128672</v>
      </c>
      <c r="CC30" s="79">
        <f t="shared" si="70"/>
        <v>0.40825809548871328</v>
      </c>
      <c r="CD30" s="79">
        <f t="shared" si="19"/>
        <v>0.18169496227806653</v>
      </c>
      <c r="CE30" s="33"/>
      <c r="CG30" s="36">
        <v>39253.094431321973</v>
      </c>
      <c r="CH30" s="36">
        <v>40405.094431321973</v>
      </c>
      <c r="CI30" s="81">
        <f t="shared" si="100"/>
        <v>-34571.555303744135</v>
      </c>
      <c r="CJ30" s="36">
        <f t="shared" si="101"/>
        <v>-35589.248073182593</v>
      </c>
      <c r="CK30" s="36">
        <v>29608.622431321975</v>
      </c>
      <c r="CL30" s="81">
        <f t="shared" si="73"/>
        <v>-25531.442179266949</v>
      </c>
      <c r="CN30" s="33">
        <f t="shared" si="82"/>
        <v>2009</v>
      </c>
      <c r="CO30" s="96">
        <f t="shared" si="91"/>
        <v>4681.5391275778366</v>
      </c>
      <c r="CP30" s="97">
        <f t="shared" si="92"/>
        <v>0</v>
      </c>
      <c r="CQ30" s="97">
        <f t="shared" si="93"/>
        <v>983.12321679134561</v>
      </c>
      <c r="CR30" s="62">
        <f t="shared" si="94"/>
        <v>4077.180252055025</v>
      </c>
      <c r="CS30" s="98" t="str">
        <f t="shared" si="83"/>
        <v>N</v>
      </c>
      <c r="CT30" s="98" t="str">
        <f t="shared" si="95"/>
        <v>N</v>
      </c>
      <c r="CU30" s="99">
        <f t="shared" si="102"/>
        <v>983.12321679134561</v>
      </c>
      <c r="CV30" s="100">
        <f t="shared" si="103"/>
        <v>0</v>
      </c>
      <c r="CW30" s="100"/>
      <c r="CX30" s="100"/>
      <c r="CY30" s="101">
        <f t="shared" si="96"/>
        <v>221</v>
      </c>
      <c r="CZ30" s="102">
        <f t="shared" si="84"/>
        <v>221</v>
      </c>
      <c r="DA30" s="79">
        <v>0.1</v>
      </c>
      <c r="DB30" s="103">
        <f t="shared" si="97"/>
        <v>-98.31232167913457</v>
      </c>
      <c r="DC30" s="107">
        <f t="shared" si="85"/>
        <v>221</v>
      </c>
      <c r="DD30" s="33"/>
      <c r="DE30" s="107">
        <f t="shared" si="104"/>
        <v>5314</v>
      </c>
      <c r="DF30" s="105">
        <f t="shared" si="98"/>
        <v>221</v>
      </c>
      <c r="DG30" s="105">
        <f t="shared" si="99"/>
        <v>221</v>
      </c>
      <c r="DI30" s="66">
        <f t="shared" si="20"/>
        <v>1</v>
      </c>
      <c r="DL30" s="106">
        <f t="shared" si="86"/>
        <v>3.8908252862673708E-2</v>
      </c>
      <c r="DM30" s="106">
        <f t="shared" si="87"/>
        <v>3.7482109850197204E-2</v>
      </c>
      <c r="DT30" s="14">
        <f t="shared" si="46"/>
        <v>4077.180252055025</v>
      </c>
      <c r="DU30" s="14">
        <v>27829.656551783522</v>
      </c>
      <c r="DV30" s="14">
        <f t="shared" si="77"/>
        <v>23752.476299728496</v>
      </c>
      <c r="DX30" s="14">
        <f t="shared" si="47"/>
        <v>4681.5391275778366</v>
      </c>
      <c r="DY30" s="14">
        <v>36851.656551783526</v>
      </c>
      <c r="DZ30" s="14">
        <f t="shared" si="78"/>
        <v>32170.117424205688</v>
      </c>
      <c r="ED30" s="3">
        <f t="shared" si="88"/>
        <v>0.50933457416504857</v>
      </c>
      <c r="EE30" s="3">
        <f t="shared" si="89"/>
        <v>0.49066542583495143</v>
      </c>
      <c r="EH30" s="14">
        <f t="shared" si="49"/>
        <v>383.35887552281156</v>
      </c>
      <c r="EJ30" s="89">
        <f t="shared" si="81"/>
        <v>2.0294575669761201</v>
      </c>
      <c r="EK30" s="89">
        <f t="shared" si="50"/>
        <v>1</v>
      </c>
      <c r="EM30" s="67"/>
      <c r="EN30" s="67">
        <f t="shared" si="51"/>
        <v>4.0771802520550251</v>
      </c>
      <c r="EO30" s="67">
        <f t="shared" si="22"/>
        <v>0.221</v>
      </c>
      <c r="EP30" s="67">
        <f t="shared" si="23"/>
        <v>0.38335887552281156</v>
      </c>
      <c r="EQ30" s="67">
        <f t="shared" si="24"/>
        <v>0.13419074553937416</v>
      </c>
      <c r="EU30" s="66">
        <f t="shared" si="25"/>
        <v>0</v>
      </c>
      <c r="EX30" s="14">
        <f t="shared" si="27"/>
        <v>383.35887552281156</v>
      </c>
      <c r="EZ30" s="14">
        <f t="shared" si="52"/>
        <v>0</v>
      </c>
      <c r="FA30" s="14">
        <f t="shared" si="53"/>
        <v>25.734403512643382</v>
      </c>
      <c r="FC30" s="14">
        <f t="shared" si="54"/>
        <v>31151.819235240037</v>
      </c>
      <c r="FD30" s="66">
        <f t="shared" si="55"/>
        <v>0.88216303434393617</v>
      </c>
      <c r="FF30" s="14">
        <f t="shared" si="26"/>
        <v>31000</v>
      </c>
    </row>
    <row r="31" spans="2:162" x14ac:dyDescent="0.2">
      <c r="B31" s="4">
        <v>2010</v>
      </c>
      <c r="C31" s="71"/>
      <c r="D31" s="71"/>
      <c r="E31" s="71"/>
      <c r="G31" s="14"/>
      <c r="H31" s="14"/>
      <c r="I31" s="14"/>
      <c r="J31" s="14">
        <f t="shared" si="28"/>
        <v>0</v>
      </c>
      <c r="L31" s="72">
        <f>'Bayesian Sum (10Feb26)'!K26</f>
        <v>20143</v>
      </c>
      <c r="M31" s="73">
        <f t="shared" si="29"/>
        <v>0</v>
      </c>
      <c r="N31" s="56">
        <f>'Data-Coastal-Chin-Esc (new)'!J38</f>
        <v>586.51750323218971</v>
      </c>
      <c r="O31" s="74">
        <f t="shared" si="56"/>
        <v>4.003295946371872</v>
      </c>
      <c r="P31" s="14">
        <f>'Data-Coastal-Chin-Esc (new)'!AL38</f>
        <v>2348.0031431655766</v>
      </c>
      <c r="Q31" s="66">
        <f>P31/'A6-Chin (NEW2+Khutz)'!V31</f>
        <v>0.11653081893523901</v>
      </c>
      <c r="R31" s="5">
        <f>$Q31*'A6-Chin (NEW2+Khutz)'!R31</f>
        <v>1.5149006461581072</v>
      </c>
      <c r="S31" s="926">
        <f>'Data-Nisga''a Angling'!A15</f>
        <v>92</v>
      </c>
      <c r="T31" s="14">
        <f t="shared" si="57"/>
        <v>93.514900646158111</v>
      </c>
      <c r="U31" s="73">
        <f t="shared" si="90"/>
        <v>6.2047489265859427E-4</v>
      </c>
      <c r="V31" s="14">
        <f t="shared" si="3"/>
        <v>2348.0031431655766</v>
      </c>
      <c r="X31" s="14">
        <f t="shared" si="31"/>
        <v>0</v>
      </c>
      <c r="Y31" s="14">
        <f t="shared" si="32"/>
        <v>1.5149006461581072</v>
      </c>
      <c r="Z31" s="14">
        <f t="shared" si="32"/>
        <v>92</v>
      </c>
      <c r="AA31" s="14">
        <f t="shared" si="4"/>
        <v>93.514900646158111</v>
      </c>
      <c r="AC31" s="14">
        <f>$Q31*'A6-Chin (NEW2+Khutz)'!AC31</f>
        <v>113.42177668604684</v>
      </c>
      <c r="AD31" s="14">
        <f>$Q31*'A6-Chin (NEW2+Khutz)'!AD31</f>
        <v>46.495796755160363</v>
      </c>
      <c r="AE31" s="14">
        <f t="shared" si="58"/>
        <v>159.9175734412072</v>
      </c>
      <c r="AJ31" s="14">
        <f t="shared" si="33"/>
        <v>2601.4356172529415</v>
      </c>
      <c r="AK31" s="66">
        <f>AJ31/'A6-Chin (NEW2+Khutz)'!AJ31</f>
        <v>9.707094479049802E-2</v>
      </c>
      <c r="AL31" s="14">
        <f>AK31*'A6-Chin (NEW2+Khutz)'!AK31</f>
        <v>78.1421105563509</v>
      </c>
      <c r="AM31" s="14">
        <f t="shared" si="59"/>
        <v>2679.674798754083</v>
      </c>
      <c r="AN31" s="109">
        <v>783</v>
      </c>
      <c r="AO31" s="14">
        <f>'[1]Data-FW Catch Rates - new'!CE25</f>
        <v>18773</v>
      </c>
      <c r="AP31" s="76">
        <f t="shared" si="34"/>
        <v>0</v>
      </c>
      <c r="AQ31" s="60">
        <f t="shared" si="35"/>
        <v>21</v>
      </c>
      <c r="AR31" s="59"/>
      <c r="AS31" s="77">
        <f t="shared" si="36"/>
        <v>0.12373687463787848</v>
      </c>
      <c r="AT31" s="61">
        <f t="shared" si="60"/>
        <v>0</v>
      </c>
      <c r="AU31" s="61">
        <f t="shared" si="37"/>
        <v>0</v>
      </c>
      <c r="AV31" s="61">
        <f t="shared" si="38"/>
        <v>0</v>
      </c>
      <c r="AW31" s="61"/>
      <c r="AX31" s="33"/>
      <c r="AY31" s="61">
        <f t="shared" si="39"/>
        <v>3.4332524246141909E-2</v>
      </c>
      <c r="AZ31" s="61">
        <f t="shared" si="40"/>
        <v>4.2326694544719524E-2</v>
      </c>
      <c r="BA31" s="61">
        <f t="shared" si="41"/>
        <v>1.7916613397879876E-2</v>
      </c>
      <c r="BB31" s="61">
        <f t="shared" si="42"/>
        <v>0</v>
      </c>
      <c r="BC31" s="61">
        <f t="shared" si="61"/>
        <v>9.4575832188741313E-2</v>
      </c>
      <c r="BD31" s="61">
        <f t="shared" si="62"/>
        <v>2.9161042449137163E-2</v>
      </c>
      <c r="BE31" s="78">
        <f t="shared" si="43"/>
        <v>0.12373687463787848</v>
      </c>
      <c r="BF31" s="17"/>
      <c r="BG31" s="17"/>
      <c r="BH31" s="22">
        <f>'[1]Data-PSC CH Tables'!C25</f>
        <v>18381</v>
      </c>
      <c r="BI31" s="22">
        <f>'[1]Data-PSC CH Tables'!AG25</f>
        <v>27379.258099143466</v>
      </c>
      <c r="BJ31" s="22">
        <f>'[1]Data-PSC CH Tables'!AI25</f>
        <v>28184.258099143466</v>
      </c>
      <c r="BK31" s="17"/>
      <c r="BL31" s="22">
        <f t="shared" si="63"/>
        <v>18381</v>
      </c>
      <c r="BM31" s="22">
        <f t="shared" si="64"/>
        <v>24777.822481890526</v>
      </c>
      <c r="BN31" s="22">
        <f t="shared" si="65"/>
        <v>25504.583300389382</v>
      </c>
      <c r="BP31" s="33"/>
      <c r="BQ31" s="33"/>
      <c r="BR31" s="33"/>
      <c r="BT31" s="62">
        <f t="shared" si="66"/>
        <v>113.42177668604684</v>
      </c>
      <c r="BU31" s="62">
        <f t="shared" si="10"/>
        <v>92</v>
      </c>
      <c r="BV31" s="62">
        <f t="shared" si="11"/>
        <v>0</v>
      </c>
      <c r="BW31" s="62">
        <f t="shared" si="12"/>
        <v>46.495796755160363</v>
      </c>
      <c r="BX31" s="62">
        <f t="shared" si="13"/>
        <v>1.5149006461581072</v>
      </c>
      <c r="BY31" s="62">
        <f t="shared" si="67"/>
        <v>253.43247408736531</v>
      </c>
      <c r="BZ31" s="62">
        <f t="shared" si="15"/>
        <v>2601.4356172529415</v>
      </c>
      <c r="CA31" s="79">
        <f t="shared" si="68"/>
        <v>9.7420236890192344E-2</v>
      </c>
      <c r="CB31" s="79">
        <f t="shared" si="69"/>
        <v>0.63100663802887036</v>
      </c>
      <c r="CC31" s="79">
        <f t="shared" si="70"/>
        <v>0.36899336197112959</v>
      </c>
      <c r="CD31" s="79">
        <f t="shared" si="19"/>
        <v>0.23566978343746167</v>
      </c>
      <c r="CE31" s="33"/>
      <c r="CG31" s="36">
        <v>27401.8964397975</v>
      </c>
      <c r="CH31" s="36">
        <v>28206.8964397975</v>
      </c>
      <c r="CI31" s="81">
        <f t="shared" si="100"/>
        <v>-24800.460822544559</v>
      </c>
      <c r="CJ31" s="36">
        <f t="shared" si="101"/>
        <v>-25527.221641043416</v>
      </c>
      <c r="CK31" s="36">
        <v>20751.776439797501</v>
      </c>
      <c r="CL31" s="81">
        <f t="shared" si="73"/>
        <v>-18403.773296631924</v>
      </c>
      <c r="CN31" s="33">
        <f t="shared" si="82"/>
        <v>2010</v>
      </c>
      <c r="CO31" s="96">
        <f t="shared" si="91"/>
        <v>2601.4356172529415</v>
      </c>
      <c r="CP31" s="97">
        <f t="shared" si="92"/>
        <v>0</v>
      </c>
      <c r="CQ31" s="97">
        <f t="shared" si="93"/>
        <v>546.30147962311764</v>
      </c>
      <c r="CR31" s="62">
        <f t="shared" si="94"/>
        <v>2348.0031431655766</v>
      </c>
      <c r="CS31" s="98" t="str">
        <f t="shared" si="83"/>
        <v>N</v>
      </c>
      <c r="CT31" s="98" t="str">
        <f t="shared" si="95"/>
        <v>N</v>
      </c>
      <c r="CU31" s="99">
        <f t="shared" si="102"/>
        <v>546.30147962311764</v>
      </c>
      <c r="CV31" s="100">
        <f t="shared" si="103"/>
        <v>0</v>
      </c>
      <c r="CW31" s="100"/>
      <c r="CX31" s="100"/>
      <c r="CY31" s="101">
        <f t="shared" si="96"/>
        <v>92</v>
      </c>
      <c r="CZ31" s="102">
        <f t="shared" si="84"/>
        <v>92</v>
      </c>
      <c r="DA31" s="79">
        <v>0.1</v>
      </c>
      <c r="DB31" s="103">
        <f t="shared" si="97"/>
        <v>-54.630147962311767</v>
      </c>
      <c r="DC31" s="107">
        <f t="shared" si="85"/>
        <v>92</v>
      </c>
      <c r="DD31" s="33"/>
      <c r="DE31" s="107">
        <f t="shared" si="104"/>
        <v>5406</v>
      </c>
      <c r="DF31" s="105">
        <f t="shared" si="98"/>
        <v>92</v>
      </c>
      <c r="DG31" s="105">
        <f t="shared" si="99"/>
        <v>92</v>
      </c>
      <c r="DI31" s="66">
        <f t="shared" si="20"/>
        <v>1</v>
      </c>
      <c r="DL31" s="106">
        <f t="shared" si="86"/>
        <v>4.359968624009912E-2</v>
      </c>
      <c r="DM31" s="106">
        <f t="shared" si="87"/>
        <v>1.7873129915957287E-2</v>
      </c>
      <c r="DT31" s="14">
        <f t="shared" si="46"/>
        <v>2348.0031431655766</v>
      </c>
      <c r="DU31" s="14">
        <v>19861.298355492483</v>
      </c>
      <c r="DV31" s="14">
        <f t="shared" si="77"/>
        <v>17513.295212326906</v>
      </c>
      <c r="DX31" s="14">
        <f t="shared" si="47"/>
        <v>2601.4356172529415</v>
      </c>
      <c r="DY31" s="14">
        <v>26393.298355492483</v>
      </c>
      <c r="DZ31" s="14">
        <f t="shared" si="78"/>
        <v>23791.862738239543</v>
      </c>
      <c r="ED31" s="3">
        <f t="shared" si="88"/>
        <v>0.70925148653375314</v>
      </c>
      <c r="EE31" s="3">
        <f t="shared" si="89"/>
        <v>0.29074851346624692</v>
      </c>
      <c r="EH31" s="14">
        <f t="shared" si="49"/>
        <v>161.43247408736531</v>
      </c>
      <c r="EJ31" s="89">
        <f t="shared" si="81"/>
        <v>1.168160767744068</v>
      </c>
      <c r="EK31" s="89">
        <f t="shared" si="50"/>
        <v>1</v>
      </c>
      <c r="EM31" s="67"/>
      <c r="EN31" s="67">
        <f t="shared" si="51"/>
        <v>2.3480031431655766</v>
      </c>
      <c r="EO31" s="67">
        <f t="shared" si="22"/>
        <v>9.1999999999999998E-2</v>
      </c>
      <c r="EP31" s="67">
        <f t="shared" si="23"/>
        <v>0.1614324740873653</v>
      </c>
      <c r="EQ31" s="67">
        <f t="shared" si="24"/>
        <v>7.8142110556350897E-2</v>
      </c>
      <c r="EU31" s="66">
        <f t="shared" si="25"/>
        <v>0</v>
      </c>
      <c r="EX31" s="14">
        <f t="shared" si="27"/>
        <v>161.43247408736531</v>
      </c>
      <c r="EZ31" s="14">
        <f t="shared" si="52"/>
        <v>0</v>
      </c>
      <c r="FA31" s="14">
        <f t="shared" si="53"/>
        <v>1.5149006461581072</v>
      </c>
      <c r="FC31" s="14">
        <f t="shared" si="54"/>
        <v>20438.602298058595</v>
      </c>
      <c r="FD31" s="66">
        <f t="shared" si="55"/>
        <v>0.89560256035626973</v>
      </c>
      <c r="FF31" s="14">
        <f t="shared" si="26"/>
        <v>20000</v>
      </c>
    </row>
    <row r="32" spans="2:162" x14ac:dyDescent="0.2">
      <c r="B32" s="4">
        <v>2011</v>
      </c>
      <c r="C32" s="71"/>
      <c r="D32" s="71"/>
      <c r="E32" s="71"/>
      <c r="F32" s="110"/>
      <c r="G32" s="14"/>
      <c r="H32" s="14"/>
      <c r="I32" s="14"/>
      <c r="J32" s="14">
        <f t="shared" si="28"/>
        <v>0</v>
      </c>
      <c r="L32" s="72">
        <f>'Bayesian Sum (10Feb26)'!K27</f>
        <v>12437</v>
      </c>
      <c r="M32" s="73">
        <f t="shared" si="29"/>
        <v>0</v>
      </c>
      <c r="N32" s="56">
        <f>'Data-Coastal-Chin-Esc (new)'!J39</f>
        <v>0</v>
      </c>
      <c r="O32" s="74" t="s">
        <v>107</v>
      </c>
      <c r="P32" s="14">
        <f>'Data-Coastal-Chin-Esc (new)'!AL39</f>
        <v>1623.9548458321838</v>
      </c>
      <c r="Q32" s="66">
        <f>P32/'A6-Chin (NEW2+Khutz)'!V32</f>
        <v>0.13333887830385172</v>
      </c>
      <c r="R32" s="5">
        <f>$Q32*'A6-Chin (NEW2+Khutz)'!R32</f>
        <v>3.6001497142039964</v>
      </c>
      <c r="S32" s="926">
        <f>'Data-Nisga''a Angling'!A16</f>
        <v>71</v>
      </c>
      <c r="T32" s="14">
        <f t="shared" si="57"/>
        <v>74.600149714203994</v>
      </c>
      <c r="U32" s="73">
        <f t="shared" si="90"/>
        <v>2.1195367377821687E-3</v>
      </c>
      <c r="V32" s="14">
        <f t="shared" si="3"/>
        <v>1623.9548458321838</v>
      </c>
      <c r="W32" s="110"/>
      <c r="X32" s="111">
        <f t="shared" si="31"/>
        <v>0</v>
      </c>
      <c r="Y32" s="111">
        <f t="shared" si="32"/>
        <v>3.6001497142039964</v>
      </c>
      <c r="Z32" s="111">
        <f t="shared" si="32"/>
        <v>71</v>
      </c>
      <c r="AA32" s="111">
        <f t="shared" si="4"/>
        <v>74.600149714203994</v>
      </c>
      <c r="AB32" s="110"/>
      <c r="AC32" s="14">
        <f>$Q32*'A6-Chin (NEW2+Khutz)'!AC32</f>
        <v>182.8385367743472</v>
      </c>
      <c r="AD32" s="14">
        <f>$Q32*'A6-Chin (NEW2+Khutz)'!AD32</f>
        <v>119.73831271685884</v>
      </c>
      <c r="AE32" s="14">
        <f t="shared" si="58"/>
        <v>302.57684949120608</v>
      </c>
      <c r="AF32" s="110"/>
      <c r="AJ32" s="14">
        <f t="shared" si="33"/>
        <v>2001.1318450375938</v>
      </c>
      <c r="AK32" s="66">
        <f>AJ32/'A6-Chin (NEW2+Khutz)'!AJ32</f>
        <v>0.10144956145488304</v>
      </c>
      <c r="AL32" s="14">
        <f>AK32*'A6-Chin (NEW2+Khutz)'!AK32</f>
        <v>155.42072814888081</v>
      </c>
      <c r="AM32" s="111">
        <f t="shared" si="59"/>
        <v>2156.6540227479295</v>
      </c>
      <c r="AN32" s="113">
        <v>1510</v>
      </c>
      <c r="AO32" s="14">
        <f>'[1]Data-FW Catch Rates - new'!CE26</f>
        <v>10204.537598204266</v>
      </c>
      <c r="AP32" s="76">
        <f t="shared" si="34"/>
        <v>0</v>
      </c>
      <c r="AQ32" s="60">
        <f t="shared" si="35"/>
        <v>7</v>
      </c>
      <c r="AR32" s="59"/>
      <c r="AS32" s="77">
        <f>SUM(AE32,AA32,AL32)/AM32</f>
        <v>0.24695557179620048</v>
      </c>
      <c r="AT32" s="61">
        <f t="shared" si="60"/>
        <v>0</v>
      </c>
      <c r="AU32" s="61">
        <f t="shared" si="37"/>
        <v>0</v>
      </c>
      <c r="AV32" s="61">
        <f t="shared" si="38"/>
        <v>0</v>
      </c>
      <c r="AW32" s="61"/>
      <c r="AX32" s="33"/>
      <c r="AY32" s="61">
        <f t="shared" si="39"/>
        <v>3.2921367660787057E-2</v>
      </c>
      <c r="AZ32" s="61">
        <f>AC32/$AM32</f>
        <v>8.4778798474769282E-2</v>
      </c>
      <c r="BA32" s="61">
        <f t="shared" si="41"/>
        <v>5.718973054097453E-2</v>
      </c>
      <c r="BB32" s="61">
        <f t="shared" si="42"/>
        <v>0</v>
      </c>
      <c r="BC32" s="61">
        <f>SUM(AA32,AE32)/AM32</f>
        <v>0.17488989667653088</v>
      </c>
      <c r="BD32" s="61">
        <f>AL32/AM32</f>
        <v>7.2065675119669603E-2</v>
      </c>
      <c r="BE32" s="78">
        <f t="shared" si="43"/>
        <v>0.24695557179620048</v>
      </c>
      <c r="BF32" s="17"/>
      <c r="BG32" s="17"/>
      <c r="BH32" s="22">
        <f>'[1]Data-PSC CH Tables'!C26</f>
        <v>9599.5723199092463</v>
      </c>
      <c r="BI32" s="22">
        <f>'[1]Data-PSC CH Tables'!AG26</f>
        <v>18372.131587188611</v>
      </c>
      <c r="BJ32" s="22">
        <f>'[1]Data-PSC CH Tables'!AI26</f>
        <v>19904.131587188611</v>
      </c>
      <c r="BK32" s="17"/>
      <c r="BL32" s="22">
        <f t="shared" si="63"/>
        <v>9599.5723199092463</v>
      </c>
      <c r="BM32" s="22">
        <f t="shared" si="64"/>
        <v>16370.999742151016</v>
      </c>
      <c r="BN32" s="22">
        <f t="shared" si="65"/>
        <v>17747.47756444068</v>
      </c>
      <c r="BP32" s="33"/>
      <c r="BQ32" s="33"/>
      <c r="BR32" s="33"/>
      <c r="BT32" s="62">
        <f>AC32</f>
        <v>182.8385367743472</v>
      </c>
      <c r="BU32" s="62">
        <f t="shared" si="10"/>
        <v>71</v>
      </c>
      <c r="BV32" s="62">
        <f t="shared" si="11"/>
        <v>0</v>
      </c>
      <c r="BW32" s="62">
        <f>AD32</f>
        <v>119.73831271685884</v>
      </c>
      <c r="BX32" s="62">
        <f t="shared" si="13"/>
        <v>3.6001497142039964</v>
      </c>
      <c r="BY32" s="62">
        <f>SUM(BT32:BX32)</f>
        <v>377.17699920541008</v>
      </c>
      <c r="BZ32" s="62">
        <f>AJ32</f>
        <v>2001.1318450375938</v>
      </c>
      <c r="CA32" s="79">
        <f>BY32/BZ32</f>
        <v>0.18848183348874964</v>
      </c>
      <c r="CB32" s="79">
        <f>SUM(BW32,BT32)/BY32</f>
        <v>0.80221447789403277</v>
      </c>
      <c r="CC32" s="79">
        <f>SUM(BU32:BV32,BX32)/BY32</f>
        <v>0.19778552210596717</v>
      </c>
      <c r="CD32" s="79">
        <f>AL32/(BY32+AL32)</f>
        <v>0.29181635625999008</v>
      </c>
      <c r="CE32" s="33"/>
      <c r="CG32" s="36">
        <v>18383.954577684832</v>
      </c>
      <c r="CH32" s="36">
        <v>19915.954577684832</v>
      </c>
      <c r="CI32" s="81">
        <f t="shared" si="100"/>
        <v>-16382.822732647237</v>
      </c>
      <c r="CJ32" s="36">
        <f t="shared" si="101"/>
        <v>-17759.300554936901</v>
      </c>
      <c r="CK32" s="36">
        <v>10837.72257768483</v>
      </c>
      <c r="CL32" s="81">
        <f t="shared" si="73"/>
        <v>-9213.7677318526457</v>
      </c>
      <c r="CN32" s="33">
        <f t="shared" si="82"/>
        <v>2011</v>
      </c>
      <c r="CO32" s="96">
        <f t="shared" si="91"/>
        <v>2001.1318450375938</v>
      </c>
      <c r="CP32" s="97">
        <f t="shared" si="92"/>
        <v>0</v>
      </c>
      <c r="CQ32" s="97">
        <f t="shared" si="93"/>
        <v>420.23768745789471</v>
      </c>
      <c r="CR32" s="62">
        <f t="shared" si="94"/>
        <v>1623.9548458321838</v>
      </c>
      <c r="CS32" s="98" t="str">
        <f t="shared" si="83"/>
        <v>N</v>
      </c>
      <c r="CT32" s="114" t="str">
        <f t="shared" si="95"/>
        <v>N</v>
      </c>
      <c r="CU32" s="99">
        <f t="shared" si="102"/>
        <v>420.23768745789471</v>
      </c>
      <c r="CV32" s="100">
        <f t="shared" si="103"/>
        <v>0</v>
      </c>
      <c r="CW32" s="100">
        <f t="shared" ref="CW32:CW44" si="105">CY32-CU32-(BY32-CY32)</f>
        <v>-655.41468666330479</v>
      </c>
      <c r="CX32" s="100"/>
      <c r="CY32" s="101">
        <f t="shared" si="96"/>
        <v>71</v>
      </c>
      <c r="CZ32" s="102">
        <f t="shared" si="84"/>
        <v>71</v>
      </c>
      <c r="DA32" s="79">
        <v>0.1</v>
      </c>
      <c r="DB32" s="103">
        <f t="shared" si="97"/>
        <v>-42.023768745789475</v>
      </c>
      <c r="DC32" s="107">
        <f>IF(CY32&gt;CU32,CZ32,(IF(CZ32*-1&gt;(CU32*DA32),CU32*DA32*-1,CZ32)))</f>
        <v>71</v>
      </c>
      <c r="DD32" s="33"/>
      <c r="DE32" s="107">
        <f t="shared" si="104"/>
        <v>5477</v>
      </c>
      <c r="DF32" s="105">
        <f t="shared" si="98"/>
        <v>71</v>
      </c>
      <c r="DG32" s="105">
        <f t="shared" si="99"/>
        <v>71</v>
      </c>
      <c r="DI32" s="66">
        <f t="shared" si="20"/>
        <v>1</v>
      </c>
      <c r="DL32" s="106">
        <f>AC32/AJ32</f>
        <v>9.1367561426674682E-2</v>
      </c>
      <c r="DM32" s="106">
        <f>AD32/AJ32</f>
        <v>5.9835294218012612E-2</v>
      </c>
      <c r="DT32" s="14">
        <f t="shared" si="46"/>
        <v>1623.9548458321838</v>
      </c>
      <c r="DU32" s="14">
        <v>19861.298355492483</v>
      </c>
      <c r="DV32" s="14">
        <f t="shared" si="77"/>
        <v>18237.343509660299</v>
      </c>
      <c r="DX32" s="14">
        <f>AJ32</f>
        <v>2001.1318450375938</v>
      </c>
      <c r="DY32" s="14">
        <v>26393.298355492483</v>
      </c>
      <c r="DZ32" s="14">
        <f t="shared" si="78"/>
        <v>24392.166510454888</v>
      </c>
      <c r="ED32" s="3">
        <f t="shared" si="88"/>
        <v>0.60427140107313837</v>
      </c>
      <c r="EE32" s="3">
        <f t="shared" si="89"/>
        <v>0.39572859892686157</v>
      </c>
      <c r="EH32" s="14">
        <f t="shared" si="49"/>
        <v>306.17699920541008</v>
      </c>
      <c r="EJ32" s="89">
        <f t="shared" si="81"/>
        <v>0.80753597505329877</v>
      </c>
      <c r="EK32" s="89">
        <f t="shared" si="50"/>
        <v>1</v>
      </c>
      <c r="EM32" s="67"/>
      <c r="EN32" s="67">
        <f t="shared" si="51"/>
        <v>1.6239548458321837</v>
      </c>
      <c r="EO32" s="67">
        <f t="shared" si="22"/>
        <v>7.0999999999999994E-2</v>
      </c>
      <c r="EP32" s="67">
        <f t="shared" si="23"/>
        <v>0.30617699920541008</v>
      </c>
      <c r="EQ32" s="67">
        <f>AL32/1000</f>
        <v>0.1554207281488808</v>
      </c>
      <c r="EU32" s="66">
        <f t="shared" si="25"/>
        <v>0</v>
      </c>
      <c r="EX32" s="14">
        <f t="shared" si="27"/>
        <v>306.17699920541008</v>
      </c>
      <c r="EZ32" s="14">
        <f t="shared" si="52"/>
        <v>0</v>
      </c>
      <c r="FA32" s="14">
        <f t="shared" si="53"/>
        <v>3.6001497142039964</v>
      </c>
      <c r="FC32" s="14">
        <f t="shared" si="54"/>
        <v>12904.901571781229</v>
      </c>
      <c r="FD32" s="66">
        <f t="shared" si="55"/>
        <v>0.88450607632002021</v>
      </c>
      <c r="FF32" s="14">
        <f t="shared" si="26"/>
        <v>12000</v>
      </c>
    </row>
    <row r="33" spans="2:162" ht="13.5" thickBot="1" x14ac:dyDescent="0.25">
      <c r="B33" s="4">
        <v>2012</v>
      </c>
      <c r="C33" s="71"/>
      <c r="D33" s="71"/>
      <c r="E33" s="71"/>
      <c r="F33" s="110"/>
      <c r="G33" s="14"/>
      <c r="H33" s="14"/>
      <c r="I33" s="14"/>
      <c r="J33" s="14">
        <f t="shared" si="28"/>
        <v>0</v>
      </c>
      <c r="L33" s="72">
        <f>'Bayesian Sum (10Feb26)'!K28</f>
        <v>11485</v>
      </c>
      <c r="M33" s="73">
        <f t="shared" si="29"/>
        <v>0</v>
      </c>
      <c r="N33" s="56">
        <f>'Data-Coastal-Chin-Esc (new)'!J40</f>
        <v>865.11331726747983</v>
      </c>
      <c r="O33" s="74">
        <f t="shared" si="56"/>
        <v>2.1330626898444702</v>
      </c>
      <c r="P33" s="14">
        <f>'Data-Coastal-Chin-Esc (new)'!AL40</f>
        <v>1845.3409395508429</v>
      </c>
      <c r="Q33" s="66">
        <f>P33/'A6-Chin (NEW2+Khutz)'!V33</f>
        <v>0.1643789214376882</v>
      </c>
      <c r="R33" s="5">
        <f>$Q33*'A6-Chin (NEW2+Khutz)'!R33</f>
        <v>2.9588205858783878</v>
      </c>
      <c r="S33" s="926">
        <f>'Data-Nisga''a Angling'!A17</f>
        <v>117</v>
      </c>
      <c r="T33" s="14">
        <f t="shared" si="57"/>
        <v>119.95882058587839</v>
      </c>
      <c r="U33" s="73">
        <f t="shared" si="90"/>
        <v>1.5055314440543918E-3</v>
      </c>
      <c r="V33" s="14">
        <f t="shared" si="3"/>
        <v>1845.3409395508429</v>
      </c>
      <c r="W33" s="110"/>
      <c r="X33" s="111">
        <f t="shared" si="31"/>
        <v>0</v>
      </c>
      <c r="Y33" s="111">
        <f t="shared" si="32"/>
        <v>2.9588205858783878</v>
      </c>
      <c r="Z33" s="111">
        <f t="shared" si="32"/>
        <v>117</v>
      </c>
      <c r="AA33" s="111">
        <f t="shared" si="4"/>
        <v>119.95882058587839</v>
      </c>
      <c r="AB33" s="110"/>
      <c r="AC33" s="14">
        <f>$Q33*'A6-Chin (NEW2+Khutz)'!AC33</f>
        <v>205.07519729154529</v>
      </c>
      <c r="AD33" s="14">
        <f>$Q33*'A6-Chin (NEW2+Khutz)'!AD33</f>
        <v>81.203187190217974</v>
      </c>
      <c r="AE33" s="14">
        <f t="shared" si="58"/>
        <v>286.27838448176328</v>
      </c>
      <c r="AF33" s="110"/>
      <c r="AJ33" s="14">
        <f t="shared" si="33"/>
        <v>2251.5781446184847</v>
      </c>
      <c r="AK33" s="66">
        <f>AJ33/'A6-Chin (NEW2+Khutz)'!AJ33</f>
        <v>0.13062988760968783</v>
      </c>
      <c r="AL33" s="14">
        <f>AK33*'A6-Chin (NEW2+Khutz)'!AK33</f>
        <v>154.79641681748006</v>
      </c>
      <c r="AM33" s="111">
        <f t="shared" si="59"/>
        <v>2406.5051913235743</v>
      </c>
      <c r="AN33" s="113">
        <v>1172</v>
      </c>
      <c r="AO33" s="14">
        <f>'[1]Data-FW Catch Rates - new'!CE27</f>
        <v>8995.6589262187081</v>
      </c>
      <c r="AP33" s="76">
        <f t="shared" si="34"/>
        <v>0</v>
      </c>
      <c r="AQ33" s="60">
        <f t="shared" si="35"/>
        <v>2</v>
      </c>
      <c r="AR33" s="59"/>
      <c r="AS33" s="77">
        <f t="shared" si="36"/>
        <v>0.23313210538995513</v>
      </c>
      <c r="AT33" s="61">
        <f t="shared" si="60"/>
        <v>0</v>
      </c>
      <c r="AU33" s="61">
        <f t="shared" si="37"/>
        <v>0</v>
      </c>
      <c r="AV33" s="61">
        <f t="shared" si="38"/>
        <v>0</v>
      </c>
      <c r="AW33" s="61"/>
      <c r="AX33" s="33"/>
      <c r="AY33" s="61">
        <f t="shared" si="39"/>
        <v>4.8618220489127707E-2</v>
      </c>
      <c r="AZ33" s="61">
        <f t="shared" si="40"/>
        <v>8.5217018451040294E-2</v>
      </c>
      <c r="BA33" s="61">
        <f t="shared" si="41"/>
        <v>3.4972709836460975E-2</v>
      </c>
      <c r="BB33" s="61">
        <f t="shared" si="42"/>
        <v>0</v>
      </c>
      <c r="BC33" s="61">
        <f t="shared" si="61"/>
        <v>0.16880794877662897</v>
      </c>
      <c r="BD33" s="61">
        <f t="shared" si="62"/>
        <v>6.4324156613326175E-2</v>
      </c>
      <c r="BE33" s="78">
        <f t="shared" si="43"/>
        <v>0.23313210538995513</v>
      </c>
      <c r="BF33" s="17"/>
      <c r="BG33" s="17"/>
      <c r="BH33" s="22">
        <f>'[1]Data-PSC CH Tables'!C27</f>
        <v>8687.6589262187081</v>
      </c>
      <c r="BI33" s="22">
        <f>'[1]Data-PSC CH Tables'!AG27</f>
        <v>15807.666976543394</v>
      </c>
      <c r="BJ33" s="22">
        <f>'[1]Data-PSC CH Tables'!AI27</f>
        <v>16992.666976543394</v>
      </c>
      <c r="BK33" s="17"/>
      <c r="BL33" s="22">
        <f t="shared" si="63"/>
        <v>8687.6589262187081</v>
      </c>
      <c r="BM33" s="22">
        <f t="shared" si="64"/>
        <v>13556.08883192491</v>
      </c>
      <c r="BN33" s="22">
        <f t="shared" si="65"/>
        <v>14586.16178521982</v>
      </c>
      <c r="BP33" s="33"/>
      <c r="BQ33" s="33"/>
      <c r="BR33" s="33"/>
      <c r="BT33" s="62">
        <f t="shared" si="66"/>
        <v>205.07519729154529</v>
      </c>
      <c r="BU33" s="62">
        <f t="shared" si="10"/>
        <v>117</v>
      </c>
      <c r="BV33" s="62">
        <f t="shared" si="11"/>
        <v>0</v>
      </c>
      <c r="BW33" s="62">
        <f t="shared" si="12"/>
        <v>81.203187190217974</v>
      </c>
      <c r="BX33" s="62">
        <f t="shared" si="13"/>
        <v>2.9588205858783878</v>
      </c>
      <c r="BY33" s="62">
        <f t="shared" si="67"/>
        <v>406.2372050676417</v>
      </c>
      <c r="BZ33" s="62">
        <f t="shared" si="15"/>
        <v>2251.5781446184847</v>
      </c>
      <c r="CA33" s="79">
        <f t="shared" si="68"/>
        <v>0.18042332043353351</v>
      </c>
      <c r="CB33" s="79">
        <f t="shared" si="69"/>
        <v>0.70470744902376847</v>
      </c>
      <c r="CC33" s="79">
        <f t="shared" si="70"/>
        <v>0.29529255097623147</v>
      </c>
      <c r="CD33" s="79">
        <f t="shared" si="19"/>
        <v>0.27591290571383342</v>
      </c>
      <c r="CE33" s="33"/>
      <c r="CG33" s="36">
        <v>15818.366839568131</v>
      </c>
      <c r="CH33" s="36">
        <v>17003.366839568131</v>
      </c>
      <c r="CI33" s="81">
        <f t="shared" si="100"/>
        <v>-13566.788694949646</v>
      </c>
      <c r="CJ33" s="36">
        <f t="shared" si="101"/>
        <v>-14596.861648244556</v>
      </c>
      <c r="CK33" s="36">
        <v>9808.1908395681312</v>
      </c>
      <c r="CL33" s="81">
        <f t="shared" si="73"/>
        <v>-7962.8499000172887</v>
      </c>
      <c r="CN33" s="33">
        <f t="shared" si="82"/>
        <v>2012</v>
      </c>
      <c r="CO33" s="96">
        <f t="shared" si="91"/>
        <v>2251.5781446184847</v>
      </c>
      <c r="CP33" s="97">
        <f t="shared" si="92"/>
        <v>0</v>
      </c>
      <c r="CQ33" s="97">
        <f t="shared" si="93"/>
        <v>472.83141036988178</v>
      </c>
      <c r="CR33" s="62">
        <f t="shared" si="94"/>
        <v>1845.3409395508429</v>
      </c>
      <c r="CS33" s="98" t="str">
        <f t="shared" si="83"/>
        <v>N</v>
      </c>
      <c r="CT33" s="114" t="str">
        <f t="shared" si="95"/>
        <v>N</v>
      </c>
      <c r="CU33" s="99">
        <f t="shared" si="102"/>
        <v>472.83141036988178</v>
      </c>
      <c r="CV33" s="100">
        <f t="shared" si="103"/>
        <v>0</v>
      </c>
      <c r="CW33" s="100">
        <f t="shared" si="105"/>
        <v>-645.06861543752348</v>
      </c>
      <c r="CX33" s="100"/>
      <c r="CY33" s="101">
        <f t="shared" si="96"/>
        <v>117</v>
      </c>
      <c r="CZ33" s="102">
        <f t="shared" si="84"/>
        <v>117</v>
      </c>
      <c r="DA33" s="79">
        <v>0.1</v>
      </c>
      <c r="DB33" s="103">
        <f t="shared" si="97"/>
        <v>-47.283141036988184</v>
      </c>
      <c r="DC33" s="107">
        <f t="shared" si="85"/>
        <v>117</v>
      </c>
      <c r="DD33" s="33"/>
      <c r="DE33" s="107">
        <f t="shared" si="104"/>
        <v>5594</v>
      </c>
      <c r="DF33" s="105">
        <f t="shared" si="98"/>
        <v>117</v>
      </c>
      <c r="DG33" s="105">
        <f t="shared" si="99"/>
        <v>117</v>
      </c>
      <c r="DI33" s="66">
        <f t="shared" si="20"/>
        <v>1</v>
      </c>
      <c r="DL33" s="106"/>
      <c r="DM33" s="106"/>
      <c r="DT33" s="14">
        <f t="shared" si="46"/>
        <v>1845.3409395508429</v>
      </c>
      <c r="DU33" s="14">
        <v>19861.298355492483</v>
      </c>
      <c r="DV33" s="14">
        <f t="shared" si="77"/>
        <v>18015.957415941641</v>
      </c>
      <c r="DX33" s="14">
        <f t="shared" si="47"/>
        <v>2251.5781446184847</v>
      </c>
      <c r="DY33" s="14">
        <v>26393.298355492483</v>
      </c>
      <c r="DZ33" s="14">
        <f t="shared" si="78"/>
        <v>24141.720210873998</v>
      </c>
      <c r="EH33" s="14">
        <f t="shared" si="49"/>
        <v>289.2372050676417</v>
      </c>
      <c r="EK33" s="89">
        <f t="shared" si="50"/>
        <v>1</v>
      </c>
      <c r="EM33" s="67"/>
      <c r="EN33" s="67">
        <f t="shared" si="51"/>
        <v>1.8453409395508429</v>
      </c>
      <c r="EO33" s="67">
        <f t="shared" si="22"/>
        <v>0.11700000000000001</v>
      </c>
      <c r="EP33" s="67">
        <f t="shared" si="23"/>
        <v>0.28923720506764172</v>
      </c>
      <c r="EQ33" s="67">
        <f t="shared" si="24"/>
        <v>0.15479641681748008</v>
      </c>
      <c r="EU33" s="66">
        <f t="shared" si="25"/>
        <v>0</v>
      </c>
      <c r="EX33" s="14">
        <f t="shared" si="27"/>
        <v>289.2372050676417</v>
      </c>
      <c r="EZ33" s="14">
        <f t="shared" si="52"/>
        <v>0</v>
      </c>
      <c r="FA33" s="14">
        <f t="shared" si="53"/>
        <v>2.9588205858783878</v>
      </c>
      <c r="FC33" s="14">
        <f t="shared" si="54"/>
        <v>11965.819592085974</v>
      </c>
      <c r="FD33" s="66">
        <f t="shared" si="55"/>
        <v>0.86156836138558512</v>
      </c>
      <c r="FF33" s="14">
        <f t="shared" si="26"/>
        <v>11000</v>
      </c>
    </row>
    <row r="34" spans="2:162" x14ac:dyDescent="0.2">
      <c r="B34" s="4">
        <v>2013</v>
      </c>
      <c r="C34" s="71"/>
      <c r="D34" s="71"/>
      <c r="E34" s="71"/>
      <c r="F34" s="110"/>
      <c r="G34" s="14"/>
      <c r="H34" s="14"/>
      <c r="I34" s="14"/>
      <c r="J34" s="14">
        <f t="shared" si="28"/>
        <v>0</v>
      </c>
      <c r="L34" s="72">
        <f>'Bayesian Sum (10Feb26)'!K29</f>
        <v>11596</v>
      </c>
      <c r="M34" s="73">
        <f t="shared" si="29"/>
        <v>0</v>
      </c>
      <c r="N34" s="56">
        <f>'Data-Coastal-Chin-Esc (new)'!J41</f>
        <v>527.86575290897076</v>
      </c>
      <c r="O34" s="74">
        <f t="shared" si="56"/>
        <v>3.6285654183789675</v>
      </c>
      <c r="P34" s="14">
        <f>'Data-Coastal-Chin-Esc (new)'!AL41</f>
        <v>1915.3954165520681</v>
      </c>
      <c r="Q34" s="66">
        <f>P34/'A6-Chin (NEW2+Khutz)'!V34</f>
        <v>0.17013947630775986</v>
      </c>
      <c r="R34" s="5">
        <f>$Q34*'A6-Chin (NEW2+Khutz)'!R34</f>
        <v>1.0208368578465592</v>
      </c>
      <c r="S34" s="926">
        <f>'Data-Nisga''a Angling'!A18</f>
        <v>64</v>
      </c>
      <c r="T34" s="14">
        <f t="shared" si="57"/>
        <v>65.020836857846561</v>
      </c>
      <c r="U34" s="115">
        <f>R34/SUM(T34,P34)</f>
        <v>5.1546580477152969E-4</v>
      </c>
      <c r="V34" s="14">
        <f t="shared" si="3"/>
        <v>1915.3954165520681</v>
      </c>
      <c r="W34" s="110"/>
      <c r="X34" s="111">
        <f t="shared" si="31"/>
        <v>0</v>
      </c>
      <c r="Y34" s="111">
        <f t="shared" si="32"/>
        <v>1.0208368578465592</v>
      </c>
      <c r="Z34" s="111">
        <f t="shared" si="32"/>
        <v>64</v>
      </c>
      <c r="AA34" s="111">
        <f t="shared" si="4"/>
        <v>65.020836857846561</v>
      </c>
      <c r="AB34" s="110"/>
      <c r="AC34" s="14">
        <f>$Q34*'A6-Chin (NEW2+Khutz)'!AC34</f>
        <v>319.19390759565169</v>
      </c>
      <c r="AD34" s="14">
        <f>$Q34*'A6-Chin (NEW2+Khutz)'!AD34</f>
        <v>88.132248727419608</v>
      </c>
      <c r="AE34" s="14">
        <f t="shared" si="58"/>
        <v>407.3261563230713</v>
      </c>
      <c r="AF34" s="110"/>
      <c r="AJ34" s="14">
        <f t="shared" si="33"/>
        <v>2387.7424097329858</v>
      </c>
      <c r="AK34" s="66">
        <f>AJ34/'A6-Chin (NEW2+Khutz)'!AJ34</f>
        <v>0.1281344258181982</v>
      </c>
      <c r="AL34" s="14">
        <f>AK34*'A6-Chin (NEW2+Khutz)'!AK34</f>
        <v>23.833003202184866</v>
      </c>
      <c r="AM34" s="111">
        <f t="shared" si="59"/>
        <v>2411.703547360989</v>
      </c>
      <c r="AN34" s="113">
        <v>178</v>
      </c>
      <c r="AO34" s="14">
        <f>'[1]Data-FW Catch Rates - new'!CE28</f>
        <v>8297.8356309650062</v>
      </c>
      <c r="AP34" s="76">
        <f t="shared" si="34"/>
        <v>0</v>
      </c>
      <c r="AQ34" s="60">
        <f t="shared" si="35"/>
        <v>3</v>
      </c>
      <c r="AR34" s="59"/>
      <c r="AS34" s="77">
        <f t="shared" si="36"/>
        <v>0.20573838643064093</v>
      </c>
      <c r="AT34" s="61">
        <f t="shared" si="60"/>
        <v>0</v>
      </c>
      <c r="AU34" s="61">
        <f t="shared" si="37"/>
        <v>0</v>
      </c>
      <c r="AV34" s="61">
        <f t="shared" si="38"/>
        <v>0</v>
      </c>
      <c r="AW34" s="61"/>
      <c r="AX34" s="33"/>
      <c r="AY34" s="61">
        <f t="shared" si="39"/>
        <v>2.653725830856455E-2</v>
      </c>
      <c r="AZ34" s="61">
        <f t="shared" si="40"/>
        <v>0.13235204963102956</v>
      </c>
      <c r="BA34" s="61">
        <f t="shared" si="41"/>
        <v>3.6966850955965171E-2</v>
      </c>
      <c r="BB34" s="61">
        <f t="shared" si="42"/>
        <v>0</v>
      </c>
      <c r="BC34" s="61">
        <f t="shared" si="61"/>
        <v>0.1958561588955593</v>
      </c>
      <c r="BD34" s="61">
        <f>AL34/AM34</f>
        <v>9.882227535081653E-3</v>
      </c>
      <c r="BE34" s="78">
        <f t="shared" si="43"/>
        <v>0.20573838643064093</v>
      </c>
      <c r="BF34" s="17"/>
      <c r="BG34" s="17"/>
      <c r="BH34" s="22">
        <f>'[1]Data-PSC CH Tables'!C28</f>
        <v>8010.8356309650062</v>
      </c>
      <c r="BI34" s="22">
        <f>'[1]Data-PSC CH Tables'!AG28</f>
        <v>16411.076781231313</v>
      </c>
      <c r="BJ34" s="22">
        <f>'[1]Data-PSC CH Tables'!AI28</f>
        <v>16597.076781231313</v>
      </c>
      <c r="BK34" s="17"/>
      <c r="BL34" s="22">
        <f t="shared" si="63"/>
        <v>8010.8356309650062</v>
      </c>
      <c r="BM34" s="22">
        <f t="shared" si="64"/>
        <v>14023.334371498328</v>
      </c>
      <c r="BN34" s="22">
        <f t="shared" si="65"/>
        <v>14185.373233870325</v>
      </c>
      <c r="BP34" s="33"/>
      <c r="BQ34" s="33"/>
      <c r="BR34" s="33"/>
      <c r="BT34" s="62">
        <f t="shared" si="66"/>
        <v>319.19390759565169</v>
      </c>
      <c r="BU34" s="62">
        <f t="shared" si="10"/>
        <v>64</v>
      </c>
      <c r="BV34" s="62">
        <f t="shared" si="11"/>
        <v>0</v>
      </c>
      <c r="BW34" s="62">
        <f t="shared" si="12"/>
        <v>88.132248727419608</v>
      </c>
      <c r="BX34" s="62">
        <f t="shared" si="13"/>
        <v>1.0208368578465592</v>
      </c>
      <c r="BY34" s="62">
        <f t="shared" si="67"/>
        <v>472.34699318091788</v>
      </c>
      <c r="BZ34" s="62">
        <f t="shared" si="15"/>
        <v>2387.7424097329858</v>
      </c>
      <c r="CA34" s="79">
        <f t="shared" si="68"/>
        <v>0.19782158714253395</v>
      </c>
      <c r="CB34" s="79">
        <f t="shared" si="69"/>
        <v>0.86234518733785537</v>
      </c>
      <c r="CC34" s="79">
        <f t="shared" si="70"/>
        <v>0.13765481266214463</v>
      </c>
      <c r="CD34" s="79">
        <f t="shared" si="19"/>
        <v>4.8032978709168478E-2</v>
      </c>
      <c r="CE34" s="33"/>
      <c r="CG34" s="36">
        <v>16420.943057600234</v>
      </c>
      <c r="CH34" s="36">
        <v>16606.943057600234</v>
      </c>
      <c r="CI34" s="81">
        <f t="shared" si="100"/>
        <v>-14033.200647867248</v>
      </c>
      <c r="CJ34" s="36">
        <f t="shared" si="101"/>
        <v>-14195.239510239246</v>
      </c>
      <c r="CK34" s="36">
        <v>9044.0710576002366</v>
      </c>
      <c r="CL34" s="81">
        <f t="shared" si="73"/>
        <v>-7128.6756410481685</v>
      </c>
      <c r="CN34" s="33">
        <f t="shared" si="82"/>
        <v>2013</v>
      </c>
      <c r="CO34" s="96">
        <f t="shared" si="91"/>
        <v>2387.7424097329858</v>
      </c>
      <c r="CP34" s="97">
        <f t="shared" si="92"/>
        <v>0</v>
      </c>
      <c r="CQ34" s="97">
        <f t="shared" si="93"/>
        <v>501.425906043927</v>
      </c>
      <c r="CR34" s="62">
        <f t="shared" si="94"/>
        <v>1915.3954165520681</v>
      </c>
      <c r="CS34" s="98" t="str">
        <f t="shared" si="83"/>
        <v>N</v>
      </c>
      <c r="CT34" s="114" t="str">
        <f t="shared" si="95"/>
        <v>N</v>
      </c>
      <c r="CU34" s="99">
        <f t="shared" si="102"/>
        <v>501.425906043927</v>
      </c>
      <c r="CV34" s="100">
        <f t="shared" si="103"/>
        <v>0</v>
      </c>
      <c r="CW34" s="100">
        <f t="shared" si="105"/>
        <v>-845.77289922484488</v>
      </c>
      <c r="CX34" s="100"/>
      <c r="CY34" s="101">
        <f t="shared" si="96"/>
        <v>64</v>
      </c>
      <c r="CZ34" s="102">
        <f t="shared" si="84"/>
        <v>64</v>
      </c>
      <c r="DA34" s="79">
        <v>0.1</v>
      </c>
      <c r="DB34" s="103">
        <f t="shared" si="97"/>
        <v>-50.142590604392701</v>
      </c>
      <c r="DC34" s="107">
        <f t="shared" si="85"/>
        <v>64</v>
      </c>
      <c r="DD34" s="33"/>
      <c r="DE34" s="107">
        <f t="shared" si="104"/>
        <v>5658</v>
      </c>
      <c r="DF34" s="105">
        <f t="shared" si="98"/>
        <v>64</v>
      </c>
      <c r="DG34" s="105">
        <f t="shared" si="99"/>
        <v>64</v>
      </c>
      <c r="DI34" s="66">
        <f t="shared" si="20"/>
        <v>1</v>
      </c>
      <c r="DL34" s="106"/>
      <c r="DM34" s="106"/>
      <c r="DT34" s="14">
        <f t="shared" si="46"/>
        <v>1915.3954165520681</v>
      </c>
      <c r="DU34" s="14">
        <v>19861.298355492483</v>
      </c>
      <c r="DV34" s="14">
        <f t="shared" si="77"/>
        <v>17945.902938940417</v>
      </c>
      <c r="DX34" s="14">
        <f t="shared" si="47"/>
        <v>2387.7424097329858</v>
      </c>
      <c r="DY34" s="14">
        <v>26393.298355492483</v>
      </c>
      <c r="DZ34" s="14">
        <f t="shared" si="78"/>
        <v>24005.555945759497</v>
      </c>
      <c r="EH34" s="14">
        <f t="shared" si="49"/>
        <v>408.34699318091788</v>
      </c>
      <c r="EK34" s="89">
        <f t="shared" si="50"/>
        <v>1</v>
      </c>
      <c r="EM34" s="67"/>
      <c r="EN34" s="67">
        <f t="shared" si="51"/>
        <v>1.9153954165520681</v>
      </c>
      <c r="EO34" s="67">
        <f t="shared" si="22"/>
        <v>6.4000000000000001E-2</v>
      </c>
      <c r="EP34" s="67">
        <f t="shared" si="23"/>
        <v>0.40834699318091788</v>
      </c>
      <c r="EQ34" s="67">
        <f t="shared" si="24"/>
        <v>2.3833003202184865E-2</v>
      </c>
      <c r="EU34" s="66">
        <f t="shared" si="25"/>
        <v>0</v>
      </c>
      <c r="EX34" s="14">
        <f t="shared" si="27"/>
        <v>408.34699318091788</v>
      </c>
      <c r="EZ34" s="14">
        <f t="shared" si="52"/>
        <v>0</v>
      </c>
      <c r="FA34" s="14">
        <f t="shared" si="53"/>
        <v>1.0208368578465592</v>
      </c>
      <c r="FC34" s="14">
        <f t="shared" si="54"/>
        <v>12020.964664036168</v>
      </c>
      <c r="FD34" s="66">
        <f t="shared" si="55"/>
        <v>0.85823851959764108</v>
      </c>
      <c r="FF34" s="14">
        <f t="shared" si="26"/>
        <v>12000</v>
      </c>
    </row>
    <row r="35" spans="2:162" ht="13.5" thickBot="1" x14ac:dyDescent="0.25">
      <c r="B35" s="4">
        <v>2014</v>
      </c>
      <c r="C35" s="71"/>
      <c r="D35" s="71"/>
      <c r="E35" s="71"/>
      <c r="F35" s="110"/>
      <c r="G35" s="14"/>
      <c r="H35" s="14"/>
      <c r="I35" s="14"/>
      <c r="J35" s="14">
        <f t="shared" si="28"/>
        <v>0</v>
      </c>
      <c r="L35" s="72">
        <f>'Bayesian Sum (10Feb26)'!K30</f>
        <v>16790</v>
      </c>
      <c r="M35" s="73">
        <f t="shared" si="29"/>
        <v>0</v>
      </c>
      <c r="N35" s="56">
        <f>'Data-Coastal-Chin-Esc (new)'!J42</f>
        <v>1490.7319873818155</v>
      </c>
      <c r="O35" s="74">
        <f t="shared" si="56"/>
        <v>1.4884560747774787</v>
      </c>
      <c r="P35" s="14">
        <f>'Data-Coastal-Chin-Esc (new)'!AL42</f>
        <v>2218.8890824835671</v>
      </c>
      <c r="Q35" s="66">
        <f>P35/'A6-Chin (NEW2+Khutz)'!V35</f>
        <v>0.1375791683153253</v>
      </c>
      <c r="R35" s="5">
        <f>$Q35*'A6-Chin (NEW2+Khutz)'!R35</f>
        <v>0.1375791683153253</v>
      </c>
      <c r="S35" s="926">
        <f>'Data-Nisga''a Angling'!A19</f>
        <v>13</v>
      </c>
      <c r="T35" s="14">
        <f>SUM(R35:S35)</f>
        <v>13.137579168315325</v>
      </c>
      <c r="U35" s="116">
        <f t="shared" si="90"/>
        <v>6.163867604229488E-5</v>
      </c>
      <c r="V35" s="14">
        <f t="shared" si="3"/>
        <v>2218.8890824835671</v>
      </c>
      <c r="W35" s="110"/>
      <c r="X35" s="111">
        <f t="shared" si="31"/>
        <v>0</v>
      </c>
      <c r="Y35" s="111">
        <f t="shared" si="32"/>
        <v>0.1375791683153253</v>
      </c>
      <c r="Z35" s="111">
        <f t="shared" si="32"/>
        <v>13</v>
      </c>
      <c r="AA35" s="111">
        <f t="shared" si="4"/>
        <v>13.137579168315325</v>
      </c>
      <c r="AB35" s="110"/>
      <c r="AC35" s="14">
        <f>$Q35*'A6-Chin (NEW2+Khutz)'!AC35</f>
        <v>281.54861384056085</v>
      </c>
      <c r="AD35" s="14">
        <f>$Q35*'A6-Chin (NEW2+Khutz)'!AD35</f>
        <v>100.98310954344876</v>
      </c>
      <c r="AE35" s="14">
        <f t="shared" si="58"/>
        <v>382.53172338400964</v>
      </c>
      <c r="AF35" s="110"/>
      <c r="AJ35" s="14">
        <f t="shared" si="33"/>
        <v>2614.5583850358921</v>
      </c>
      <c r="AK35" s="66">
        <f>AJ35/'A6-Chin (NEW2+Khutz)'!AJ35</f>
        <v>0.10105066680939334</v>
      </c>
      <c r="AL35" s="14">
        <f>AK35*'A6-Chin (NEW2+Khutz)'!AK35</f>
        <v>160.16530689288845</v>
      </c>
      <c r="AM35" s="111">
        <f t="shared" si="59"/>
        <v>2774.8247425955901</v>
      </c>
      <c r="AN35" s="113">
        <v>1498</v>
      </c>
      <c r="AO35" s="14">
        <f>'[1]Data-FW Catch Rates - new'!CE29</f>
        <v>11914</v>
      </c>
      <c r="AP35" s="117">
        <f t="shared" si="34"/>
        <v>0</v>
      </c>
      <c r="AQ35" s="60">
        <f t="shared" si="35"/>
        <v>17</v>
      </c>
      <c r="AR35" s="59"/>
      <c r="AS35" s="77">
        <f t="shared" si="36"/>
        <v>0.20031341111845566</v>
      </c>
      <c r="AT35" s="61">
        <f t="shared" si="60"/>
        <v>0</v>
      </c>
      <c r="AU35" s="61">
        <f t="shared" si="37"/>
        <v>0</v>
      </c>
      <c r="AV35" s="61">
        <f t="shared" si="38"/>
        <v>0</v>
      </c>
      <c r="AW35" s="61"/>
      <c r="AX35" s="33"/>
      <c r="AY35" s="61">
        <f t="shared" si="39"/>
        <v>4.6849805684807721E-3</v>
      </c>
      <c r="AZ35" s="61">
        <f t="shared" si="40"/>
        <v>0.10146536807120955</v>
      </c>
      <c r="BA35" s="61">
        <f t="shared" si="41"/>
        <v>3.6442189360462132E-2</v>
      </c>
      <c r="BB35" s="61">
        <f t="shared" si="42"/>
        <v>0</v>
      </c>
      <c r="BC35" s="61">
        <f t="shared" si="61"/>
        <v>0.14259253800015245</v>
      </c>
      <c r="BD35" s="61">
        <f>AL35/AM35</f>
        <v>5.772087311830322E-2</v>
      </c>
      <c r="BE35" s="78">
        <f t="shared" si="43"/>
        <v>0.20031341111845566</v>
      </c>
      <c r="BF35" s="17"/>
      <c r="BG35" s="17"/>
      <c r="BH35" s="22">
        <f>'[1]Data-PSC CH Tables'!C29</f>
        <v>11509</v>
      </c>
      <c r="BI35" s="22">
        <f>'[1]Data-PSC CH Tables'!AG29</f>
        <v>22724.901053862264</v>
      </c>
      <c r="BJ35" s="22">
        <f>'[1]Data-PSC CH Tables'!AI29</f>
        <v>24309.901053862264</v>
      </c>
      <c r="BK35" s="17"/>
      <c r="BL35" s="22">
        <f t="shared" si="63"/>
        <v>11509</v>
      </c>
      <c r="BM35" s="22">
        <f t="shared" si="64"/>
        <v>20110.342668826372</v>
      </c>
      <c r="BN35" s="22">
        <f t="shared" si="65"/>
        <v>21535.076311266675</v>
      </c>
      <c r="BP35" s="33"/>
      <c r="BQ35" s="33"/>
      <c r="BR35" s="33"/>
      <c r="BT35" s="62">
        <f t="shared" si="66"/>
        <v>281.54861384056085</v>
      </c>
      <c r="BU35" s="62">
        <f t="shared" si="10"/>
        <v>13</v>
      </c>
      <c r="BV35" s="62">
        <f t="shared" si="11"/>
        <v>0</v>
      </c>
      <c r="BW35" s="62">
        <f t="shared" si="12"/>
        <v>100.98310954344876</v>
      </c>
      <c r="BX35" s="62">
        <f t="shared" si="13"/>
        <v>0.1375791683153253</v>
      </c>
      <c r="BY35" s="62">
        <f t="shared" si="67"/>
        <v>395.66930255232495</v>
      </c>
      <c r="BZ35" s="62">
        <f t="shared" si="15"/>
        <v>2614.5583850358921</v>
      </c>
      <c r="CA35" s="79">
        <f t="shared" si="68"/>
        <v>0.1513331294557774</v>
      </c>
      <c r="CB35" s="79">
        <f t="shared" si="69"/>
        <v>0.96679656702309391</v>
      </c>
      <c r="CC35" s="79">
        <f t="shared" si="70"/>
        <v>3.3203432976906158E-2</v>
      </c>
      <c r="CD35" s="79">
        <f t="shared" si="19"/>
        <v>0.28815281411273003</v>
      </c>
      <c r="CE35" s="33"/>
      <c r="CG35" s="36">
        <v>22739.075726762934</v>
      </c>
      <c r="CH35" s="36">
        <v>24324.075726762934</v>
      </c>
      <c r="CI35" s="81">
        <f t="shared" si="100"/>
        <v>-20124.517341727042</v>
      </c>
      <c r="CJ35" s="36">
        <f t="shared" si="101"/>
        <v>-21549.250984167345</v>
      </c>
      <c r="CK35" s="36">
        <v>12993.427726762931</v>
      </c>
      <c r="CL35" s="81">
        <f t="shared" si="73"/>
        <v>-10774.538644279364</v>
      </c>
      <c r="CN35" s="33">
        <f t="shared" si="82"/>
        <v>2014</v>
      </c>
      <c r="CO35" s="96">
        <f t="shared" si="91"/>
        <v>2614.5583850358921</v>
      </c>
      <c r="CP35" s="97">
        <f t="shared" si="92"/>
        <v>0</v>
      </c>
      <c r="CQ35" s="97">
        <f t="shared" si="93"/>
        <v>549.05726085753736</v>
      </c>
      <c r="CR35" s="62">
        <f t="shared" si="94"/>
        <v>2218.8890824835671</v>
      </c>
      <c r="CS35" s="98" t="str">
        <f t="shared" si="83"/>
        <v>N</v>
      </c>
      <c r="CT35" s="114" t="str">
        <f t="shared" si="95"/>
        <v>N</v>
      </c>
      <c r="CU35" s="99">
        <f t="shared" si="102"/>
        <v>549.05726085753736</v>
      </c>
      <c r="CV35" s="100">
        <f t="shared" si="103"/>
        <v>0</v>
      </c>
      <c r="CW35" s="100">
        <f t="shared" si="105"/>
        <v>-918.72656340986237</v>
      </c>
      <c r="CX35" s="100"/>
      <c r="CY35" s="101">
        <f t="shared" si="96"/>
        <v>13</v>
      </c>
      <c r="CZ35" s="102">
        <f t="shared" si="84"/>
        <v>13</v>
      </c>
      <c r="DA35" s="79">
        <v>0.1</v>
      </c>
      <c r="DB35" s="103">
        <f t="shared" si="97"/>
        <v>-54.905726085753741</v>
      </c>
      <c r="DC35" s="107">
        <f t="shared" si="85"/>
        <v>13</v>
      </c>
      <c r="DD35" s="33"/>
      <c r="DE35" s="107">
        <f t="shared" si="104"/>
        <v>5671</v>
      </c>
      <c r="DF35" s="105">
        <f t="shared" si="98"/>
        <v>13</v>
      </c>
      <c r="DG35" s="105">
        <f t="shared" si="99"/>
        <v>13</v>
      </c>
      <c r="DI35" s="66">
        <f t="shared" si="20"/>
        <v>1</v>
      </c>
      <c r="DL35" s="106"/>
      <c r="DM35" s="106"/>
      <c r="DT35" s="14">
        <f t="shared" si="46"/>
        <v>2218.8890824835671</v>
      </c>
      <c r="DU35" s="14">
        <v>19861.298355492483</v>
      </c>
      <c r="DV35" s="14">
        <f t="shared" si="77"/>
        <v>17642.409273008918</v>
      </c>
      <c r="DX35" s="14">
        <f t="shared" si="47"/>
        <v>2614.5583850358921</v>
      </c>
      <c r="DY35" s="14">
        <v>26393.298355492483</v>
      </c>
      <c r="DZ35" s="14">
        <f t="shared" si="78"/>
        <v>23778.739970456591</v>
      </c>
      <c r="EH35" s="14">
        <f t="shared" si="49"/>
        <v>382.66930255232495</v>
      </c>
      <c r="EK35" s="89">
        <f t="shared" si="50"/>
        <v>1</v>
      </c>
      <c r="EM35" s="67"/>
      <c r="EN35" s="67">
        <f t="shared" si="51"/>
        <v>2.218889082483567</v>
      </c>
      <c r="EO35" s="67">
        <f t="shared" si="22"/>
        <v>1.2999999999999999E-2</v>
      </c>
      <c r="EP35" s="67">
        <f t="shared" si="23"/>
        <v>0.38266930255232495</v>
      </c>
      <c r="EQ35" s="67">
        <f t="shared" si="24"/>
        <v>0.16016530689288846</v>
      </c>
      <c r="EU35" s="66">
        <f t="shared" si="25"/>
        <v>0</v>
      </c>
      <c r="EX35" s="14">
        <f t="shared" si="27"/>
        <v>382.66930255232495</v>
      </c>
      <c r="EZ35" s="14">
        <f t="shared" si="52"/>
        <v>0</v>
      </c>
      <c r="FA35" s="14">
        <f t="shared" si="53"/>
        <v>0.1375791683153253</v>
      </c>
      <c r="FC35" s="14">
        <f t="shared" si="54"/>
        <v>17280.831057925774</v>
      </c>
      <c r="FD35" s="66">
        <f t="shared" si="55"/>
        <v>0.88327097533920351</v>
      </c>
      <c r="FF35" s="14">
        <f t="shared" si="26"/>
        <v>17000</v>
      </c>
    </row>
    <row r="36" spans="2:162" x14ac:dyDescent="0.2">
      <c r="B36" s="4">
        <v>2015</v>
      </c>
      <c r="C36" s="71"/>
      <c r="D36" s="71"/>
      <c r="E36" s="71"/>
      <c r="F36" s="110"/>
      <c r="G36" s="14"/>
      <c r="H36" s="14"/>
      <c r="I36" s="14"/>
      <c r="J36" s="14">
        <f t="shared" si="28"/>
        <v>0</v>
      </c>
      <c r="L36" s="72">
        <f>'Bayesian Sum (10Feb26)'!K31</f>
        <v>23555</v>
      </c>
      <c r="M36" s="115">
        <f>H36/L36</f>
        <v>0</v>
      </c>
      <c r="N36" s="56">
        <f>'Data-Coastal-Chin-Esc (new)'!J43</f>
        <v>723.37158731970067</v>
      </c>
      <c r="O36" s="74">
        <f t="shared" si="56"/>
        <v>4.0816777273350384</v>
      </c>
      <c r="P36" s="14">
        <f>'Data-Coastal-Chin-Esc (new)'!AL43</f>
        <v>2952.569696549815</v>
      </c>
      <c r="Q36" s="66">
        <f>P36/'A6-Chin (NEW2+Khutz)'!V36</f>
        <v>0.13131420674514951</v>
      </c>
      <c r="R36" s="5">
        <f>$Q36*'A6-Chin (NEW2+Khutz)'!R36</f>
        <v>2.1010273079223922</v>
      </c>
      <c r="S36" s="926">
        <f>'Data-Nisga''a Angling'!A20</f>
        <v>69</v>
      </c>
      <c r="T36" s="14">
        <f t="shared" si="57"/>
        <v>71.101027307922394</v>
      </c>
      <c r="U36" s="116">
        <f t="shared" si="90"/>
        <v>6.9485982430051297E-4</v>
      </c>
      <c r="V36" s="14">
        <f t="shared" si="3"/>
        <v>2952.569696549815</v>
      </c>
      <c r="W36" s="110"/>
      <c r="X36" s="111">
        <f t="shared" si="31"/>
        <v>0</v>
      </c>
      <c r="Y36" s="111">
        <f t="shared" si="32"/>
        <v>2.1010273079223922</v>
      </c>
      <c r="Z36" s="111">
        <f t="shared" si="32"/>
        <v>69</v>
      </c>
      <c r="AA36" s="111">
        <f t="shared" si="4"/>
        <v>71.101027307922394</v>
      </c>
      <c r="AB36" s="110"/>
      <c r="AC36" s="14">
        <f>$Q36*'A6-Chin (NEW2+Khutz)'!AC36</f>
        <v>328.40002285115554</v>
      </c>
      <c r="AD36" s="14">
        <f>$Q36*'A6-Chin (NEW2+Khutz)'!AD36</f>
        <v>90.081545827172562</v>
      </c>
      <c r="AE36" s="14">
        <f t="shared" si="58"/>
        <v>418.48156867832813</v>
      </c>
      <c r="AF36" s="110"/>
      <c r="AJ36" s="14">
        <f t="shared" si="33"/>
        <v>3442.1522925360655</v>
      </c>
      <c r="AK36" s="66">
        <f>AJ36/'A6-Chin (NEW2+Khutz)'!AJ36</f>
        <v>9.8778248851741482E-2</v>
      </c>
      <c r="AL36" s="14">
        <f>AK36*'A6-Chin (NEW2+Khutz)'!AK36</f>
        <v>214.94146950138946</v>
      </c>
      <c r="AM36" s="111">
        <f t="shared" si="59"/>
        <v>3657.1925402863067</v>
      </c>
      <c r="AN36" s="113">
        <v>2013</v>
      </c>
      <c r="AO36" s="14">
        <f>'[1]Data-FW Catch Rates - new'!CE30</f>
        <v>18778</v>
      </c>
      <c r="AP36" s="117">
        <f t="shared" si="34"/>
        <v>0</v>
      </c>
      <c r="AQ36" s="60">
        <f t="shared" si="35"/>
        <v>25</v>
      </c>
      <c r="AR36" s="59"/>
      <c r="AS36" s="77">
        <f t="shared" si="36"/>
        <v>0.19264068208792903</v>
      </c>
      <c r="AT36" s="61">
        <f t="shared" si="60"/>
        <v>0</v>
      </c>
      <c r="AU36" s="61">
        <f t="shared" si="37"/>
        <v>0</v>
      </c>
      <c r="AV36" s="61">
        <f t="shared" si="38"/>
        <v>0</v>
      </c>
      <c r="AW36" s="61"/>
      <c r="AX36" s="33"/>
      <c r="AY36" s="61">
        <f t="shared" si="39"/>
        <v>1.8866931188314815E-2</v>
      </c>
      <c r="AZ36" s="61">
        <f t="shared" si="40"/>
        <v>8.9795661353242961E-2</v>
      </c>
      <c r="BA36" s="61">
        <f t="shared" si="41"/>
        <v>2.5205829914516437E-2</v>
      </c>
      <c r="BB36" s="61">
        <f t="shared" si="42"/>
        <v>0</v>
      </c>
      <c r="BC36" s="61">
        <f t="shared" si="61"/>
        <v>0.13386842245607422</v>
      </c>
      <c r="BD36" s="61">
        <f>AL36/AM36</f>
        <v>5.8772259631854812E-2</v>
      </c>
      <c r="BE36" s="78">
        <f t="shared" si="43"/>
        <v>0.19264068208792903</v>
      </c>
      <c r="BF36" s="17"/>
      <c r="BG36" s="17"/>
      <c r="BH36" s="22">
        <f>'[1]Data-PSC CH Tables'!C30</f>
        <v>18262</v>
      </c>
      <c r="BI36" s="22">
        <f>'[1]Data-PSC CH Tables'!AG30</f>
        <v>32957.436221752512</v>
      </c>
      <c r="BJ36" s="22">
        <f>'[1]Data-PSC CH Tables'!AI30</f>
        <v>35133.436221752512</v>
      </c>
      <c r="BK36" s="17"/>
      <c r="BL36" s="22">
        <f t="shared" si="63"/>
        <v>18262</v>
      </c>
      <c r="BM36" s="22">
        <f t="shared" si="64"/>
        <v>29515.283929216446</v>
      </c>
      <c r="BN36" s="22">
        <f t="shared" si="65"/>
        <v>31476.243681466207</v>
      </c>
      <c r="BP36" s="33"/>
      <c r="BQ36" s="33"/>
      <c r="BR36" s="33"/>
      <c r="BT36" s="62">
        <f t="shared" si="66"/>
        <v>328.40002285115554</v>
      </c>
      <c r="BU36" s="62">
        <f t="shared" si="10"/>
        <v>69</v>
      </c>
      <c r="BV36" s="62">
        <f t="shared" si="11"/>
        <v>0</v>
      </c>
      <c r="BW36" s="62">
        <f t="shared" si="12"/>
        <v>90.081545827172562</v>
      </c>
      <c r="BX36" s="62">
        <f t="shared" si="13"/>
        <v>2.1010273079223922</v>
      </c>
      <c r="BY36" s="62">
        <f t="shared" si="67"/>
        <v>489.58259598625051</v>
      </c>
      <c r="BZ36" s="62">
        <f t="shared" si="15"/>
        <v>3442.1522925360655</v>
      </c>
      <c r="CA36" s="79">
        <f t="shared" si="68"/>
        <v>0.14223153259309804</v>
      </c>
      <c r="CB36" s="79">
        <f t="shared" si="69"/>
        <v>0.85477215103063187</v>
      </c>
      <c r="CC36" s="79">
        <f t="shared" si="70"/>
        <v>0.14522784896936819</v>
      </c>
      <c r="CD36" s="79">
        <f t="shared" si="19"/>
        <v>0.30508747682396997</v>
      </c>
      <c r="CE36" s="33"/>
      <c r="CG36" s="36">
        <v>32979.928000057495</v>
      </c>
      <c r="CH36" s="36">
        <v>35155.928000057495</v>
      </c>
      <c r="CI36" s="81">
        <f t="shared" si="100"/>
        <v>-29537.775707521429</v>
      </c>
      <c r="CJ36" s="36">
        <f t="shared" si="101"/>
        <v>-31498.735459771189</v>
      </c>
      <c r="CK36" s="36">
        <v>20617.427851780747</v>
      </c>
      <c r="CL36" s="81">
        <f t="shared" si="73"/>
        <v>-17664.858155230933</v>
      </c>
      <c r="CN36" s="33">
        <f t="shared" si="82"/>
        <v>2015</v>
      </c>
      <c r="CO36" s="96">
        <f t="shared" si="91"/>
        <v>3442.1522925360655</v>
      </c>
      <c r="CP36" s="97">
        <f t="shared" si="92"/>
        <v>0</v>
      </c>
      <c r="CQ36" s="97">
        <f t="shared" si="93"/>
        <v>722.85198143257378</v>
      </c>
      <c r="CR36" s="62">
        <f t="shared" si="94"/>
        <v>2952.569696549815</v>
      </c>
      <c r="CS36" s="98" t="str">
        <f t="shared" si="83"/>
        <v>N</v>
      </c>
      <c r="CT36" s="114" t="str">
        <f t="shared" si="95"/>
        <v>N</v>
      </c>
      <c r="CU36" s="99">
        <f t="shared" si="102"/>
        <v>722.85198143257378</v>
      </c>
      <c r="CV36" s="100">
        <f t="shared" si="103"/>
        <v>0</v>
      </c>
      <c r="CW36" s="100">
        <f t="shared" si="105"/>
        <v>-1074.4345774188243</v>
      </c>
      <c r="CX36" s="100"/>
      <c r="CY36" s="101">
        <f t="shared" si="96"/>
        <v>69</v>
      </c>
      <c r="CZ36" s="102">
        <f t="shared" si="84"/>
        <v>69</v>
      </c>
      <c r="DA36" s="79">
        <v>0.1</v>
      </c>
      <c r="DB36" s="103">
        <f t="shared" si="97"/>
        <v>-72.285198143257375</v>
      </c>
      <c r="DC36" s="107">
        <f t="shared" si="85"/>
        <v>69</v>
      </c>
      <c r="DD36" s="33"/>
      <c r="DE36" s="107">
        <f t="shared" si="104"/>
        <v>5740</v>
      </c>
      <c r="DF36" s="105">
        <f t="shared" si="98"/>
        <v>69</v>
      </c>
      <c r="DG36" s="105">
        <f t="shared" si="99"/>
        <v>69</v>
      </c>
      <c r="DI36" s="66">
        <f t="shared" si="20"/>
        <v>1</v>
      </c>
      <c r="DL36" s="106"/>
      <c r="DM36" s="106"/>
      <c r="DT36" s="14">
        <f t="shared" si="46"/>
        <v>2952.569696549815</v>
      </c>
      <c r="DU36" s="14">
        <v>19861.298355492483</v>
      </c>
      <c r="DV36" s="14">
        <f t="shared" si="77"/>
        <v>16908.728658942669</v>
      </c>
      <c r="DX36" s="14">
        <f t="shared" si="47"/>
        <v>3442.1522925360655</v>
      </c>
      <c r="DY36" s="14">
        <v>26393.298355492483</v>
      </c>
      <c r="DZ36" s="14">
        <f t="shared" si="78"/>
        <v>22951.146062956417</v>
      </c>
      <c r="EH36" s="14">
        <f t="shared" si="49"/>
        <v>420.58259598625051</v>
      </c>
      <c r="EK36" s="89">
        <f t="shared" si="50"/>
        <v>1</v>
      </c>
      <c r="EM36" s="67"/>
      <c r="EN36" s="67">
        <f t="shared" si="51"/>
        <v>2.9525696965498152</v>
      </c>
      <c r="EO36" s="67">
        <f t="shared" si="22"/>
        <v>6.9000000000000006E-2</v>
      </c>
      <c r="EP36" s="67">
        <f t="shared" si="23"/>
        <v>0.42058259598625053</v>
      </c>
      <c r="EQ36" s="67">
        <f t="shared" si="24"/>
        <v>0.21494146950138945</v>
      </c>
      <c r="EU36" s="66">
        <f t="shared" si="25"/>
        <v>0</v>
      </c>
      <c r="EX36" s="14">
        <f t="shared" si="27"/>
        <v>420.58259598625051</v>
      </c>
      <c r="EZ36" s="14">
        <f t="shared" si="52"/>
        <v>0</v>
      </c>
      <c r="FA36" s="14">
        <f t="shared" si="53"/>
        <v>2.1010273079223922</v>
      </c>
      <c r="FC36" s="14">
        <f t="shared" si="54"/>
        <v>24179.18301088073</v>
      </c>
      <c r="FD36" s="66">
        <f t="shared" si="55"/>
        <v>0.88861409286668347</v>
      </c>
      <c r="FF36" s="14">
        <f t="shared" si="26"/>
        <v>24000</v>
      </c>
    </row>
    <row r="37" spans="2:162" x14ac:dyDescent="0.2">
      <c r="B37" s="4">
        <v>2016</v>
      </c>
      <c r="C37" s="71"/>
      <c r="D37" s="71"/>
      <c r="E37" s="71"/>
      <c r="F37" s="110"/>
      <c r="G37" s="14"/>
      <c r="H37" s="14"/>
      <c r="I37" s="14"/>
      <c r="J37" s="14">
        <f t="shared" ref="J37:J46" si="106">SUM(G37:I37)</f>
        <v>0</v>
      </c>
      <c r="L37" s="72">
        <f>'Bayesian Sum (10Feb26)'!K32</f>
        <v>12998</v>
      </c>
      <c r="M37" s="116">
        <f t="shared" si="29"/>
        <v>0</v>
      </c>
      <c r="N37" s="56">
        <f>'Data-Coastal-Chin-Esc (new)'!J44</f>
        <v>0</v>
      </c>
      <c r="O37" s="74" t="s">
        <v>107</v>
      </c>
      <c r="P37" s="14">
        <f>'Data-Coastal-Chin-Esc (new)'!AL44</f>
        <v>1695.5582816032083</v>
      </c>
      <c r="Q37" s="66">
        <f>P37/'A6-Chin (NEW2+Khutz)'!V37</f>
        <v>0.13333887830385185</v>
      </c>
      <c r="R37" s="5">
        <f>$Q37*'A6-Chin (NEW2+Khutz)'!R37</f>
        <v>0.26667775660770371</v>
      </c>
      <c r="S37" s="926">
        <f>'Data-Nisga''a Angling'!A21</f>
        <v>36</v>
      </c>
      <c r="T37" s="14">
        <f t="shared" si="57"/>
        <v>36.266677756607706</v>
      </c>
      <c r="U37" s="116">
        <f t="shared" si="90"/>
        <v>1.5398655341373728E-4</v>
      </c>
      <c r="V37" s="14">
        <f t="shared" si="3"/>
        <v>1695.5582816032083</v>
      </c>
      <c r="W37" s="110"/>
      <c r="X37" s="111">
        <f t="shared" si="31"/>
        <v>0</v>
      </c>
      <c r="Y37" s="111">
        <f t="shared" si="32"/>
        <v>0.26667775660770371</v>
      </c>
      <c r="Z37" s="111">
        <f t="shared" si="32"/>
        <v>36</v>
      </c>
      <c r="AA37" s="111">
        <f t="shared" si="4"/>
        <v>36.266677756607706</v>
      </c>
      <c r="AB37" s="110"/>
      <c r="AC37" s="14">
        <f>$Q37*'A6-Chin (NEW2+Khutz)'!AC37</f>
        <v>114.18928195736586</v>
      </c>
      <c r="AD37" s="14">
        <f>$Q37*'A6-Chin (NEW2+Khutz)'!AD37</f>
        <v>101.87090302414282</v>
      </c>
      <c r="AE37" s="14">
        <f t="shared" si="58"/>
        <v>216.06018498150868</v>
      </c>
      <c r="AF37" s="110"/>
      <c r="AJ37" s="14">
        <f t="shared" si="33"/>
        <v>1947.8851443413248</v>
      </c>
      <c r="AK37" s="66">
        <f>AJ37/'A6-Chin (NEW2+Khutz)'!AJ37</f>
        <v>9.6386334323279241E-2</v>
      </c>
      <c r="AL37" s="14">
        <f>AK37*'A6-Chin (NEW2+Khutz)'!AK37</f>
        <v>162.31458700040224</v>
      </c>
      <c r="AM37" s="111">
        <f t="shared" si="59"/>
        <v>2110.2961176760505</v>
      </c>
      <c r="AN37" s="113">
        <v>1240</v>
      </c>
      <c r="AO37" s="14">
        <f>'[1]Data-FW Catch Rates - new'!CE31</f>
        <v>9379.17808219178</v>
      </c>
      <c r="AP37" s="117">
        <f t="shared" si="34"/>
        <v>0</v>
      </c>
      <c r="AQ37" s="60">
        <f t="shared" si="35"/>
        <v>8</v>
      </c>
      <c r="AR37" s="59"/>
      <c r="AS37" s="77">
        <f t="shared" si="36"/>
        <v>0.19648496069600876</v>
      </c>
      <c r="AT37" s="61">
        <f t="shared" si="60"/>
        <v>0</v>
      </c>
      <c r="AU37" s="61">
        <f t="shared" si="37"/>
        <v>0</v>
      </c>
      <c r="AV37" s="61">
        <f t="shared" si="38"/>
        <v>0</v>
      </c>
      <c r="AW37" s="61"/>
      <c r="AX37" s="33"/>
      <c r="AY37" s="61">
        <f t="shared" si="39"/>
        <v>1.7059217281622428E-2</v>
      </c>
      <c r="AZ37" s="61">
        <f t="shared" si="40"/>
        <v>5.4110549226198665E-2</v>
      </c>
      <c r="BA37" s="61">
        <f t="shared" si="41"/>
        <v>4.8399643976613504E-2</v>
      </c>
      <c r="BB37" s="61">
        <f t="shared" si="42"/>
        <v>0</v>
      </c>
      <c r="BC37" s="61">
        <f t="shared" si="61"/>
        <v>0.1195694104844346</v>
      </c>
      <c r="BD37" s="61">
        <f>AL37/AM37</f>
        <v>7.6915550211574146E-2</v>
      </c>
      <c r="BE37" s="78">
        <f t="shared" si="43"/>
        <v>0.19648496069600876</v>
      </c>
      <c r="BF37" s="17"/>
      <c r="BG37" s="17"/>
      <c r="BH37" s="22">
        <f>'[1]Data-PSC CH Tables'!C31</f>
        <v>9037.17808219178</v>
      </c>
      <c r="BI37" s="22">
        <f>'[1]Data-PSC CH Tables'!AG31</f>
        <v>17684.644545797615</v>
      </c>
      <c r="BJ37" s="22">
        <f>'[1]Data-PSC CH Tables'!AI31</f>
        <v>19368.644545797615</v>
      </c>
      <c r="BK37" s="17"/>
      <c r="BL37" s="22">
        <f t="shared" si="63"/>
        <v>9037.17808219178</v>
      </c>
      <c r="BM37" s="22">
        <f t="shared" si="64"/>
        <v>15736.759401456291</v>
      </c>
      <c r="BN37" s="22">
        <f t="shared" si="65"/>
        <v>17258.348428121564</v>
      </c>
      <c r="BP37" s="33"/>
      <c r="BQ37" s="33"/>
      <c r="BR37" s="33"/>
      <c r="BT37" s="62">
        <f t="shared" si="66"/>
        <v>114.18928195736586</v>
      </c>
      <c r="BU37" s="62">
        <f t="shared" si="10"/>
        <v>36</v>
      </c>
      <c r="BV37" s="62">
        <f t="shared" si="11"/>
        <v>0</v>
      </c>
      <c r="BW37" s="62">
        <f t="shared" si="12"/>
        <v>101.87090302414282</v>
      </c>
      <c r="BX37" s="62">
        <f t="shared" si="13"/>
        <v>0.26667775660770371</v>
      </c>
      <c r="BY37" s="62">
        <f t="shared" si="67"/>
        <v>252.32686273811638</v>
      </c>
      <c r="BZ37" s="62">
        <f t="shared" si="15"/>
        <v>1947.8851443413248</v>
      </c>
      <c r="CA37" s="79">
        <f t="shared" si="68"/>
        <v>0.1295388814228266</v>
      </c>
      <c r="CB37" s="79">
        <f t="shared" si="69"/>
        <v>0.85627103922641823</v>
      </c>
      <c r="CC37" s="79">
        <f t="shared" si="70"/>
        <v>0.14372896077358188</v>
      </c>
      <c r="CD37" s="79">
        <f t="shared" si="19"/>
        <v>0.39145769701210803</v>
      </c>
      <c r="CE37" s="33"/>
      <c r="CG37" s="36">
        <v>17695.774882339465</v>
      </c>
      <c r="CH37" s="36">
        <v>19379.774882339465</v>
      </c>
      <c r="CI37" s="81">
        <f t="shared" si="100"/>
        <v>-15747.889737998141</v>
      </c>
      <c r="CJ37" s="36">
        <f t="shared" si="101"/>
        <v>-17269.478764663414</v>
      </c>
      <c r="CK37" s="36">
        <v>10202.790882339465</v>
      </c>
      <c r="CL37" s="81">
        <f t="shared" si="73"/>
        <v>-8507.2326007362572</v>
      </c>
      <c r="CN37" s="33">
        <f t="shared" si="82"/>
        <v>2016</v>
      </c>
      <c r="CO37" s="96">
        <f t="shared" si="91"/>
        <v>1947.8851443413248</v>
      </c>
      <c r="CP37" s="97">
        <f t="shared" si="92"/>
        <v>0</v>
      </c>
      <c r="CQ37" s="97">
        <f t="shared" si="93"/>
        <v>409.05588031167821</v>
      </c>
      <c r="CR37" s="62">
        <f t="shared" si="94"/>
        <v>1695.5582816032083</v>
      </c>
      <c r="CS37" s="98" t="str">
        <f t="shared" si="83"/>
        <v>N</v>
      </c>
      <c r="CT37" s="114" t="str">
        <f t="shared" si="95"/>
        <v>N</v>
      </c>
      <c r="CU37" s="99">
        <f t="shared" si="102"/>
        <v>409.05588031167821</v>
      </c>
      <c r="CV37" s="100">
        <f t="shared" si="103"/>
        <v>0</v>
      </c>
      <c r="CW37" s="100">
        <f t="shared" si="105"/>
        <v>-589.38274304979461</v>
      </c>
      <c r="CX37" s="100"/>
      <c r="CY37" s="101">
        <f t="shared" si="96"/>
        <v>36</v>
      </c>
      <c r="CZ37" s="102">
        <f t="shared" si="84"/>
        <v>36</v>
      </c>
      <c r="DA37" s="79">
        <v>0.1</v>
      </c>
      <c r="DB37" s="103">
        <f t="shared" si="97"/>
        <v>-40.905588031167824</v>
      </c>
      <c r="DC37" s="107">
        <f t="shared" si="85"/>
        <v>36</v>
      </c>
      <c r="DD37" s="33"/>
      <c r="DE37" s="107">
        <f t="shared" si="104"/>
        <v>5776</v>
      </c>
      <c r="DF37" s="105">
        <f t="shared" si="98"/>
        <v>36</v>
      </c>
      <c r="DG37" s="105">
        <f t="shared" si="99"/>
        <v>36</v>
      </c>
      <c r="DI37" s="66">
        <f t="shared" si="20"/>
        <v>1</v>
      </c>
      <c r="DL37" s="106"/>
      <c r="DM37" s="106"/>
      <c r="DT37" s="14">
        <f t="shared" si="46"/>
        <v>1695.5582816032083</v>
      </c>
      <c r="DU37" s="14">
        <v>19861.298355492483</v>
      </c>
      <c r="DV37" s="14">
        <f t="shared" si="77"/>
        <v>18165.740073889276</v>
      </c>
      <c r="DX37" s="14">
        <f t="shared" si="47"/>
        <v>1947.8851443413248</v>
      </c>
      <c r="DY37" s="14">
        <v>26393.298355492483</v>
      </c>
      <c r="DZ37" s="14">
        <f t="shared" si="78"/>
        <v>24445.413211151157</v>
      </c>
      <c r="EH37" s="14">
        <f t="shared" si="49"/>
        <v>216.32686273811638</v>
      </c>
      <c r="EK37" s="89">
        <f t="shared" si="50"/>
        <v>1</v>
      </c>
      <c r="EM37" s="67"/>
      <c r="EN37" s="67">
        <f t="shared" si="51"/>
        <v>1.6955582816032084</v>
      </c>
      <c r="EO37" s="67">
        <f t="shared" si="22"/>
        <v>3.5999999999999997E-2</v>
      </c>
      <c r="EP37" s="67">
        <f t="shared" si="23"/>
        <v>0.21632686273811638</v>
      </c>
      <c r="EQ37" s="67">
        <f t="shared" si="24"/>
        <v>0.16231458700040224</v>
      </c>
      <c r="EU37" s="66">
        <f t="shared" si="25"/>
        <v>0</v>
      </c>
      <c r="EX37" s="14">
        <f t="shared" si="27"/>
        <v>216.32686273811638</v>
      </c>
      <c r="EZ37" s="14">
        <f t="shared" si="52"/>
        <v>0</v>
      </c>
      <c r="FA37" s="14">
        <f t="shared" si="53"/>
        <v>0.26667775660770371</v>
      </c>
      <c r="FC37" s="14">
        <f t="shared" si="54"/>
        <v>13364.558132686238</v>
      </c>
      <c r="FD37" s="66">
        <f t="shared" si="55"/>
        <v>0.88460533186667933</v>
      </c>
      <c r="FF37" s="14">
        <f t="shared" si="26"/>
        <v>13000</v>
      </c>
    </row>
    <row r="38" spans="2:162" ht="13.5" thickBot="1" x14ac:dyDescent="0.25">
      <c r="B38" s="4">
        <v>2017</v>
      </c>
      <c r="C38" s="71"/>
      <c r="D38" s="71"/>
      <c r="E38" s="71"/>
      <c r="F38" s="110"/>
      <c r="G38" s="14"/>
      <c r="H38" s="14"/>
      <c r="I38" s="14"/>
      <c r="J38" s="14">
        <f t="shared" si="106"/>
        <v>0</v>
      </c>
      <c r="L38" s="72">
        <f>'Bayesian Sum (10Feb26)'!K33</f>
        <v>7070</v>
      </c>
      <c r="M38" s="118">
        <f t="shared" si="29"/>
        <v>0</v>
      </c>
      <c r="N38" s="56">
        <f>'Data-Coastal-Chin-Esc (new)'!J45</f>
        <v>0</v>
      </c>
      <c r="O38" s="74" t="s">
        <v>107</v>
      </c>
      <c r="P38" s="14">
        <f>'Data-Coastal-Chin-Esc (new)'!AL45</f>
        <v>891.39661832864556</v>
      </c>
      <c r="Q38" s="66">
        <f>P38/'A6-Chin (NEW2+Khutz)'!V38</f>
        <v>0.13333887830385191</v>
      </c>
      <c r="R38" s="5">
        <f>$Q38*'A6-Chin (NEW2+Khutz)'!R38</f>
        <v>7.0669605501041515</v>
      </c>
      <c r="S38" s="926">
        <f>'Data-Nisga''a Angling'!A22</f>
        <v>14</v>
      </c>
      <c r="T38" s="14">
        <f>SUM(R38:S38)</f>
        <v>21.066960550104152</v>
      </c>
      <c r="U38" s="118">
        <f t="shared" si="90"/>
        <v>7.7449234289308838E-3</v>
      </c>
      <c r="V38" s="14">
        <f t="shared" si="3"/>
        <v>891.39661832864556</v>
      </c>
      <c r="W38" s="110"/>
      <c r="X38" s="14">
        <f t="shared" si="31"/>
        <v>0</v>
      </c>
      <c r="Y38" s="14">
        <f t="shared" si="32"/>
        <v>7.0669605501041515</v>
      </c>
      <c r="Z38" s="111">
        <f t="shared" si="32"/>
        <v>14</v>
      </c>
      <c r="AA38" s="111">
        <f t="shared" si="4"/>
        <v>21.066960550104152</v>
      </c>
      <c r="AB38" s="110"/>
      <c r="AC38" s="14">
        <f>$Q38*'A6-Chin (NEW2+Khutz)'!AC38</f>
        <v>180.69551432224796</v>
      </c>
      <c r="AD38" s="14">
        <f>$Q38*'A6-Chin (NEW2+Khutz)'!AD38</f>
        <v>103.47096956378908</v>
      </c>
      <c r="AE38" s="14">
        <f t="shared" si="58"/>
        <v>284.16648388603704</v>
      </c>
      <c r="AF38" s="110"/>
      <c r="AJ38" s="14">
        <f t="shared" si="33"/>
        <v>1196.6300627647868</v>
      </c>
      <c r="AK38" s="66">
        <f>AJ38/'A6-Chin (NEW2+Khutz)'!AJ38</f>
        <v>9.3637739246476129E-2</v>
      </c>
      <c r="AL38" s="14">
        <f>AK38*'A6-Chin (NEW2+Khutz)'!AK38</f>
        <v>63.860938166096723</v>
      </c>
      <c r="AM38" s="111">
        <f t="shared" si="59"/>
        <v>1260.5846386701301</v>
      </c>
      <c r="AN38" s="113">
        <v>325</v>
      </c>
      <c r="AO38" s="14">
        <f>'[1]Data-FW Catch Rates - new'!CE32</f>
        <v>4567.583333333333</v>
      </c>
      <c r="AP38" s="117">
        <f t="shared" si="34"/>
        <v>0</v>
      </c>
      <c r="AQ38" s="60">
        <f t="shared" si="35"/>
        <v>1</v>
      </c>
      <c r="AR38" s="59"/>
      <c r="AS38" s="77">
        <f t="shared" si="36"/>
        <v>0.29279619256000039</v>
      </c>
      <c r="AT38" s="61">
        <f t="shared" si="60"/>
        <v>0</v>
      </c>
      <c r="AU38" s="61">
        <f>H38/$L38</f>
        <v>0</v>
      </c>
      <c r="AV38" s="61">
        <f t="shared" si="38"/>
        <v>0</v>
      </c>
      <c r="AW38" s="61"/>
      <c r="AX38" s="33"/>
      <c r="AY38" s="61">
        <f t="shared" si="39"/>
        <v>1.1105957958340251E-2</v>
      </c>
      <c r="AZ38" s="61">
        <f t="shared" si="40"/>
        <v>0.14334262752311103</v>
      </c>
      <c r="BA38" s="61">
        <f t="shared" si="41"/>
        <v>8.7687828903346504E-2</v>
      </c>
      <c r="BB38" s="61">
        <f t="shared" si="42"/>
        <v>0</v>
      </c>
      <c r="BC38" s="61">
        <f t="shared" si="61"/>
        <v>0.2421364143847978</v>
      </c>
      <c r="BD38" s="61">
        <f>AL38/AM38</f>
        <v>5.0659778175202612E-2</v>
      </c>
      <c r="BE38" s="78">
        <f t="shared" si="43"/>
        <v>0.29279619256000039</v>
      </c>
      <c r="BF38" s="17"/>
      <c r="BG38" s="17"/>
      <c r="BH38" s="22">
        <f>'[1]Data-PSC CH Tables'!C32</f>
        <v>4419.2475499677621</v>
      </c>
      <c r="BI38" s="22">
        <f>'[1]Data-PSC CH Tables'!AG32</f>
        <v>11077.95809355221</v>
      </c>
      <c r="BJ38" s="22">
        <f>'[1]Data-PSC CH Tables'!AI32</f>
        <v>11759.95809355221</v>
      </c>
      <c r="BK38" s="17"/>
      <c r="BL38" s="22">
        <f t="shared" si="63"/>
        <v>4419.2475499677621</v>
      </c>
      <c r="BM38" s="22">
        <f t="shared" si="64"/>
        <v>9881.3280307874229</v>
      </c>
      <c r="BN38" s="22">
        <f t="shared" si="65"/>
        <v>10499.373454882079</v>
      </c>
      <c r="BP38" s="33"/>
      <c r="BQ38" s="33"/>
      <c r="BR38" s="33"/>
      <c r="BT38" s="62">
        <f t="shared" si="66"/>
        <v>180.69551432224796</v>
      </c>
      <c r="BU38" s="62">
        <f t="shared" si="10"/>
        <v>14</v>
      </c>
      <c r="BV38" s="62">
        <f t="shared" si="11"/>
        <v>0</v>
      </c>
      <c r="BW38" s="62">
        <f t="shared" si="12"/>
        <v>103.47096956378908</v>
      </c>
      <c r="BX38" s="62">
        <f t="shared" si="13"/>
        <v>7.0669605501041515</v>
      </c>
      <c r="BY38" s="62">
        <f t="shared" si="67"/>
        <v>305.23344443614121</v>
      </c>
      <c r="BZ38" s="62">
        <f t="shared" si="15"/>
        <v>1196.6300627647868</v>
      </c>
      <c r="CA38" s="79">
        <f t="shared" si="68"/>
        <v>0.25507753309398412</v>
      </c>
      <c r="CB38" s="79">
        <f t="shared" si="69"/>
        <v>0.93098082489282508</v>
      </c>
      <c r="CC38" s="79">
        <f t="shared" si="70"/>
        <v>6.901917510717484E-2</v>
      </c>
      <c r="CD38" s="79">
        <f t="shared" si="19"/>
        <v>0.17302061796729581</v>
      </c>
      <c r="CE38" s="33"/>
      <c r="CG38" s="36">
        <v>11083.400911215593</v>
      </c>
      <c r="CH38" s="36">
        <v>11765.400911215593</v>
      </c>
      <c r="CI38" s="81">
        <f t="shared" si="100"/>
        <v>-9886.7708484508057</v>
      </c>
      <c r="CJ38" s="36">
        <f t="shared" si="101"/>
        <v>-10504.816272545462</v>
      </c>
      <c r="CK38" s="36">
        <v>4989.2409112155929</v>
      </c>
      <c r="CL38" s="81">
        <f t="shared" si="73"/>
        <v>-4097.8442928869472</v>
      </c>
      <c r="CN38" s="33">
        <f t="shared" si="82"/>
        <v>2017</v>
      </c>
      <c r="CO38" s="96">
        <f t="shared" si="91"/>
        <v>1196.6300627647868</v>
      </c>
      <c r="CP38" s="97">
        <f t="shared" si="92"/>
        <v>0</v>
      </c>
      <c r="CQ38" s="97">
        <f t="shared" si="93"/>
        <v>251.29231318060522</v>
      </c>
      <c r="CR38" s="62">
        <f t="shared" si="94"/>
        <v>891.39661832864556</v>
      </c>
      <c r="CS38" s="98" t="str">
        <f t="shared" si="83"/>
        <v>N</v>
      </c>
      <c r="CT38" s="114" t="str">
        <f t="shared" si="95"/>
        <v>N</v>
      </c>
      <c r="CU38" s="99">
        <f t="shared" si="102"/>
        <v>251.29231318060522</v>
      </c>
      <c r="CV38" s="100">
        <f t="shared" si="103"/>
        <v>0</v>
      </c>
      <c r="CW38" s="100">
        <f t="shared" si="105"/>
        <v>-528.52575761674643</v>
      </c>
      <c r="CX38" s="100"/>
      <c r="CY38" s="101">
        <f t="shared" si="96"/>
        <v>14</v>
      </c>
      <c r="CZ38" s="102">
        <f t="shared" si="84"/>
        <v>14</v>
      </c>
      <c r="DA38" s="79">
        <v>0.1</v>
      </c>
      <c r="DB38" s="103">
        <f t="shared" si="97"/>
        <v>-25.129231318060523</v>
      </c>
      <c r="DC38" s="107">
        <f t="shared" si="85"/>
        <v>14</v>
      </c>
      <c r="DD38" s="33"/>
      <c r="DE38" s="107">
        <f t="shared" si="104"/>
        <v>5790</v>
      </c>
      <c r="DF38" s="105">
        <f t="shared" si="98"/>
        <v>14</v>
      </c>
      <c r="DG38" s="105">
        <f t="shared" si="99"/>
        <v>14</v>
      </c>
      <c r="DI38" s="66">
        <f t="shared" si="20"/>
        <v>1</v>
      </c>
      <c r="DL38" s="106"/>
      <c r="DM38" s="106"/>
      <c r="DT38" s="14">
        <f t="shared" si="46"/>
        <v>891.39661832864556</v>
      </c>
      <c r="DU38" s="14">
        <v>19861.298355492483</v>
      </c>
      <c r="DV38" s="14">
        <f>DU38-DT38</f>
        <v>18969.901737163837</v>
      </c>
      <c r="DX38" s="14">
        <f t="shared" si="47"/>
        <v>1196.6300627647868</v>
      </c>
      <c r="DY38" s="14">
        <v>26393.298355492483</v>
      </c>
      <c r="DZ38" s="14">
        <f>DY38-DX38</f>
        <v>25196.668292727696</v>
      </c>
      <c r="EH38" s="14">
        <f t="shared" si="49"/>
        <v>291.23344443614121</v>
      </c>
      <c r="EK38" s="89">
        <f t="shared" si="50"/>
        <v>1</v>
      </c>
      <c r="EM38" s="67"/>
      <c r="EN38" s="67">
        <f t="shared" si="51"/>
        <v>0.89139661832864558</v>
      </c>
      <c r="EO38" s="67">
        <f t="shared" si="22"/>
        <v>1.4E-2</v>
      </c>
      <c r="EP38" s="67">
        <f t="shared" si="23"/>
        <v>0.29123344443614119</v>
      </c>
      <c r="EQ38" s="67">
        <f t="shared" si="24"/>
        <v>6.3860938166096726E-2</v>
      </c>
      <c r="EU38" s="66">
        <f t="shared" si="25"/>
        <v>0</v>
      </c>
      <c r="EX38" s="14">
        <f t="shared" si="27"/>
        <v>291.23344443614121</v>
      </c>
      <c r="EZ38" s="14">
        <f t="shared" si="52"/>
        <v>0</v>
      </c>
      <c r="FA38" s="14">
        <f t="shared" si="53"/>
        <v>7.0669605501041515</v>
      </c>
      <c r="FC38" s="14">
        <f t="shared" si="54"/>
        <v>7391.493074219673</v>
      </c>
      <c r="FD38" s="66">
        <f t="shared" si="55"/>
        <v>0.8880351449547832</v>
      </c>
      <c r="FF38" s="14">
        <f t="shared" si="26"/>
        <v>7000</v>
      </c>
    </row>
    <row r="39" spans="2:162" x14ac:dyDescent="0.2">
      <c r="B39" s="4">
        <v>2018</v>
      </c>
      <c r="C39" s="71"/>
      <c r="D39" s="71"/>
      <c r="E39" s="71"/>
      <c r="F39" s="110"/>
      <c r="G39" s="14"/>
      <c r="H39" s="119"/>
      <c r="I39" s="14"/>
      <c r="J39" s="14">
        <f t="shared" si="106"/>
        <v>0</v>
      </c>
      <c r="L39" s="72">
        <f>'Bayesian Sum (10Feb26)'!K34</f>
        <v>20083</v>
      </c>
      <c r="M39" s="120">
        <f>H39/L39</f>
        <v>0</v>
      </c>
      <c r="N39" s="56">
        <f>'Data-Coastal-Chin-Esc (new)'!J46</f>
        <v>542.5286904897755</v>
      </c>
      <c r="O39" s="74">
        <f t="shared" si="56"/>
        <v>5.0723610136350548</v>
      </c>
      <c r="P39" s="14">
        <f>'Data-Coastal-Chin-Esc (new)'!AL46</f>
        <v>2751.9013784188164</v>
      </c>
      <c r="Q39" s="66">
        <f>P39/'A6-Chin (NEW2+Khutz)'!V39</f>
        <v>0.1333388783038516</v>
      </c>
      <c r="R39" s="5">
        <f>$Q39*'A6-Chin (NEW2+Khutz)'!R39</f>
        <v>3.2043261540284305</v>
      </c>
      <c r="S39" s="926">
        <f>'Data-Nisga''a Angling'!A23</f>
        <v>47</v>
      </c>
      <c r="T39" s="14">
        <f t="shared" si="57"/>
        <v>50.204326154028429</v>
      </c>
      <c r="U39" s="120">
        <f>R39/SUM(T39,P39)</f>
        <v>1.1435422114159325E-3</v>
      </c>
      <c r="V39" s="14">
        <f t="shared" si="3"/>
        <v>2751.9013784188164</v>
      </c>
      <c r="W39" s="110"/>
      <c r="X39" s="14">
        <f t="shared" si="31"/>
        <v>0</v>
      </c>
      <c r="Y39" s="14">
        <f t="shared" ref="Y39:Z46" si="107">SUM(H39,R39)</f>
        <v>3.2043261540284305</v>
      </c>
      <c r="Z39" s="111">
        <f t="shared" si="107"/>
        <v>47</v>
      </c>
      <c r="AA39" s="111">
        <f t="shared" si="4"/>
        <v>50.204326154028429</v>
      </c>
      <c r="AB39" s="110"/>
      <c r="AC39" s="14">
        <f>$Q39*'A6-Chin (NEW2+Khutz)'!AC39</f>
        <v>47.153960923374079</v>
      </c>
      <c r="AD39" s="14">
        <f>$Q39*'A6-Chin (NEW2+Khutz)'!AD39</f>
        <v>31.60131415801283</v>
      </c>
      <c r="AE39" s="14">
        <f t="shared" si="58"/>
        <v>78.755275081386912</v>
      </c>
      <c r="AF39" s="110"/>
      <c r="AJ39" s="14">
        <f t="shared" si="33"/>
        <v>2880.8609796542319</v>
      </c>
      <c r="AK39" s="66">
        <f>AJ39/'A6-Chin (NEW2+Khutz)'!AJ39</f>
        <v>0.10616479641708568</v>
      </c>
      <c r="AL39" s="14">
        <f>AK39*'A6-Chin (NEW2+Khutz)'!AK39</f>
        <v>134.72621039142336</v>
      </c>
      <c r="AM39" s="111">
        <f t="shared" ref="AM39:AM46" si="108">SUM(AJ39:AL39)</f>
        <v>3015.693354842072</v>
      </c>
      <c r="AN39" s="113">
        <v>697</v>
      </c>
      <c r="AO39" s="14">
        <f>'[1]Data-FW Catch Rates - new'!CE33</f>
        <v>14639.500664740754</v>
      </c>
      <c r="AP39" s="117">
        <f>X39/AO39</f>
        <v>0</v>
      </c>
      <c r="AQ39" s="60">
        <f t="shared" si="35"/>
        <v>20</v>
      </c>
      <c r="AR39" s="59"/>
      <c r="AS39" s="77">
        <f t="shared" si="36"/>
        <v>8.7437872688036475E-2</v>
      </c>
      <c r="AT39" s="61">
        <f t="shared" si="60"/>
        <v>0</v>
      </c>
      <c r="AU39" s="61">
        <f t="shared" si="37"/>
        <v>0</v>
      </c>
      <c r="AV39" s="61">
        <f t="shared" si="38"/>
        <v>0</v>
      </c>
      <c r="AW39" s="61"/>
      <c r="AX39" s="33"/>
      <c r="AY39" s="61">
        <f t="shared" si="39"/>
        <v>1.5585138961338903E-2</v>
      </c>
      <c r="AZ39" s="61">
        <f>AC39/$AM39</f>
        <v>1.5636192203581478E-2</v>
      </c>
      <c r="BA39" s="61">
        <f t="shared" si="41"/>
        <v>1.1541505125564728E-2</v>
      </c>
      <c r="BB39" s="61">
        <f t="shared" si="42"/>
        <v>0</v>
      </c>
      <c r="BC39" s="61">
        <f t="shared" si="61"/>
        <v>4.2762836290485107E-2</v>
      </c>
      <c r="BD39" s="61">
        <f>BD$53</f>
        <v>4.4674676120675154E-2</v>
      </c>
      <c r="BE39" s="78">
        <f t="shared" si="43"/>
        <v>8.7437872688036475E-2</v>
      </c>
      <c r="BF39" s="17"/>
      <c r="BG39" s="17"/>
      <c r="BH39" s="22">
        <f>'[1]Data-PSC CH Tables'!C33</f>
        <v>14470</v>
      </c>
      <c r="BI39" s="22">
        <f>'[1]Data-PSC CH Tables'!AG33</f>
        <v>22814.743227555235</v>
      </c>
      <c r="BJ39" s="22">
        <f>'[1]Data-PSC CH Tables'!AI33</f>
        <v>23972.759764732047</v>
      </c>
      <c r="BK39" s="17"/>
      <c r="BL39" s="22">
        <f t="shared" si="63"/>
        <v>14470</v>
      </c>
      <c r="BM39" s="22">
        <f t="shared" si="64"/>
        <v>19933.882247901001</v>
      </c>
      <c r="BN39" s="22">
        <f t="shared" si="65"/>
        <v>20957.066409889976</v>
      </c>
      <c r="BP39" s="33"/>
      <c r="BQ39" s="33"/>
      <c r="BR39" s="33"/>
      <c r="BT39" s="62">
        <f t="shared" si="66"/>
        <v>47.153960923374079</v>
      </c>
      <c r="BU39" s="62">
        <f t="shared" si="10"/>
        <v>47</v>
      </c>
      <c r="BV39" s="62">
        <f t="shared" si="11"/>
        <v>0</v>
      </c>
      <c r="BW39" s="62">
        <f t="shared" si="12"/>
        <v>31.60131415801283</v>
      </c>
      <c r="BX39" s="62">
        <f t="shared" si="13"/>
        <v>3.2043261540284305</v>
      </c>
      <c r="BY39" s="62">
        <f t="shared" si="67"/>
        <v>128.95960123541533</v>
      </c>
      <c r="BZ39" s="62">
        <f t="shared" si="15"/>
        <v>2880.8609796542319</v>
      </c>
      <c r="CA39" s="79">
        <f t="shared" si="68"/>
        <v>4.4764256986428198E-2</v>
      </c>
      <c r="CB39" s="79">
        <f t="shared" si="69"/>
        <v>0.61069725966056154</v>
      </c>
      <c r="CC39" s="79">
        <f t="shared" si="70"/>
        <v>0.38930274033943851</v>
      </c>
      <c r="CD39" s="79">
        <f t="shared" si="19"/>
        <v>0.51093462162493741</v>
      </c>
      <c r="CE39" s="33"/>
      <c r="CG39" s="36">
        <v>22832.598312709997</v>
      </c>
      <c r="CH39" s="36">
        <v>23990.769389826299</v>
      </c>
      <c r="CI39" s="81">
        <f t="shared" si="100"/>
        <v>-19951.737333055764</v>
      </c>
      <c r="CJ39" s="36">
        <f t="shared" si="101"/>
        <v>-20975.076034984228</v>
      </c>
      <c r="CK39" s="36">
        <v>16336.336710944441</v>
      </c>
      <c r="CL39" s="81">
        <f t="shared" si="73"/>
        <v>-13584.435332525623</v>
      </c>
      <c r="CN39" s="33">
        <f t="shared" si="82"/>
        <v>2018</v>
      </c>
      <c r="CO39" s="96">
        <f t="shared" si="91"/>
        <v>2880.8609796542319</v>
      </c>
      <c r="CP39" s="97">
        <f t="shared" si="92"/>
        <v>0</v>
      </c>
      <c r="CQ39" s="97">
        <f t="shared" si="93"/>
        <v>604.98080572738866</v>
      </c>
      <c r="CR39" s="62">
        <f t="shared" si="94"/>
        <v>2751.9013784188164</v>
      </c>
      <c r="CS39" s="98" t="str">
        <f t="shared" si="83"/>
        <v>N</v>
      </c>
      <c r="CT39" s="114" t="str">
        <f t="shared" si="95"/>
        <v>N</v>
      </c>
      <c r="CU39" s="99">
        <f t="shared" si="102"/>
        <v>604.98080572738866</v>
      </c>
      <c r="CV39" s="100">
        <f t="shared" si="103"/>
        <v>0</v>
      </c>
      <c r="CW39" s="100">
        <f t="shared" si="105"/>
        <v>-639.94040696280399</v>
      </c>
      <c r="CX39" s="100"/>
      <c r="CY39" s="101">
        <f t="shared" si="96"/>
        <v>47</v>
      </c>
      <c r="CZ39" s="102">
        <f t="shared" si="84"/>
        <v>47</v>
      </c>
      <c r="DA39" s="79">
        <v>0.1</v>
      </c>
      <c r="DB39" s="103">
        <f t="shared" si="97"/>
        <v>-60.498080572738871</v>
      </c>
      <c r="DC39" s="107">
        <f t="shared" si="85"/>
        <v>47</v>
      </c>
      <c r="DD39" s="33"/>
      <c r="DE39" s="107">
        <f t="shared" si="104"/>
        <v>5837</v>
      </c>
      <c r="DF39" s="105">
        <f t="shared" si="98"/>
        <v>47</v>
      </c>
      <c r="DG39" s="105">
        <f t="shared" si="99"/>
        <v>47</v>
      </c>
      <c r="DI39" s="66">
        <f t="shared" si="20"/>
        <v>1</v>
      </c>
      <c r="DL39" s="106"/>
      <c r="DM39" s="106"/>
      <c r="DT39" s="14">
        <f t="shared" si="46"/>
        <v>2751.9013784188164</v>
      </c>
      <c r="DU39" s="14">
        <v>19861.298355492483</v>
      </c>
      <c r="DV39" s="14">
        <f>DU39-DT39</f>
        <v>17109.396977073666</v>
      </c>
      <c r="DX39" s="14">
        <f t="shared" si="47"/>
        <v>2880.8609796542319</v>
      </c>
      <c r="DY39" s="14">
        <v>26393.298355492483</v>
      </c>
      <c r="DZ39" s="14">
        <f>DY39-DX39</f>
        <v>23512.43737583825</v>
      </c>
      <c r="EH39" s="14">
        <f t="shared" si="49"/>
        <v>81.959601235415349</v>
      </c>
      <c r="EK39" s="89">
        <f t="shared" si="50"/>
        <v>1</v>
      </c>
      <c r="EM39" s="67"/>
      <c r="EN39" s="67">
        <f t="shared" si="51"/>
        <v>2.7519013784188164</v>
      </c>
      <c r="EO39" s="67">
        <f t="shared" si="22"/>
        <v>4.7E-2</v>
      </c>
      <c r="EP39" s="67">
        <f t="shared" si="23"/>
        <v>8.1959601235415347E-2</v>
      </c>
      <c r="EQ39" s="67">
        <f t="shared" si="24"/>
        <v>0.13472621039142335</v>
      </c>
      <c r="EU39" s="66">
        <f t="shared" si="25"/>
        <v>0</v>
      </c>
      <c r="EX39" s="14">
        <f t="shared" si="27"/>
        <v>81.959601235415334</v>
      </c>
      <c r="EZ39" s="14">
        <f t="shared" si="52"/>
        <v>0</v>
      </c>
      <c r="FA39" s="14">
        <f t="shared" si="53"/>
        <v>3.2043261540284305</v>
      </c>
      <c r="FC39" s="14">
        <f t="shared" si="54"/>
        <v>20312.090092663788</v>
      </c>
      <c r="FD39" s="66">
        <f t="shared" si="55"/>
        <v>0.87948704779519526</v>
      </c>
      <c r="FF39" s="14">
        <f t="shared" si="26"/>
        <v>20000</v>
      </c>
    </row>
    <row r="40" spans="2:162" x14ac:dyDescent="0.2">
      <c r="B40" s="4">
        <v>2019</v>
      </c>
      <c r="C40" s="71"/>
      <c r="D40" s="71"/>
      <c r="E40" s="71"/>
      <c r="F40" s="110"/>
      <c r="G40" s="14"/>
      <c r="H40" s="119"/>
      <c r="I40" s="14"/>
      <c r="J40" s="14">
        <f t="shared" si="106"/>
        <v>0</v>
      </c>
      <c r="L40" s="72">
        <f>'Bayesian Sum (10Feb26)'!K35</f>
        <v>14318</v>
      </c>
      <c r="M40" s="120">
        <f t="shared" si="29"/>
        <v>0</v>
      </c>
      <c r="N40" s="56">
        <f>'Data-Coastal-Chin-Esc (new)'!J47</f>
        <v>1001.9674013549908</v>
      </c>
      <c r="O40" s="74">
        <f t="shared" si="56"/>
        <v>2.885164704693179</v>
      </c>
      <c r="P40" s="14">
        <f>'Data-Coastal-Chin-Esc (new)'!AL47</f>
        <v>2890.8409816425637</v>
      </c>
      <c r="Q40" s="66">
        <f>P40/'A6-Chin (NEW2+Khutz)'!V40</f>
        <v>0.19794385759012464</v>
      </c>
      <c r="R40" s="5">
        <f>$Q40*'A6-Chin (NEW2+Khutz)'!R40</f>
        <v>5.4162051131711131</v>
      </c>
      <c r="S40" s="926">
        <f>'Data-Nisga''a Angling'!A24</f>
        <v>72</v>
      </c>
      <c r="T40" s="14">
        <f t="shared" si="57"/>
        <v>77.416205113171117</v>
      </c>
      <c r="U40" s="120">
        <f t="shared" si="90"/>
        <v>1.8247088349816992E-3</v>
      </c>
      <c r="V40" s="14">
        <f t="shared" si="3"/>
        <v>2890.8409816425637</v>
      </c>
      <c r="W40" s="110"/>
      <c r="X40" s="14">
        <f t="shared" si="31"/>
        <v>0</v>
      </c>
      <c r="Y40" s="14">
        <f t="shared" si="107"/>
        <v>5.4162051131711131</v>
      </c>
      <c r="Z40" s="111">
        <f t="shared" si="107"/>
        <v>72</v>
      </c>
      <c r="AA40" s="111">
        <f t="shared" si="4"/>
        <v>77.416205113171117</v>
      </c>
      <c r="AB40" s="110"/>
      <c r="AC40" s="14">
        <f>$Q40*'A6-Chin (NEW2+Khutz)'!AC40</f>
        <v>72.224171206623964</v>
      </c>
      <c r="AD40" s="14">
        <f>$Q40*'A6-Chin (NEW2+Khutz)'!AD40</f>
        <v>173.99265082171956</v>
      </c>
      <c r="AE40" s="14">
        <f t="shared" si="58"/>
        <v>246.21682202834353</v>
      </c>
      <c r="AF40" s="110"/>
      <c r="AJ40" s="14">
        <f t="shared" si="33"/>
        <v>3214.4740087840783</v>
      </c>
      <c r="AK40" s="66">
        <f>AJ40/'A6-Chin (NEW2+Khutz)'!AJ40</f>
        <v>0.14024963944093549</v>
      </c>
      <c r="AL40" s="14">
        <f>AK40*'A6-Chin (NEW2+Khutz)'!AK40</f>
        <v>150.32794177287383</v>
      </c>
      <c r="AM40" s="111">
        <f t="shared" si="108"/>
        <v>3364.9422001963931</v>
      </c>
      <c r="AN40" s="113">
        <v>681</v>
      </c>
      <c r="AO40" s="14">
        <f>'[1]Data-FW Catch Rates - new'!CE34</f>
        <v>9264.5070230756537</v>
      </c>
      <c r="AP40" s="123">
        <f>AVERAGE(AP35:AP39)</f>
        <v>0</v>
      </c>
      <c r="AQ40" s="60">
        <f t="shared" si="35"/>
        <v>10</v>
      </c>
      <c r="AR40" s="59"/>
      <c r="AS40" s="77">
        <f t="shared" si="36"/>
        <v>0.14085263303682483</v>
      </c>
      <c r="AT40" s="61">
        <f>I40/L40</f>
        <v>0</v>
      </c>
      <c r="AU40" s="61">
        <f>H40/$L40</f>
        <v>0</v>
      </c>
      <c r="AV40" s="61">
        <f>J40/$L40</f>
        <v>0</v>
      </c>
      <c r="AW40" s="61"/>
      <c r="AX40" s="33"/>
      <c r="AY40" s="61">
        <f>Z40/$AM40</f>
        <v>2.1397098587844318E-2</v>
      </c>
      <c r="AZ40" s="61">
        <f t="shared" si="40"/>
        <v>2.1463718218520556E-2</v>
      </c>
      <c r="BA40" s="61">
        <f>SUM(Y40,AD40)/$AM40</f>
        <v>5.331706913848909E-2</v>
      </c>
      <c r="BB40" s="61">
        <f>X40/AM40</f>
        <v>0</v>
      </c>
      <c r="BC40" s="61">
        <f t="shared" si="61"/>
        <v>9.617788594485395E-2</v>
      </c>
      <c r="BD40" s="61">
        <f>BD$53</f>
        <v>4.4674676120675154E-2</v>
      </c>
      <c r="BE40" s="78">
        <f t="shared" si="43"/>
        <v>0.14085263303682483</v>
      </c>
      <c r="BF40" s="17"/>
      <c r="BG40" s="17"/>
      <c r="BH40" s="22">
        <f>'[1]Data-PSC CH Tables'!C34</f>
        <v>10492.571428571428</v>
      </c>
      <c r="BI40" s="22">
        <f>'[1]Data-PSC CH Tables'!AG34</f>
        <v>20144.856913645377</v>
      </c>
      <c r="BJ40" s="22">
        <f>'[1]Data-PSC CH Tables'!AI34</f>
        <v>21167.357022999524</v>
      </c>
      <c r="BK40" s="17"/>
      <c r="BL40" s="22">
        <f t="shared" si="63"/>
        <v>10492.571428571428</v>
      </c>
      <c r="BM40" s="22">
        <f t="shared" si="64"/>
        <v>16930.382904861297</v>
      </c>
      <c r="BN40" s="22">
        <f t="shared" si="65"/>
        <v>17802.41482280313</v>
      </c>
      <c r="BP40" s="33"/>
      <c r="BQ40" s="33"/>
      <c r="BR40" s="33"/>
      <c r="BT40" s="62">
        <f t="shared" si="66"/>
        <v>72.224171206623964</v>
      </c>
      <c r="BU40" s="62">
        <f t="shared" si="10"/>
        <v>72</v>
      </c>
      <c r="BV40" s="62">
        <f t="shared" si="11"/>
        <v>0</v>
      </c>
      <c r="BW40" s="62">
        <f t="shared" si="12"/>
        <v>173.99265082171956</v>
      </c>
      <c r="BX40" s="62">
        <f t="shared" si="13"/>
        <v>5.4162051131711131</v>
      </c>
      <c r="BY40" s="62">
        <f t="shared" si="67"/>
        <v>323.63302714151462</v>
      </c>
      <c r="BZ40" s="62">
        <f t="shared" si="15"/>
        <v>3214.4740087840783</v>
      </c>
      <c r="CA40" s="79">
        <f t="shared" si="68"/>
        <v>0.10067993278437909</v>
      </c>
      <c r="CB40" s="79">
        <f t="shared" si="69"/>
        <v>0.7607901585417628</v>
      </c>
      <c r="CC40" s="79">
        <f t="shared" si="70"/>
        <v>0.23920984145823729</v>
      </c>
      <c r="CD40" s="79">
        <f t="shared" si="19"/>
        <v>0.31717367385167017</v>
      </c>
      <c r="CE40" s="33"/>
      <c r="CG40" s="36">
        <v>20157.790213668082</v>
      </c>
      <c r="CH40" s="36">
        <v>21180.283111073128</v>
      </c>
      <c r="CI40" s="81">
        <f t="shared" si="100"/>
        <v>-16943.316204884002</v>
      </c>
      <c r="CJ40" s="36">
        <f t="shared" si="101"/>
        <v>-17815.340910876734</v>
      </c>
      <c r="CK40" s="36">
        <v>11845.900471373752</v>
      </c>
      <c r="CL40" s="81">
        <f t="shared" si="73"/>
        <v>-8955.0594897311894</v>
      </c>
      <c r="CN40" s="33">
        <f t="shared" si="82"/>
        <v>2019</v>
      </c>
      <c r="CO40" s="96">
        <f t="shared" si="91"/>
        <v>3214.4740087840783</v>
      </c>
      <c r="CP40" s="97">
        <f>IF((CO40-DF$2-CU40)&gt;0, (CO40-DF$2-CU40),0)</f>
        <v>0</v>
      </c>
      <c r="CQ40" s="97">
        <f t="shared" si="93"/>
        <v>675.03954184465636</v>
      </c>
      <c r="CR40" s="62">
        <f>V40</f>
        <v>2890.8409816425637</v>
      </c>
      <c r="CS40" s="98" t="str">
        <f t="shared" si="83"/>
        <v>N</v>
      </c>
      <c r="CT40" s="114" t="str">
        <f t="shared" si="95"/>
        <v>N</v>
      </c>
      <c r="CU40" s="99">
        <f t="shared" si="102"/>
        <v>675.03954184465636</v>
      </c>
      <c r="CV40" s="100">
        <f>IF(CS40="N",0,IF(CT40="N",(BY40-BU40)+CU40,CU40))</f>
        <v>0</v>
      </c>
      <c r="CW40" s="100">
        <f t="shared" si="105"/>
        <v>-854.67256898617097</v>
      </c>
      <c r="CX40" s="100"/>
      <c r="CY40" s="101">
        <f t="shared" si="96"/>
        <v>72</v>
      </c>
      <c r="CZ40" s="102">
        <f t="shared" si="84"/>
        <v>72</v>
      </c>
      <c r="DA40" s="79">
        <v>0.1</v>
      </c>
      <c r="DB40" s="103">
        <f t="shared" si="97"/>
        <v>-67.503954184465641</v>
      </c>
      <c r="DC40" s="107">
        <f>IF(CY40&gt;CU40,CZ40,(IF(CZ40*-1&gt;(CU40*DA40),CU40*DA40*-1,CZ40)))</f>
        <v>72</v>
      </c>
      <c r="DD40" s="33"/>
      <c r="DE40" s="107">
        <f t="shared" si="104"/>
        <v>5909</v>
      </c>
      <c r="DF40" s="105">
        <f t="shared" si="98"/>
        <v>72</v>
      </c>
      <c r="DG40" s="105">
        <f t="shared" si="99"/>
        <v>72</v>
      </c>
      <c r="DI40" s="66">
        <f>P40/V40</f>
        <v>1</v>
      </c>
      <c r="DL40" s="106"/>
      <c r="DM40" s="106"/>
      <c r="DT40" s="14">
        <f>V40</f>
        <v>2890.8409816425637</v>
      </c>
      <c r="DU40" s="14">
        <v>19861.298355492483</v>
      </c>
      <c r="DV40" s="14">
        <f>DU40-DT40</f>
        <v>16970.45737384992</v>
      </c>
      <c r="DX40" s="14">
        <f>AJ40</f>
        <v>3214.4740087840783</v>
      </c>
      <c r="DY40" s="14">
        <v>26393.298355492483</v>
      </c>
      <c r="DZ40" s="14">
        <f>DY40-DX40</f>
        <v>23178.824346708403</v>
      </c>
      <c r="EH40" s="14">
        <f>SUM(X40:Y40,AE40)</f>
        <v>251.63302714151465</v>
      </c>
      <c r="EK40" s="89">
        <f>$P40/V40</f>
        <v>1</v>
      </c>
      <c r="EM40" s="67"/>
      <c r="EN40" s="67">
        <f>V40/1000</f>
        <v>2.8908409816425635</v>
      </c>
      <c r="EO40" s="67">
        <f>Z40/1000</f>
        <v>7.1999999999999995E-2</v>
      </c>
      <c r="EP40" s="67">
        <f>SUM(X40:Y40,AE40)/1000</f>
        <v>0.25163302714151464</v>
      </c>
      <c r="EQ40" s="67">
        <f>AL40/1000</f>
        <v>0.15032794177287384</v>
      </c>
      <c r="EU40" s="66">
        <f>J40/L40</f>
        <v>0</v>
      </c>
      <c r="EX40" s="14">
        <f>BY40-BU40</f>
        <v>251.63302714151462</v>
      </c>
      <c r="EZ40" s="14">
        <f>G40+H40</f>
        <v>0</v>
      </c>
      <c r="FA40" s="14">
        <f>EZ40+R40</f>
        <v>5.4162051131711131</v>
      </c>
      <c r="FC40" s="14">
        <f>L40+SUM(S40,AE40,AL40)*FD40</f>
        <v>14707.835895122875</v>
      </c>
      <c r="FD40" s="66">
        <f>L40/SUM(L40,P40)</f>
        <v>0.83201419638159524</v>
      </c>
      <c r="FF40" s="14">
        <f>ROUND(L40,-3)</f>
        <v>14000</v>
      </c>
    </row>
    <row r="41" spans="2:162" x14ac:dyDescent="0.2">
      <c r="B41" s="4">
        <v>2020</v>
      </c>
      <c r="C41" s="71"/>
      <c r="D41" s="71"/>
      <c r="E41" s="71"/>
      <c r="F41" s="110"/>
      <c r="G41" s="14"/>
      <c r="H41" s="119"/>
      <c r="I41" s="14"/>
      <c r="J41" s="14">
        <f t="shared" si="106"/>
        <v>0</v>
      </c>
      <c r="L41" s="72">
        <f>'Bayesian Sum (10Feb26)'!K36</f>
        <v>15309</v>
      </c>
      <c r="M41" s="120">
        <f t="shared" si="29"/>
        <v>0</v>
      </c>
      <c r="N41" s="56">
        <f>'Data-Coastal-Chin-Esc (new)'!J48</f>
        <v>870.64279376325646</v>
      </c>
      <c r="O41" s="74">
        <f t="shared" si="56"/>
        <v>2.2669745969610036</v>
      </c>
      <c r="P41" s="14">
        <f>'Data-Coastal-Chin-Esc (new)'!AL48</f>
        <v>1973.7250964884604</v>
      </c>
      <c r="Q41" s="66">
        <f>P41/'A6-Chin (NEW2+Khutz)'!V41</f>
        <v>0.13333887830385163</v>
      </c>
      <c r="R41" s="5">
        <f>$Q41*'A6-Chin (NEW2+Khutz)'!R41</f>
        <v>2.7704432683590756</v>
      </c>
      <c r="S41" s="926">
        <f>'Data-Nisga''a Angling'!A25</f>
        <v>59</v>
      </c>
      <c r="T41" s="14">
        <f t="shared" si="57"/>
        <v>61.770443268359074</v>
      </c>
      <c r="U41" s="120">
        <f t="shared" si="90"/>
        <v>1.3610657524162693E-3</v>
      </c>
      <c r="V41" s="14">
        <f t="shared" si="3"/>
        <v>1973.7250964884604</v>
      </c>
      <c r="W41" s="110"/>
      <c r="X41" s="14">
        <f t="shared" si="31"/>
        <v>0</v>
      </c>
      <c r="Y41" s="14">
        <f t="shared" si="107"/>
        <v>2.7704432683590756</v>
      </c>
      <c r="Z41" s="111">
        <f t="shared" si="107"/>
        <v>59</v>
      </c>
      <c r="AA41" s="111">
        <f t="shared" si="4"/>
        <v>61.770443268359074</v>
      </c>
      <c r="AB41" s="110"/>
      <c r="AC41" s="14">
        <f>$Q41*'A6-Chin (NEW2+Khutz)'!AC41</f>
        <v>18.438100091856604</v>
      </c>
      <c r="AD41" s="14">
        <f>$Q41*'A6-Chin (NEW2+Khutz)'!AD41</f>
        <v>44.001829840271036</v>
      </c>
      <c r="AE41" s="14">
        <f t="shared" si="58"/>
        <v>62.43992993212764</v>
      </c>
      <c r="AF41" s="110"/>
      <c r="AJ41" s="14">
        <f t="shared" si="33"/>
        <v>2097.9354696889473</v>
      </c>
      <c r="AK41" s="66">
        <f>AJ41/'A6-Chin (NEW2+Khutz)'!AJ41</f>
        <v>9.819780487918256E-2</v>
      </c>
      <c r="AL41" s="14">
        <f>AK41*'A6-Chin (NEW2+Khutz)'!AK41</f>
        <v>98.111952459041191</v>
      </c>
      <c r="AM41" s="111">
        <f t="shared" si="108"/>
        <v>2196.1456199528675</v>
      </c>
      <c r="AN41" s="113">
        <v>505</v>
      </c>
      <c r="AO41" s="14">
        <f>'[1]Data-FW Catch Rates - new'!CE35</f>
        <v>10238.597538855378</v>
      </c>
      <c r="AP41" s="123">
        <f>AVERAGE(AP36:AP40)</f>
        <v>0</v>
      </c>
      <c r="AQ41" s="60">
        <f t="shared" si="35"/>
        <v>13</v>
      </c>
      <c r="AR41" s="59"/>
      <c r="AS41" s="77">
        <f>SUM(AE41,AA41,AL41)/AM41</f>
        <v>0.1012329618034615</v>
      </c>
      <c r="AT41" s="61">
        <f>I41/L41</f>
        <v>0</v>
      </c>
      <c r="AU41" s="61">
        <f>H41/$L41</f>
        <v>0</v>
      </c>
      <c r="AV41" s="61">
        <f>J41/$L41</f>
        <v>0</v>
      </c>
      <c r="AW41" s="61"/>
      <c r="AX41" s="33"/>
      <c r="AY41" s="61">
        <f>Z41/$AM41</f>
        <v>2.6865249491637183E-2</v>
      </c>
      <c r="AZ41" s="61">
        <f t="shared" si="40"/>
        <v>8.3956637138899344E-3</v>
      </c>
      <c r="BA41" s="61">
        <f>SUM(Y41,AD41)/$AM41</f>
        <v>2.1297437056853229E-2</v>
      </c>
      <c r="BB41" s="61">
        <f>X41/AM41</f>
        <v>0</v>
      </c>
      <c r="BC41" s="61">
        <f t="shared" si="61"/>
        <v>5.6558350262380347E-2</v>
      </c>
      <c r="BD41" s="61">
        <f>BD$53</f>
        <v>4.4674676120675154E-2</v>
      </c>
      <c r="BE41" s="78">
        <f t="shared" si="43"/>
        <v>0.1012329618034615</v>
      </c>
      <c r="BF41" s="17"/>
      <c r="BG41" s="17"/>
      <c r="BH41" s="22">
        <f>'[1]Data-PSC CH Tables'!C35</f>
        <v>12265.648310387985</v>
      </c>
      <c r="BI41" s="22">
        <f>'[1]Data-PSC CH Tables'!AG35</f>
        <v>20765.726660226421</v>
      </c>
      <c r="BJ41" s="22">
        <f>'[1]Data-PSC CH Tables'!AI35</f>
        <v>21819.740489757143</v>
      </c>
      <c r="BK41" s="17"/>
      <c r="BL41" s="22">
        <f t="shared" si="63"/>
        <v>12265.648310387985</v>
      </c>
      <c r="BM41" s="22">
        <f t="shared" si="64"/>
        <v>18667.791190537475</v>
      </c>
      <c r="BN41" s="22">
        <f t="shared" si="65"/>
        <v>19623.594869804278</v>
      </c>
      <c r="BP41" s="33"/>
      <c r="BQ41" s="33"/>
      <c r="BR41" s="33"/>
      <c r="BT41" s="62">
        <f t="shared" si="66"/>
        <v>18.438100091856604</v>
      </c>
      <c r="BU41" s="62">
        <f t="shared" si="10"/>
        <v>59</v>
      </c>
      <c r="BV41" s="62">
        <f t="shared" si="11"/>
        <v>0</v>
      </c>
      <c r="BW41" s="62">
        <f t="shared" si="12"/>
        <v>44.001829840271036</v>
      </c>
      <c r="BX41" s="62">
        <f t="shared" si="13"/>
        <v>2.7704432683590756</v>
      </c>
      <c r="BY41" s="62">
        <f t="shared" si="67"/>
        <v>124.2103732004867</v>
      </c>
      <c r="BZ41" s="62">
        <f t="shared" si="15"/>
        <v>2097.9354696889473</v>
      </c>
      <c r="CA41" s="79">
        <f t="shared" si="68"/>
        <v>5.9206002756082336E-2</v>
      </c>
      <c r="CB41" s="79">
        <f t="shared" si="69"/>
        <v>0.50269497082457026</v>
      </c>
      <c r="CC41" s="79">
        <f t="shared" si="70"/>
        <v>0.4973050291754299</v>
      </c>
      <c r="CD41" s="79">
        <f t="shared" si="19"/>
        <v>0.44130499340535517</v>
      </c>
      <c r="CE41" s="33"/>
      <c r="CG41" s="36">
        <v>20410.336035638335</v>
      </c>
      <c r="CH41" s="36">
        <v>21445.639181909788</v>
      </c>
      <c r="CI41" s="81">
        <f t="shared" si="100"/>
        <v>-18312.400565949389</v>
      </c>
      <c r="CJ41" s="36">
        <f t="shared" si="101"/>
        <v>-19249.493561956922</v>
      </c>
      <c r="CK41" s="36">
        <v>13847.668332862815</v>
      </c>
      <c r="CL41" s="81">
        <f t="shared" si="73"/>
        <v>-11873.943236374354</v>
      </c>
      <c r="CN41" s="33">
        <f t="shared" si="82"/>
        <v>2020</v>
      </c>
      <c r="CO41" s="96">
        <f t="shared" si="91"/>
        <v>2097.9354696889473</v>
      </c>
      <c r="CP41" s="97">
        <f>IF((CO41-DF$2-CU41)&gt;0, (CO41-DF$2-CU41),0)</f>
        <v>0</v>
      </c>
      <c r="CQ41" s="97">
        <f t="shared" si="93"/>
        <v>440.56644863467892</v>
      </c>
      <c r="CR41" s="62">
        <f>V41</f>
        <v>1973.7250964884604</v>
      </c>
      <c r="CS41" s="98" t="str">
        <f t="shared" si="83"/>
        <v>N</v>
      </c>
      <c r="CT41" s="114" t="str">
        <f t="shared" si="95"/>
        <v>N</v>
      </c>
      <c r="CU41" s="99">
        <f t="shared" si="102"/>
        <v>440.56644863467892</v>
      </c>
      <c r="CV41" s="100">
        <f>IF(CS41="N",0,IF(CT41="N",(BY41-BU41)+CU41,CU41))</f>
        <v>0</v>
      </c>
      <c r="CW41" s="100">
        <f t="shared" si="105"/>
        <v>-446.77682183516561</v>
      </c>
      <c r="CX41" s="100"/>
      <c r="CY41" s="101">
        <f t="shared" si="96"/>
        <v>59</v>
      </c>
      <c r="CZ41" s="102">
        <f t="shared" si="84"/>
        <v>59</v>
      </c>
      <c r="DA41" s="79">
        <v>0.1</v>
      </c>
      <c r="DB41" s="103">
        <f t="shared" si="97"/>
        <v>-44.056644863467895</v>
      </c>
      <c r="DC41" s="107">
        <f>IF(CY41&gt;CU41,CZ41,(IF(CZ41*-1&gt;(CU41*DA41),CU41*DA41*-1,CZ41)))</f>
        <v>59</v>
      </c>
      <c r="DD41" s="33"/>
      <c r="DE41" s="107">
        <f t="shared" si="104"/>
        <v>5968</v>
      </c>
      <c r="DF41" s="105">
        <f t="shared" si="98"/>
        <v>59</v>
      </c>
      <c r="DG41" s="105">
        <f t="shared" si="99"/>
        <v>59</v>
      </c>
      <c r="DI41" s="66">
        <f>P41/V41</f>
        <v>1</v>
      </c>
      <c r="DL41" s="106"/>
      <c r="DM41" s="106"/>
      <c r="DT41" s="14">
        <f>V41</f>
        <v>1973.7250964884604</v>
      </c>
      <c r="DU41" s="14">
        <v>19861.298355492483</v>
      </c>
      <c r="DV41" s="14">
        <f>DU41-DT41</f>
        <v>17887.573259004024</v>
      </c>
      <c r="DX41" s="14">
        <f>AJ41</f>
        <v>2097.9354696889473</v>
      </c>
      <c r="DY41" s="14">
        <v>26393.298355492483</v>
      </c>
      <c r="DZ41" s="14">
        <f>DY41-DX41</f>
        <v>24295.362885803537</v>
      </c>
      <c r="EH41" s="14">
        <f>SUM(X41:Y41,AE41)</f>
        <v>65.210373200486714</v>
      </c>
      <c r="EK41" s="89">
        <f>$P41/V41</f>
        <v>1</v>
      </c>
      <c r="EM41" s="67"/>
      <c r="EN41" s="67">
        <f>V41/1000</f>
        <v>1.9737250964884603</v>
      </c>
      <c r="EO41" s="67">
        <f>Z41/1000</f>
        <v>5.8999999999999997E-2</v>
      </c>
      <c r="EP41" s="67">
        <f>SUM(X41:Y41,AE41)/1000</f>
        <v>6.5210373200486713E-2</v>
      </c>
      <c r="EQ41" s="67">
        <f>AL41/1000</f>
        <v>9.8111952459041196E-2</v>
      </c>
      <c r="EU41" s="66">
        <f>J41/L41</f>
        <v>0</v>
      </c>
      <c r="EX41" s="14">
        <f>BY41-BU41</f>
        <v>65.2103732004867</v>
      </c>
      <c r="EZ41" s="14" t="e">
        <f>#REF!+H41</f>
        <v>#REF!</v>
      </c>
      <c r="FA41" s="14" t="e">
        <f>EZ41+R41</f>
        <v>#REF!</v>
      </c>
      <c r="FC41" s="14">
        <f>L41+SUM(S41,AE41,AL41)*FD41</f>
        <v>15503.4785760788</v>
      </c>
      <c r="FD41" s="66">
        <f>L41/SUM(L41,P41)</f>
        <v>0.88579780761024285</v>
      </c>
      <c r="FF41" s="14">
        <f>ROUND(L41,-3)</f>
        <v>15000</v>
      </c>
    </row>
    <row r="42" spans="2:162" ht="14.45" customHeight="1" x14ac:dyDescent="0.2">
      <c r="B42" s="4">
        <v>2021</v>
      </c>
      <c r="C42" s="71"/>
      <c r="D42" s="71"/>
      <c r="E42" s="71"/>
      <c r="F42" s="110"/>
      <c r="G42" s="14"/>
      <c r="H42" s="119"/>
      <c r="I42" s="14"/>
      <c r="J42" s="14">
        <f t="shared" si="106"/>
        <v>0</v>
      </c>
      <c r="L42" s="72">
        <f>'Bayesian Sum (10Feb26)'!K37</f>
        <v>13380</v>
      </c>
      <c r="M42" s="120">
        <f t="shared" si="29"/>
        <v>0</v>
      </c>
      <c r="N42" s="56">
        <f>'Data-Coastal-Chin-Esc (new)'!J49</f>
        <v>737.4474409860419</v>
      </c>
      <c r="O42" s="74">
        <f t="shared" si="56"/>
        <v>2.0175547247860131</v>
      </c>
      <c r="P42" s="14">
        <f>'Data-Coastal-Chin-Esc (new)'!AL49</f>
        <v>1487.8405688427433</v>
      </c>
      <c r="Q42" s="66">
        <f>P42/'A6-Chin (NEW2+Khutz)'!V42</f>
        <v>0.11225555883158331</v>
      </c>
      <c r="R42" s="5">
        <f>$Q42*'A6-Chin (NEW2+Khutz)'!R42</f>
        <v>2.5141196341844143</v>
      </c>
      <c r="S42" s="926">
        <f>'Data-Nisga''a Angling'!A26</f>
        <v>90</v>
      </c>
      <c r="T42" s="14">
        <f t="shared" si="57"/>
        <v>92.514119634184411</v>
      </c>
      <c r="U42" s="120">
        <f t="shared" si="90"/>
        <v>1.5908578324321649E-3</v>
      </c>
      <c r="V42" s="14">
        <f t="shared" si="3"/>
        <v>1487.8405688427433</v>
      </c>
      <c r="W42" s="110"/>
      <c r="X42" s="14">
        <f t="shared" si="31"/>
        <v>0</v>
      </c>
      <c r="Y42" s="14">
        <f t="shared" si="107"/>
        <v>2.5141196341844143</v>
      </c>
      <c r="Z42" s="111">
        <f t="shared" si="107"/>
        <v>90</v>
      </c>
      <c r="AA42" s="111">
        <f t="shared" si="4"/>
        <v>92.514119634184411</v>
      </c>
      <c r="AB42" s="110"/>
      <c r="AC42" s="14">
        <f>$Q42*'A6-Chin (NEW2+Khutz)'!AC42</f>
        <v>2.431006382056768</v>
      </c>
      <c r="AD42" s="14">
        <f>$Q42*'A6-Chin (NEW2+Khutz)'!AD42</f>
        <v>42.544856797170077</v>
      </c>
      <c r="AE42" s="14">
        <f t="shared" si="58"/>
        <v>44.975863179226842</v>
      </c>
      <c r="AF42" s="110"/>
      <c r="AJ42" s="14">
        <f t="shared" si="33"/>
        <v>1625.3305516561545</v>
      </c>
      <c r="AK42" s="66">
        <f>AJ42/'A6-Chin (NEW2+Khutz)'!AJ42</f>
        <v>8.2074580711795631E-2</v>
      </c>
      <c r="AL42" s="14">
        <f>AK42*'A6-Chin (NEW2+Khutz)'!AK42</f>
        <v>76.010132875039901</v>
      </c>
      <c r="AM42" s="111">
        <f t="shared" si="108"/>
        <v>1701.4227591119063</v>
      </c>
      <c r="AN42" s="113">
        <v>914</v>
      </c>
      <c r="AO42" s="14">
        <f>'[1]Data-FW Catch Rates - new'!CE36</f>
        <v>10134.207465205587</v>
      </c>
      <c r="AP42" s="123">
        <f>AVERAGE(AP37:AP41)</f>
        <v>0</v>
      </c>
      <c r="AQ42" s="60">
        <f t="shared" si="35"/>
        <v>9</v>
      </c>
      <c r="AR42" s="59"/>
      <c r="AS42" s="77">
        <f t="shared" ref="AS42:AS46" si="109">SUM(AE42,AA42,AL42)/AM42</f>
        <v>0.12548328423671262</v>
      </c>
      <c r="AT42" s="61">
        <f t="shared" ref="AT42:AT46" si="110">I42/L42</f>
        <v>0</v>
      </c>
      <c r="AU42" s="61">
        <f t="shared" ref="AU42:AU46" si="111">H42/$L42</f>
        <v>0</v>
      </c>
      <c r="AV42" s="61">
        <f t="shared" ref="AV42:AV46" si="112">J42/$L42</f>
        <v>0</v>
      </c>
      <c r="AW42" s="61"/>
      <c r="AX42" s="33"/>
      <c r="AY42" s="61">
        <f t="shared" ref="AY42:AY46" si="113">Z42/$AM42</f>
        <v>5.2896906143995281E-2</v>
      </c>
      <c r="AZ42" s="61">
        <f t="shared" si="40"/>
        <v>1.4288079603012266E-3</v>
      </c>
      <c r="BA42" s="61">
        <f t="shared" ref="BA42:BA46" si="114">SUM(Y42,AD42)/$AM42</f>
        <v>2.6483116080376158E-2</v>
      </c>
      <c r="BB42" s="61">
        <f t="shared" ref="BB42:BB46" si="115">X42/AM42</f>
        <v>0</v>
      </c>
      <c r="BC42" s="61">
        <f t="shared" si="61"/>
        <v>8.080883018467265E-2</v>
      </c>
      <c r="BD42" s="61">
        <f t="shared" ref="BD42:BD46" si="116">BD$53</f>
        <v>4.4674676120675154E-2</v>
      </c>
      <c r="BE42" s="78">
        <f t="shared" si="43"/>
        <v>0.12548328423671262</v>
      </c>
      <c r="BF42" s="17"/>
      <c r="BG42" s="17"/>
      <c r="BH42" s="22">
        <f>'[1]Data-PSC CH Tables'!C36</f>
        <v>11249.867777777778</v>
      </c>
      <c r="BI42" s="22">
        <f>'[1]Data-PSC CH Tables'!AG36</f>
        <v>19510.674764809301</v>
      </c>
      <c r="BJ42" s="22">
        <f>'[1]Data-PSC CH Tables'!AI36</f>
        <v>20500.985451358658</v>
      </c>
      <c r="BK42" s="17"/>
      <c r="BL42" s="22">
        <f t="shared" si="63"/>
        <v>11249.867777777778</v>
      </c>
      <c r="BM42" s="22">
        <f t="shared" si="64"/>
        <v>17885.344213153145</v>
      </c>
      <c r="BN42" s="22">
        <f t="shared" si="65"/>
        <v>18799.562692246753</v>
      </c>
      <c r="BP42" s="33"/>
      <c r="BQ42" s="33"/>
      <c r="BR42" s="33"/>
      <c r="BT42" s="62">
        <f t="shared" si="66"/>
        <v>2.431006382056768</v>
      </c>
      <c r="BU42" s="62">
        <f t="shared" si="10"/>
        <v>90</v>
      </c>
      <c r="BV42" s="62">
        <f t="shared" si="11"/>
        <v>0</v>
      </c>
      <c r="BW42" s="62">
        <f t="shared" si="12"/>
        <v>42.544856797170077</v>
      </c>
      <c r="BX42" s="62">
        <f t="shared" si="13"/>
        <v>2.5141196341844143</v>
      </c>
      <c r="BY42" s="62">
        <f t="shared" si="67"/>
        <v>137.48998281341127</v>
      </c>
      <c r="BZ42" s="62">
        <f t="shared" si="15"/>
        <v>1625.3305516561545</v>
      </c>
      <c r="CA42" s="79">
        <f t="shared" si="68"/>
        <v>8.4592012789837634E-2</v>
      </c>
      <c r="CB42" s="79">
        <f t="shared" si="69"/>
        <v>0.3271210182654829</v>
      </c>
      <c r="CC42" s="79">
        <f t="shared" si="70"/>
        <v>0.67287898173451688</v>
      </c>
      <c r="CD42" s="79">
        <f t="shared" si="19"/>
        <v>0.35601916481374302</v>
      </c>
      <c r="CE42" s="33"/>
      <c r="CG42" s="36">
        <v>19252.165198989482</v>
      </c>
      <c r="CH42" s="36">
        <v>20228.720762222187</v>
      </c>
      <c r="CI42" s="81">
        <f t="shared" si="100"/>
        <v>-17626.834647333326</v>
      </c>
      <c r="CJ42" s="36">
        <f t="shared" si="101"/>
        <v>-18527.298003110282</v>
      </c>
      <c r="CK42" s="36">
        <v>12700.872700164622</v>
      </c>
      <c r="CL42" s="81">
        <f t="shared" si="73"/>
        <v>-11213.032131321879</v>
      </c>
      <c r="CN42" s="33">
        <f t="shared" si="82"/>
        <v>2021</v>
      </c>
      <c r="CO42" s="96">
        <f t="shared" si="91"/>
        <v>1625.3305516561545</v>
      </c>
      <c r="CP42" s="97">
        <f>IF((CO42-DF$2-CU42)&gt;0, (CO42-DF$2-CU42),0)</f>
        <v>0</v>
      </c>
      <c r="CQ42" s="97">
        <f t="shared" si="93"/>
        <v>341.31941584779241</v>
      </c>
      <c r="CR42" s="62">
        <f>V42</f>
        <v>1487.8405688427433</v>
      </c>
      <c r="CS42" s="98" t="str">
        <f t="shared" si="83"/>
        <v>N</v>
      </c>
      <c r="CT42" s="114" t="str">
        <f t="shared" si="95"/>
        <v>N</v>
      </c>
      <c r="CU42" s="99">
        <f t="shared" si="102"/>
        <v>341.31941584779241</v>
      </c>
      <c r="CV42" s="100">
        <f>IF(CS42="N",0,IF(CT42="N",(BY42-BU42)+CU42,CU42))</f>
        <v>0</v>
      </c>
      <c r="CW42" s="100">
        <f t="shared" si="105"/>
        <v>-298.80939866120366</v>
      </c>
      <c r="CX42" s="100"/>
      <c r="CY42" s="101">
        <f t="shared" si="96"/>
        <v>90</v>
      </c>
      <c r="CZ42" s="102">
        <f t="shared" si="84"/>
        <v>90</v>
      </c>
      <c r="DA42" s="79">
        <v>0.1</v>
      </c>
      <c r="DB42" s="103">
        <f t="shared" si="97"/>
        <v>-34.131941584779241</v>
      </c>
      <c r="DC42" s="107">
        <f>IF(CY42&gt;CU42,CZ42,(IF(CZ42*-1&gt;(CU42*DA42),CU42*DA42*-1,CZ42)))</f>
        <v>90</v>
      </c>
      <c r="DD42" s="33"/>
      <c r="DE42" s="107">
        <f t="shared" si="104"/>
        <v>6058</v>
      </c>
      <c r="DF42" s="105">
        <f t="shared" si="98"/>
        <v>90</v>
      </c>
      <c r="DG42" s="105">
        <f t="shared" si="99"/>
        <v>90</v>
      </c>
      <c r="DI42" s="66">
        <f>P42/V42</f>
        <v>1</v>
      </c>
      <c r="DL42" s="106"/>
      <c r="DM42" s="106"/>
      <c r="DT42" s="14">
        <f>V42</f>
        <v>1487.8405688427433</v>
      </c>
      <c r="DU42" s="14">
        <v>19861.298355492483</v>
      </c>
      <c r="DV42" s="14">
        <f>DU42-DT42</f>
        <v>18373.457786649738</v>
      </c>
      <c r="DX42" s="14">
        <f>AJ42</f>
        <v>1625.3305516561545</v>
      </c>
      <c r="DY42" s="14">
        <v>26393.298355492483</v>
      </c>
      <c r="DZ42" s="14">
        <f>DY42-DX42</f>
        <v>24767.967803836327</v>
      </c>
      <c r="EH42" s="14">
        <f>SUM(X42:Y42,AE42)</f>
        <v>47.48998281341126</v>
      </c>
      <c r="EK42" s="89">
        <f>$P42/V42</f>
        <v>1</v>
      </c>
      <c r="EM42" s="67"/>
      <c r="EN42" s="67">
        <f>V42/1000</f>
        <v>1.4878405688427434</v>
      </c>
      <c r="EO42" s="67">
        <f>Z42/1000</f>
        <v>0.09</v>
      </c>
      <c r="EP42" s="67">
        <f>SUM(X42:Y42,AE42)/1000</f>
        <v>4.7489982813411262E-2</v>
      </c>
      <c r="EQ42" s="67">
        <f>AL42/1000</f>
        <v>7.6010132875039896E-2</v>
      </c>
      <c r="EU42" s="66">
        <f>J42/L42</f>
        <v>0</v>
      </c>
      <c r="EX42" s="14">
        <f>BY42-BU42</f>
        <v>47.489982813411274</v>
      </c>
      <c r="EZ42" s="14">
        <f>G41+H42</f>
        <v>0</v>
      </c>
      <c r="FA42" s="14">
        <f>EZ42+R42</f>
        <v>2.5141196341844143</v>
      </c>
      <c r="FC42" s="14">
        <f>L42+SUM(S42,AE42,AL42)*FD42</f>
        <v>13569.872403738442</v>
      </c>
      <c r="FD42" s="66">
        <f>L42/SUM(L42,P42)</f>
        <v>0.89992893978425603</v>
      </c>
      <c r="FF42" s="14">
        <f>ROUND(L42,-3)</f>
        <v>13000</v>
      </c>
    </row>
    <row r="43" spans="2:162" ht="14.45" customHeight="1" x14ac:dyDescent="0.2">
      <c r="B43" s="4">
        <v>2022</v>
      </c>
      <c r="C43" s="71"/>
      <c r="D43" s="71"/>
      <c r="E43" s="71"/>
      <c r="F43" s="110"/>
      <c r="G43" s="14"/>
      <c r="H43" s="119"/>
      <c r="I43" s="14"/>
      <c r="J43" s="14">
        <f t="shared" si="106"/>
        <v>0</v>
      </c>
      <c r="L43" s="72">
        <f>'Bayesian Sum (10Feb26)'!K38</f>
        <v>16061</v>
      </c>
      <c r="M43" s="120">
        <f>H43/L43</f>
        <v>0</v>
      </c>
      <c r="N43" s="56">
        <f>'Data-Coastal-Chin-Esc (new)'!J50</f>
        <v>8762.9333570423751</v>
      </c>
      <c r="O43" s="74">
        <f t="shared" si="56"/>
        <v>0.60011903894115037</v>
      </c>
      <c r="P43" s="14">
        <f>'Data-Coastal-Chin-Esc (new)'!AL50</f>
        <v>5258.8031445336183</v>
      </c>
      <c r="Q43" s="66">
        <f>P43/'A6-Chin (NEW2+Khutz)'!V43</f>
        <v>0.26736554312945054</v>
      </c>
      <c r="R43" s="5">
        <f>$Q43*'A6-Chin (NEW2+Khutz)'!R43</f>
        <v>7.7596311539791341</v>
      </c>
      <c r="S43" s="926">
        <f>'Data-Nisga''a Angling'!A27</f>
        <v>60</v>
      </c>
      <c r="T43" s="14">
        <f t="shared" si="57"/>
        <v>67.759631153979129</v>
      </c>
      <c r="U43" s="120">
        <f t="shared" si="90"/>
        <v>1.4567801940487701E-3</v>
      </c>
      <c r="V43" s="14">
        <f t="shared" si="3"/>
        <v>5258.8031445336183</v>
      </c>
      <c r="W43" s="110"/>
      <c r="X43" s="14">
        <f>G43</f>
        <v>0</v>
      </c>
      <c r="Y43" s="14">
        <f t="shared" si="107"/>
        <v>7.7596311539791341</v>
      </c>
      <c r="Z43" s="111">
        <f t="shared" si="107"/>
        <v>60</v>
      </c>
      <c r="AA43" s="111">
        <f t="shared" si="4"/>
        <v>67.759631153979129</v>
      </c>
      <c r="AB43" s="110"/>
      <c r="AC43" s="14">
        <f>$Q43*'A6-Chin (NEW2+Khutz)'!AC43</f>
        <v>19.470628312859105</v>
      </c>
      <c r="AD43" s="14">
        <f>$Q43*'A6-Chin (NEW2+Khutz)'!AD43</f>
        <v>77.803373050670103</v>
      </c>
      <c r="AE43" s="14">
        <f t="shared" si="58"/>
        <v>97.274001363529209</v>
      </c>
      <c r="AF43" s="110"/>
      <c r="AJ43" s="14">
        <f t="shared" si="33"/>
        <v>5423.8367770511268</v>
      </c>
      <c r="AK43" s="66">
        <f>AJ43/'A6-Chin (NEW2+Khutz)'!AJ43</f>
        <v>0.22385676880995464</v>
      </c>
      <c r="AL43" s="14">
        <f>AK43*'A6-Chin (NEW2+Khutz)'!AK43</f>
        <v>253.6508980872222</v>
      </c>
      <c r="AM43" s="111">
        <f t="shared" si="108"/>
        <v>5677.711531907159</v>
      </c>
      <c r="AN43" s="111"/>
      <c r="AO43" s="14">
        <f>'[1]Data-FW Catch Rates - new'!CE37</f>
        <v>12027.16048847821</v>
      </c>
      <c r="AP43" s="123">
        <f>AVERAGE(AP38:AP42)</f>
        <v>0</v>
      </c>
      <c r="AQ43" s="60">
        <f t="shared" si="35"/>
        <v>14</v>
      </c>
      <c r="AR43" s="59"/>
      <c r="AS43" s="77">
        <f t="shared" si="109"/>
        <v>7.3741775758039127E-2</v>
      </c>
      <c r="AT43" s="61">
        <f t="shared" si="110"/>
        <v>0</v>
      </c>
      <c r="AU43" s="61">
        <f t="shared" si="111"/>
        <v>0</v>
      </c>
      <c r="AV43" s="61">
        <f t="shared" si="112"/>
        <v>0</v>
      </c>
      <c r="AW43" s="61"/>
      <c r="AX43" s="33"/>
      <c r="AY43" s="61">
        <f t="shared" si="113"/>
        <v>1.0567637975761306E-2</v>
      </c>
      <c r="AZ43" s="61">
        <f t="shared" si="40"/>
        <v>3.42930918618172E-3</v>
      </c>
      <c r="BA43" s="61">
        <f t="shared" si="114"/>
        <v>1.5069980875887927E-2</v>
      </c>
      <c r="BB43" s="61">
        <f t="shared" si="115"/>
        <v>0</v>
      </c>
      <c r="BC43" s="61">
        <f t="shared" si="61"/>
        <v>2.9066928037830956E-2</v>
      </c>
      <c r="BD43" s="61">
        <f t="shared" si="116"/>
        <v>4.4674676120675154E-2</v>
      </c>
      <c r="BE43" s="78">
        <f t="shared" si="43"/>
        <v>7.3741775758039127E-2</v>
      </c>
      <c r="BF43" s="17"/>
      <c r="BG43" s="17"/>
      <c r="BH43" s="22">
        <f>'[1]Data-PSC CH Tables'!C37</f>
        <v>13408.493367742924</v>
      </c>
      <c r="BI43" s="22">
        <f>'[1]Data-PSC CH Tables'!AG37</f>
        <v>22857.040953893968</v>
      </c>
      <c r="BJ43" s="22">
        <f>'[1]Data-PSC CH Tables'!AI37</f>
        <v>24017.204412738785</v>
      </c>
      <c r="BK43" s="17"/>
      <c r="BL43" s="22">
        <f t="shared" si="63"/>
        <v>13408.493367742924</v>
      </c>
      <c r="BM43" s="22">
        <f t="shared" si="64"/>
        <v>17433.204176842839</v>
      </c>
      <c r="BN43" s="22">
        <f t="shared" si="65"/>
        <v>18339.492880831625</v>
      </c>
      <c r="BT43" s="62">
        <f t="shared" si="66"/>
        <v>19.470628312859105</v>
      </c>
      <c r="BU43" s="62">
        <f t="shared" si="10"/>
        <v>60</v>
      </c>
      <c r="BV43" s="62">
        <f t="shared" si="11"/>
        <v>0</v>
      </c>
      <c r="BW43" s="62">
        <f t="shared" si="12"/>
        <v>77.803373050670103</v>
      </c>
      <c r="BX43" s="62">
        <f t="shared" si="13"/>
        <v>7.7596311539791341</v>
      </c>
      <c r="BY43" s="62">
        <f t="shared" si="67"/>
        <v>165.03363251750835</v>
      </c>
      <c r="BZ43" s="62">
        <f t="shared" si="15"/>
        <v>5423.8367770511268</v>
      </c>
      <c r="CA43" s="79">
        <f t="shared" si="68"/>
        <v>3.0427470313226332E-2</v>
      </c>
      <c r="CB43" s="79">
        <f t="shared" si="69"/>
        <v>0.58941925884840141</v>
      </c>
      <c r="CC43" s="79">
        <f t="shared" si="70"/>
        <v>0.41058074115159854</v>
      </c>
      <c r="CD43" s="79">
        <f t="shared" si="19"/>
        <v>0.6058282060740563</v>
      </c>
      <c r="CE43" s="33"/>
      <c r="CG43" s="36">
        <v>21690.646120133384</v>
      </c>
      <c r="CH43" s="36">
        <v>22790.892296072077</v>
      </c>
      <c r="CI43" s="81">
        <f t="shared" si="100"/>
        <v>-16266.809343082257</v>
      </c>
      <c r="CJ43" s="36">
        <f t="shared" si="101"/>
        <v>-17113.180764164917</v>
      </c>
      <c r="CK43" s="36">
        <v>17133.787688818757</v>
      </c>
      <c r="CL43" s="81">
        <f t="shared" si="73"/>
        <v>-11874.984544285138</v>
      </c>
      <c r="CN43" s="33">
        <f t="shared" si="82"/>
        <v>2022</v>
      </c>
      <c r="CO43" s="96">
        <f t="shared" si="91"/>
        <v>5423.8367770511268</v>
      </c>
      <c r="CP43" s="97">
        <f>IF((CO43-DF$2-CU43)&gt;0, (CO43-DF$2-CU43),0)</f>
        <v>0</v>
      </c>
      <c r="CQ43" s="97">
        <f t="shared" si="93"/>
        <v>1139.0057231807366</v>
      </c>
      <c r="CR43" s="62">
        <f>V43</f>
        <v>5258.8031445336183</v>
      </c>
      <c r="CS43" s="98" t="str">
        <f t="shared" si="83"/>
        <v>N</v>
      </c>
      <c r="CT43" s="114" t="str">
        <f t="shared" si="95"/>
        <v>N</v>
      </c>
      <c r="CU43" s="99">
        <f t="shared" si="102"/>
        <v>1139.0057231807366</v>
      </c>
      <c r="CV43" s="100">
        <f>IF(CS43="N",0,IF(CT43="N",(BY43-BU43)+CU43,CU43))</f>
        <v>0</v>
      </c>
      <c r="CW43" s="100">
        <f t="shared" si="105"/>
        <v>-1184.0393556982449</v>
      </c>
      <c r="CX43" s="100"/>
      <c r="CY43" s="101">
        <f t="shared" si="96"/>
        <v>60</v>
      </c>
      <c r="CZ43" s="102">
        <f>CY43-CV43</f>
        <v>60</v>
      </c>
      <c r="DA43" s="79">
        <v>0.1</v>
      </c>
      <c r="DB43" s="103">
        <f t="shared" si="97"/>
        <v>-113.90057231807367</v>
      </c>
      <c r="DC43" s="107">
        <f>IF(CY43&gt;CU43,CZ43,(IF(CZ43*-1&gt;(CU43*DA43),CU43*DA43*-1,CZ43)))</f>
        <v>60</v>
      </c>
      <c r="DD43" s="33"/>
      <c r="DE43" s="107">
        <f t="shared" si="104"/>
        <v>6118</v>
      </c>
      <c r="DF43" s="105">
        <f t="shared" si="98"/>
        <v>60</v>
      </c>
      <c r="DG43" s="105">
        <f t="shared" si="99"/>
        <v>60</v>
      </c>
      <c r="DI43" s="66">
        <f>P43/V43</f>
        <v>1</v>
      </c>
      <c r="DL43" s="106"/>
      <c r="DM43" s="106"/>
      <c r="DT43" s="14"/>
      <c r="DU43" s="14"/>
      <c r="DV43" s="14"/>
      <c r="DX43" s="14"/>
      <c r="DY43" s="14"/>
      <c r="DZ43" s="14"/>
      <c r="EH43" s="14"/>
      <c r="EK43" s="89"/>
      <c r="EM43" s="67"/>
      <c r="EN43" s="67"/>
      <c r="EO43" s="67"/>
      <c r="EP43" s="67"/>
      <c r="EQ43" s="67"/>
      <c r="EU43" s="66"/>
      <c r="EX43" s="14"/>
      <c r="EZ43" s="14"/>
      <c r="FA43" s="14"/>
      <c r="FC43" s="14"/>
      <c r="FD43" s="66"/>
      <c r="FF43" s="14"/>
    </row>
    <row r="44" spans="2:162" ht="14.45" customHeight="1" x14ac:dyDescent="0.2">
      <c r="B44" s="4">
        <v>2023</v>
      </c>
      <c r="C44" s="71"/>
      <c r="D44" s="71"/>
      <c r="E44" s="71"/>
      <c r="F44" s="110"/>
      <c r="G44" s="14"/>
      <c r="H44" s="119"/>
      <c r="I44" s="14"/>
      <c r="J44" s="14">
        <f t="shared" si="106"/>
        <v>0</v>
      </c>
      <c r="L44" s="72">
        <f>'Bayesian Sum (10Feb26)'!K39</f>
        <v>11606</v>
      </c>
      <c r="M44" s="120">
        <v>1.58026191252638E-2</v>
      </c>
      <c r="N44" s="56">
        <f>'Data-Coastal-Chin-Esc (new)'!J51</f>
        <v>946.07674023620609</v>
      </c>
      <c r="O44" s="74">
        <v>3.4938163140037641</v>
      </c>
      <c r="P44" s="14">
        <f>'Data-Coastal-Chin-Esc (new)'!AL51</f>
        <v>2396.5066769396999</v>
      </c>
      <c r="Q44" s="66">
        <f>P44/'A6-Chin (NEW2+Khutz)'!V44</f>
        <v>0.19715474661004218</v>
      </c>
      <c r="R44" s="5">
        <f>$Q44*'A6-Chin (NEW2+Khutz)'!R44</f>
        <v>2.973787658540878</v>
      </c>
      <c r="S44" s="926">
        <f>'Data-Nisga''a Angling'!A28</f>
        <v>26</v>
      </c>
      <c r="T44" s="14">
        <f t="shared" si="57"/>
        <v>28.973787658540878</v>
      </c>
      <c r="U44" s="120">
        <v>4.1226614171758977E-3</v>
      </c>
      <c r="V44" s="14">
        <f t="shared" si="3"/>
        <v>2396.5066769396999</v>
      </c>
      <c r="W44" s="110"/>
      <c r="X44" s="14">
        <f t="shared" ref="X44:X46" si="117">G44</f>
        <v>0</v>
      </c>
      <c r="Y44" s="14">
        <f t="shared" si="107"/>
        <v>2.973787658540878</v>
      </c>
      <c r="Z44" s="111">
        <f t="shared" si="107"/>
        <v>26</v>
      </c>
      <c r="AA44" s="111">
        <f t="shared" si="4"/>
        <v>28.973787658540878</v>
      </c>
      <c r="AB44" s="110"/>
      <c r="AC44" s="14">
        <f>$Q44*'A6-Chin (NEW2+Khutz)'!AC44</f>
        <v>13.73931998176062</v>
      </c>
      <c r="AD44" s="14">
        <f>$Q44*'A6-Chin (NEW2+Khutz)'!AD44</f>
        <v>51.851698358441091</v>
      </c>
      <c r="AE44" s="14">
        <f t="shared" si="58"/>
        <v>65.591018340201714</v>
      </c>
      <c r="AF44" s="110"/>
      <c r="AJ44" s="14">
        <f t="shared" si="33"/>
        <v>2491.0714829384424</v>
      </c>
      <c r="AK44" s="66">
        <f>AJ44/'A6-Chin (NEW2+Khutz)'!AJ44</f>
        <v>0.15574377003346374</v>
      </c>
      <c r="AL44" s="14">
        <f>AK44*'A6-Chin (NEW2+Khutz)'!AK44</f>
        <v>116.49733294340395</v>
      </c>
      <c r="AM44" s="111">
        <f t="shared" si="108"/>
        <v>2607.7245596518796</v>
      </c>
      <c r="AN44" s="111"/>
      <c r="AO44" s="14">
        <f>'[1]Data-FW Catch Rates - new'!CE38</f>
        <v>7850.9535295539172</v>
      </c>
      <c r="AP44" s="123">
        <f>AVERAGE(AP40:AP43)</f>
        <v>0</v>
      </c>
      <c r="AQ44" s="60">
        <f t="shared" si="35"/>
        <v>4</v>
      </c>
      <c r="AR44" s="59"/>
      <c r="AS44" s="77">
        <f t="shared" si="109"/>
        <v>8.0937282337181518E-2</v>
      </c>
      <c r="AT44" s="61">
        <f t="shared" si="110"/>
        <v>0</v>
      </c>
      <c r="AU44" s="61">
        <f t="shared" si="111"/>
        <v>0</v>
      </c>
      <c r="AV44" s="61">
        <f t="shared" si="112"/>
        <v>0</v>
      </c>
      <c r="AW44" s="61"/>
      <c r="AX44" s="33"/>
      <c r="AY44" s="61">
        <f t="shared" si="113"/>
        <v>9.9703781612084409E-3</v>
      </c>
      <c r="AZ44" s="61">
        <f t="shared" si="40"/>
        <v>5.2687006113846481E-3</v>
      </c>
      <c r="BA44" s="61">
        <f t="shared" si="114"/>
        <v>2.1024262633129068E-2</v>
      </c>
      <c r="BB44" s="61">
        <f t="shared" si="115"/>
        <v>0</v>
      </c>
      <c r="BC44" s="61">
        <f t="shared" si="61"/>
        <v>3.6263341405722162E-2</v>
      </c>
      <c r="BD44" s="61">
        <f t="shared" si="116"/>
        <v>4.4674676120675154E-2</v>
      </c>
      <c r="BE44" s="78">
        <f t="shared" si="43"/>
        <v>8.0937282337181518E-2</v>
      </c>
      <c r="BF44" s="17"/>
      <c r="BG44" s="17"/>
      <c r="BH44" s="22">
        <f>'[1]Data-PSC CH Tables'!C38</f>
        <v>10376</v>
      </c>
      <c r="BI44" s="22">
        <f>'[1]Data-PSC CH Tables'!AG38</f>
        <v>17521.200934380602</v>
      </c>
      <c r="BJ44" s="22">
        <f>'[1]Data-PSC CH Tables'!AI38</f>
        <v>18410.200934380602</v>
      </c>
      <c r="BK44" s="17"/>
      <c r="BL44" s="22">
        <v>-32.825950221804305</v>
      </c>
      <c r="BM44" s="22">
        <v>337.86488526275571</v>
      </c>
      <c r="BN44" s="22">
        <v>355.01402082668574</v>
      </c>
      <c r="BT44" s="62">
        <f t="shared" si="66"/>
        <v>13.73931998176062</v>
      </c>
      <c r="BU44" s="62">
        <f t="shared" si="10"/>
        <v>26</v>
      </c>
      <c r="BV44" s="62">
        <f t="shared" si="11"/>
        <v>0</v>
      </c>
      <c r="BW44" s="62">
        <f t="shared" si="12"/>
        <v>51.851698358441091</v>
      </c>
      <c r="BX44" s="62">
        <f t="shared" si="13"/>
        <v>2.973787658540878</v>
      </c>
      <c r="BY44" s="62">
        <f t="shared" si="67"/>
        <v>94.564805998742585</v>
      </c>
      <c r="BZ44" s="62">
        <f t="shared" si="15"/>
        <v>2491.0714829384424</v>
      </c>
      <c r="CA44" s="79">
        <f t="shared" si="68"/>
        <v>3.7961498353790681E-2</v>
      </c>
      <c r="CB44" s="79">
        <f t="shared" si="69"/>
        <v>0.69360918840222507</v>
      </c>
      <c r="CC44" s="79">
        <f t="shared" si="70"/>
        <v>0.30639081159777498</v>
      </c>
      <c r="CD44" s="79">
        <f t="shared" si="19"/>
        <v>0.55195751131536008</v>
      </c>
      <c r="CE44" s="33"/>
      <c r="CG44" s="36">
        <v>16423.386838410668</v>
      </c>
      <c r="CH44" s="36">
        <v>17256.454164521841</v>
      </c>
      <c r="CI44" s="81">
        <f t="shared" si="100"/>
        <v>-13932.315355472227</v>
      </c>
      <c r="CJ44" s="36">
        <f t="shared" si="101"/>
        <v>-14648.729604869961</v>
      </c>
      <c r="CK44" s="36">
        <v>12583.333078026088</v>
      </c>
      <c r="CL44" s="81">
        <f t="shared" si="73"/>
        <v>-10186.826401086388</v>
      </c>
      <c r="CN44" s="33">
        <f t="shared" si="82"/>
        <v>2023</v>
      </c>
      <c r="CO44" s="96">
        <f t="shared" si="91"/>
        <v>2491.0714829384424</v>
      </c>
      <c r="CP44" s="97">
        <f>IF((CO44-DF$2-CU44)&gt;0, (CO44-DF$2-CU44),0)</f>
        <v>0</v>
      </c>
      <c r="CQ44" s="97">
        <f t="shared" si="93"/>
        <v>523.12501141707287</v>
      </c>
      <c r="CR44" s="62">
        <f>V44</f>
        <v>2396.5066769396999</v>
      </c>
      <c r="CS44" s="98" t="str">
        <f t="shared" si="83"/>
        <v>N</v>
      </c>
      <c r="CT44" s="114" t="str">
        <f t="shared" si="95"/>
        <v>N</v>
      </c>
      <c r="CU44" s="99">
        <f t="shared" si="102"/>
        <v>523.12501141707287</v>
      </c>
      <c r="CV44" s="100">
        <f>IF(CS44="N",0,IF(CT44="N",(BY44-BU44)+CU44,CU44))</f>
        <v>0</v>
      </c>
      <c r="CW44" s="100">
        <f t="shared" si="105"/>
        <v>-565.68981741581547</v>
      </c>
      <c r="CX44" s="100"/>
      <c r="CY44" s="101">
        <f t="shared" si="96"/>
        <v>26</v>
      </c>
      <c r="CZ44" s="102">
        <f t="shared" ref="CZ44" si="118">CY44-CV44</f>
        <v>26</v>
      </c>
      <c r="DA44" s="79">
        <v>0.1</v>
      </c>
      <c r="DB44" s="103">
        <f t="shared" si="97"/>
        <v>-52.312501141707287</v>
      </c>
      <c r="DC44" s="107">
        <f>IF(CY44&gt;CU44,CZ44,(IF(CZ44*-1&gt;(CU44*DA44),CU44*DA44*-1,CZ44)))</f>
        <v>26</v>
      </c>
      <c r="DD44" s="33"/>
      <c r="DE44" s="107">
        <f t="shared" si="104"/>
        <v>6144</v>
      </c>
      <c r="DF44" s="105">
        <f t="shared" si="98"/>
        <v>26</v>
      </c>
      <c r="DG44" s="105">
        <f t="shared" si="99"/>
        <v>26</v>
      </c>
      <c r="DI44" s="66"/>
      <c r="DL44" s="106"/>
      <c r="DM44" s="106"/>
      <c r="DT44" s="14"/>
      <c r="DU44" s="14"/>
      <c r="DV44" s="14"/>
      <c r="DX44" s="14"/>
      <c r="DY44" s="14"/>
      <c r="DZ44" s="14"/>
      <c r="EH44" s="14"/>
      <c r="EK44" s="89"/>
      <c r="EM44" s="67"/>
      <c r="EN44" s="67"/>
      <c r="EO44" s="67"/>
      <c r="EP44" s="67"/>
      <c r="EQ44" s="67"/>
      <c r="EU44" s="66"/>
      <c r="EX44" s="14"/>
      <c r="EZ44" s="14"/>
      <c r="FA44" s="14"/>
      <c r="FC44" s="14"/>
      <c r="FD44" s="66"/>
      <c r="FF44" s="14"/>
    </row>
    <row r="45" spans="2:162" ht="14.45" customHeight="1" x14ac:dyDescent="0.2">
      <c r="B45" s="4">
        <v>2024</v>
      </c>
      <c r="C45" s="71"/>
      <c r="D45" s="71"/>
      <c r="E45" s="71"/>
      <c r="F45" s="110"/>
      <c r="G45" s="14"/>
      <c r="H45" s="119"/>
      <c r="I45" s="14"/>
      <c r="J45" s="14">
        <f t="shared" si="106"/>
        <v>0</v>
      </c>
      <c r="L45" s="72">
        <f>'Bayesian Sum (10Feb26)'!K40</f>
        <v>15199</v>
      </c>
      <c r="M45" s="120">
        <v>1.578818744720448E-2</v>
      </c>
      <c r="N45" s="56">
        <f>'Data-Coastal-Chin-Esc (new)'!J52</f>
        <v>1842.5724046542823</v>
      </c>
      <c r="O45" s="74">
        <v>2.7085729349364494</v>
      </c>
      <c r="P45" s="14">
        <f>'Data-Coastal-Chin-Esc (new)'!AL52</f>
        <v>5507.4255264926142</v>
      </c>
      <c r="Q45" s="66">
        <f>P45/'A6-Chin (NEW2+Khutz)'!V45</f>
        <v>0.30622095877216343</v>
      </c>
      <c r="R45" s="5">
        <f>$Q45*'A6-Chin (NEW2+Khutz)'!R45</f>
        <v>10.40861193795913</v>
      </c>
      <c r="S45" s="926">
        <f>'Data-Nisga''a Angling'!A29</f>
        <v>52</v>
      </c>
      <c r="T45" s="14">
        <f t="shared" si="57"/>
        <v>62.40861193795913</v>
      </c>
      <c r="U45" s="120">
        <v>4.1226614171760972E-3</v>
      </c>
      <c r="V45" s="14">
        <f t="shared" si="3"/>
        <v>5507.4255264926142</v>
      </c>
      <c r="W45" s="110"/>
      <c r="X45" s="14">
        <f t="shared" si="117"/>
        <v>0</v>
      </c>
      <c r="Y45" s="14">
        <f t="shared" si="107"/>
        <v>10.40861193795913</v>
      </c>
      <c r="Z45" s="111">
        <f t="shared" si="107"/>
        <v>52</v>
      </c>
      <c r="AA45" s="111">
        <f t="shared" si="4"/>
        <v>62.40861193795913</v>
      </c>
      <c r="AB45" s="110"/>
      <c r="AC45" s="14">
        <f>$Q45*'A6-Chin (NEW2+Khutz)'!AC45</f>
        <v>41.606854110291394</v>
      </c>
      <c r="AD45" s="14">
        <f>$Q45*'A6-Chin (NEW2+Khutz)'!AD45</f>
        <v>105.64623077639638</v>
      </c>
      <c r="AE45" s="14">
        <f t="shared" si="58"/>
        <v>147.25308488668776</v>
      </c>
      <c r="AF45" s="110"/>
      <c r="AJ45" s="14">
        <f t="shared" si="33"/>
        <v>5717.0872233172613</v>
      </c>
      <c r="AK45" s="66">
        <f>AJ45/'A6-Chin (NEW2+Khutz)'!AJ45</f>
        <v>0.23133209722912385</v>
      </c>
      <c r="AL45" s="14">
        <f>AK45*'A6-Chin (NEW2+Khutz)'!AK45</f>
        <v>267.36503479845373</v>
      </c>
      <c r="AM45" s="111">
        <f t="shared" si="108"/>
        <v>5984.6835902129442</v>
      </c>
      <c r="AN45" s="111"/>
      <c r="AO45" s="14">
        <f>'[1]Data-FW Catch Rates - new'!CE39</f>
        <v>10196.710267528219</v>
      </c>
      <c r="AP45" s="123">
        <v>8.957931551251911E-3</v>
      </c>
      <c r="AQ45" s="60">
        <v>15</v>
      </c>
      <c r="AR45" s="59"/>
      <c r="AS45" s="77">
        <f t="shared" si="109"/>
        <v>7.9707928486512911E-2</v>
      </c>
      <c r="AT45" s="61">
        <f t="shared" si="110"/>
        <v>0</v>
      </c>
      <c r="AU45" s="61">
        <f t="shared" si="111"/>
        <v>0</v>
      </c>
      <c r="AV45" s="61">
        <f t="shared" si="112"/>
        <v>0</v>
      </c>
      <c r="AW45" s="61"/>
      <c r="AX45" s="33"/>
      <c r="AY45" s="61">
        <f t="shared" si="113"/>
        <v>8.6888469901797698E-3</v>
      </c>
      <c r="AZ45" s="61">
        <f t="shared" si="40"/>
        <v>6.952222867443349E-3</v>
      </c>
      <c r="BA45" s="61">
        <f t="shared" si="114"/>
        <v>1.9391976361815663E-2</v>
      </c>
      <c r="BB45" s="61">
        <f t="shared" si="115"/>
        <v>0</v>
      </c>
      <c r="BC45" s="61">
        <f t="shared" si="61"/>
        <v>3.5033046219438778E-2</v>
      </c>
      <c r="BD45" s="61">
        <f t="shared" si="116"/>
        <v>4.4674676120675154E-2</v>
      </c>
      <c r="BE45" s="78">
        <f t="shared" si="43"/>
        <v>7.9707928486512911E-2</v>
      </c>
      <c r="BF45" s="17"/>
      <c r="BG45" s="17"/>
      <c r="BH45" s="22"/>
      <c r="BI45" s="22"/>
      <c r="BJ45" s="22"/>
      <c r="BK45" s="17"/>
      <c r="BL45" s="22">
        <v>-12544.066728678405</v>
      </c>
      <c r="BM45" s="22">
        <v>-23961.587890781317</v>
      </c>
      <c r="BN45" s="22">
        <v>-25177.815255594567</v>
      </c>
      <c r="BT45" s="62">
        <v>138.36080344994667</v>
      </c>
      <c r="BU45" s="62">
        <v>5831.8275314261191</v>
      </c>
      <c r="BV45" s="62">
        <v>99</v>
      </c>
      <c r="BW45" s="62">
        <v>355.66851453784363</v>
      </c>
      <c r="BX45" s="62">
        <v>274.33026002970627</v>
      </c>
      <c r="BY45" s="62">
        <v>6699.1871094436156</v>
      </c>
      <c r="BZ45" s="62">
        <v>23961.587890781317</v>
      </c>
      <c r="CA45" s="79">
        <v>0.27958026571440109</v>
      </c>
      <c r="CB45" s="79">
        <v>7.3744666318003568E-2</v>
      </c>
      <c r="CC45" s="79">
        <v>0.92625533368199653</v>
      </c>
      <c r="CD45" s="79">
        <v>0.15365302332161643</v>
      </c>
      <c r="CE45" s="33"/>
      <c r="CG45" s="36">
        <v>23456.256403506191</v>
      </c>
      <c r="CH45" s="36">
        <v>24646.062196605195</v>
      </c>
      <c r="CI45" s="81">
        <f t="shared" si="100"/>
        <v>-17739.169180188932</v>
      </c>
      <c r="CJ45" s="36">
        <f t="shared" si="101"/>
        <v>-18661.378606392253</v>
      </c>
      <c r="CK45" s="36">
        <v>16727.626612050368</v>
      </c>
      <c r="CL45" s="81">
        <f t="shared" si="73"/>
        <v>-11220.201085557754</v>
      </c>
      <c r="CN45" s="33">
        <f t="shared" si="82"/>
        <v>2024</v>
      </c>
      <c r="CO45" s="96">
        <f t="shared" si="91"/>
        <v>5717.0872233172613</v>
      </c>
      <c r="CP45" s="97">
        <v>3929.65443371724</v>
      </c>
      <c r="CQ45" s="97">
        <v>8961.5878907813167</v>
      </c>
      <c r="CR45" s="62">
        <v>17262.400781337699</v>
      </c>
      <c r="CS45" s="98" t="s">
        <v>108</v>
      </c>
      <c r="CT45" s="114" t="s">
        <v>108</v>
      </c>
      <c r="CU45" s="99">
        <v>5031.9334570640767</v>
      </c>
      <c r="CV45" s="100">
        <v>5031.9334570640767</v>
      </c>
      <c r="CW45" s="100">
        <v>-67.465503655454086</v>
      </c>
      <c r="CX45" s="100"/>
      <c r="CY45" s="101">
        <v>5831.8275314261191</v>
      </c>
      <c r="CZ45" s="102">
        <v>799.89407436204237</v>
      </c>
      <c r="DA45" s="79">
        <v>0.1</v>
      </c>
      <c r="DB45" s="103">
        <f t="shared" si="97"/>
        <v>-503.19334570640768</v>
      </c>
      <c r="DC45" s="107">
        <v>799.89407436204237</v>
      </c>
      <c r="DD45" s="33"/>
      <c r="DE45" s="107">
        <f t="shared" si="104"/>
        <v>6943.8940743620424</v>
      </c>
      <c r="DF45" s="105">
        <f t="shared" si="98"/>
        <v>799.89407436204237</v>
      </c>
      <c r="DG45" s="105">
        <f t="shared" si="99"/>
        <v>799.89407436204237</v>
      </c>
      <c r="DI45" s="66">
        <v>0.27333011858699652</v>
      </c>
      <c r="DL45" s="106"/>
      <c r="DM45" s="106"/>
      <c r="DT45" s="14"/>
      <c r="DU45" s="14"/>
      <c r="DV45" s="14"/>
      <c r="DX45" s="14"/>
      <c r="DY45" s="14"/>
      <c r="DZ45" s="14"/>
      <c r="EH45" s="14"/>
      <c r="EK45" s="89"/>
      <c r="EM45" s="67"/>
      <c r="EN45" s="67"/>
      <c r="EO45" s="67"/>
      <c r="EP45" s="67"/>
      <c r="EQ45" s="67"/>
      <c r="EU45" s="66"/>
      <c r="EX45" s="14"/>
      <c r="EZ45" s="14"/>
      <c r="FA45" s="14"/>
      <c r="FC45" s="14"/>
      <c r="FD45" s="66"/>
      <c r="FF45" s="14"/>
    </row>
    <row r="46" spans="2:162" ht="14.45" customHeight="1" x14ac:dyDescent="0.2">
      <c r="B46" s="4">
        <v>2025</v>
      </c>
      <c r="C46" s="71"/>
      <c r="D46" s="71"/>
      <c r="E46" s="71"/>
      <c r="F46" s="110"/>
      <c r="G46" s="14"/>
      <c r="H46" s="119"/>
      <c r="I46" s="14"/>
      <c r="J46" s="14">
        <f t="shared" si="106"/>
        <v>0</v>
      </c>
      <c r="L46" s="72">
        <f>'Bayesian Sum (10Feb26)'!K41</f>
        <v>12326</v>
      </c>
      <c r="M46" s="120">
        <f>H46/L46</f>
        <v>0</v>
      </c>
      <c r="N46" s="56">
        <f>'Data-Coastal-Chin-Esc (new)'!J53</f>
        <v>6441.1506860547242</v>
      </c>
      <c r="O46" s="74">
        <f t="shared" si="56"/>
        <v>2.3333277671039006</v>
      </c>
      <c r="P46" s="14">
        <f>'Data-Coastal-Chin-Esc (new)'!AA53</f>
        <v>15029.315747871828</v>
      </c>
      <c r="Q46" s="66">
        <f>P46/'A6-Chin (NEW2+Khutz)'!V46</f>
        <v>0.59195498072200736</v>
      </c>
      <c r="R46" s="5">
        <f>$Q46*'A6-Chin (NEW2+Khutz)'!R46</f>
        <v>40.414050352173483</v>
      </c>
      <c r="S46" s="926">
        <f>'Data-Nisga''a Angling'!A30</f>
        <v>55</v>
      </c>
      <c r="T46" s="14">
        <f>SUM(R46:S46)</f>
        <v>95.41405035217349</v>
      </c>
      <c r="U46" s="120">
        <f>R46/SUM(T46,P46)</f>
        <v>2.6720510641399385E-3</v>
      </c>
      <c r="V46" s="14">
        <f>SUM(P46,C46)</f>
        <v>15029.315747871828</v>
      </c>
      <c r="W46" s="110"/>
      <c r="X46" s="14">
        <f t="shared" si="117"/>
        <v>0</v>
      </c>
      <c r="Y46" s="14">
        <f t="shared" si="107"/>
        <v>40.414050352173483</v>
      </c>
      <c r="Z46" s="111">
        <f t="shared" si="107"/>
        <v>55</v>
      </c>
      <c r="AA46" s="111">
        <f t="shared" si="4"/>
        <v>95.41405035217349</v>
      </c>
      <c r="AB46" s="110"/>
      <c r="AC46" s="14">
        <f>$Q46*'A6-Chin (NEW2+Khutz)'!AC46</f>
        <v>78.313276129598677</v>
      </c>
      <c r="AD46" s="14">
        <f>$Q46*'A6-Chin (NEW2+Khutz)'!AD46</f>
        <v>354.6420661830814</v>
      </c>
      <c r="AE46" s="14">
        <f t="shared" si="58"/>
        <v>432.95534231268005</v>
      </c>
      <c r="AF46" s="110"/>
      <c r="AJ46" s="14">
        <f t="shared" si="33"/>
        <v>15557.685140536682</v>
      </c>
      <c r="AK46" s="66">
        <f>AJ46/'A6-Chin (NEW2+Khutz)'!AJ46</f>
        <v>0.49521647483085135</v>
      </c>
      <c r="AL46" s="14">
        <f>AK46*'A6-Chin (NEW2+Khutz)'!AK46</f>
        <v>727.56997864542541</v>
      </c>
      <c r="AM46" s="111">
        <f t="shared" si="108"/>
        <v>16285.750335656938</v>
      </c>
      <c r="AN46" s="111"/>
      <c r="AO46" s="14">
        <f>'[1]Data-FW Catch Rates - new'!CE40</f>
        <v>8529.9726901451577</v>
      </c>
      <c r="AP46" s="123">
        <f>AVERAGE(AP41:AP45)</f>
        <v>1.7915863102503822E-3</v>
      </c>
      <c r="AQ46" s="60">
        <f>RANK(L46,L$13:L$46,1)</f>
        <v>6</v>
      </c>
      <c r="AR46" s="59"/>
      <c r="AS46" s="77">
        <f t="shared" si="109"/>
        <v>7.7118913493378002E-2</v>
      </c>
      <c r="AT46" s="61">
        <f t="shared" si="110"/>
        <v>0</v>
      </c>
      <c r="AU46" s="61">
        <f t="shared" si="111"/>
        <v>0</v>
      </c>
      <c r="AV46" s="61">
        <f t="shared" si="112"/>
        <v>0</v>
      </c>
      <c r="AW46" s="61"/>
      <c r="AX46" s="33"/>
      <c r="AY46" s="61">
        <f t="shared" si="113"/>
        <v>3.3771855067420446E-3</v>
      </c>
      <c r="AZ46" s="61">
        <f t="shared" si="40"/>
        <v>4.8086992932794255E-3</v>
      </c>
      <c r="BA46" s="61">
        <f t="shared" si="114"/>
        <v>2.4257778020230165E-2</v>
      </c>
      <c r="BB46" s="61">
        <f t="shared" si="115"/>
        <v>0</v>
      </c>
      <c r="BC46" s="61">
        <f t="shared" si="61"/>
        <v>3.2443662820251636E-2</v>
      </c>
      <c r="BD46" s="61">
        <f t="shared" si="116"/>
        <v>4.4674676120675154E-2</v>
      </c>
      <c r="BE46" s="78">
        <f t="shared" si="43"/>
        <v>7.7118913493378002E-2</v>
      </c>
      <c r="BF46" s="17"/>
      <c r="BG46" s="17"/>
      <c r="BH46" s="22"/>
      <c r="BI46" s="22"/>
      <c r="BJ46" s="22"/>
      <c r="BK46" s="17"/>
      <c r="BL46" s="22">
        <f t="shared" si="63"/>
        <v>0</v>
      </c>
      <c r="BM46" s="22">
        <f t="shared" si="64"/>
        <v>-15557.685140536682</v>
      </c>
      <c r="BN46" s="22">
        <f t="shared" si="65"/>
        <v>-16285.750335656938</v>
      </c>
      <c r="BT46" s="62">
        <f t="shared" si="66"/>
        <v>78.313276129598677</v>
      </c>
      <c r="BU46" s="62">
        <f t="shared" si="10"/>
        <v>55</v>
      </c>
      <c r="BV46" s="62">
        <f t="shared" si="11"/>
        <v>0</v>
      </c>
      <c r="BW46" s="62">
        <f t="shared" si="12"/>
        <v>354.6420661830814</v>
      </c>
      <c r="BX46" s="62">
        <f t="shared" si="13"/>
        <v>40.414050352173483</v>
      </c>
      <c r="BY46" s="62">
        <f t="shared" si="67"/>
        <v>528.36939266485354</v>
      </c>
      <c r="BZ46" s="62">
        <f t="shared" si="15"/>
        <v>15557.685140536682</v>
      </c>
      <c r="CA46" s="79">
        <f t="shared" si="68"/>
        <v>3.3961954358373576E-2</v>
      </c>
      <c r="CB46" s="79">
        <f t="shared" si="69"/>
        <v>0.81941790785619006</v>
      </c>
      <c r="CC46" s="79">
        <f t="shared" si="70"/>
        <v>0.18058209214380996</v>
      </c>
      <c r="CD46" s="79">
        <f t="shared" si="19"/>
        <v>0.57930342440525318</v>
      </c>
      <c r="CE46" s="33"/>
      <c r="CG46" s="36">
        <v>28915.348636395611</v>
      </c>
      <c r="CH46" s="36">
        <v>30382.063900981411</v>
      </c>
      <c r="CI46" s="81">
        <f t="shared" si="100"/>
        <v>-13357.663495858929</v>
      </c>
      <c r="CJ46" s="36">
        <f t="shared" si="101"/>
        <v>-14096.313565324474</v>
      </c>
      <c r="CK46" s="36">
        <v>22891.063396597052</v>
      </c>
      <c r="CL46" s="81">
        <f t="shared" si="73"/>
        <v>-7861.7476487252243</v>
      </c>
      <c r="CN46" s="33">
        <f t="shared" si="82"/>
        <v>2025</v>
      </c>
      <c r="CO46" s="96">
        <f t="shared" si="91"/>
        <v>15557.685140536682</v>
      </c>
      <c r="CP46" s="97">
        <f>IF((CO46-DF$2-CU46)&gt;0, (CO46-DF$2-CU46),0)</f>
        <v>0</v>
      </c>
      <c r="CQ46" s="97">
        <f t="shared" si="93"/>
        <v>3267.1138795127031</v>
      </c>
      <c r="CR46" s="62">
        <f>V46</f>
        <v>15029.315747871828</v>
      </c>
      <c r="CS46" s="98" t="str">
        <f>IF(ROUND(CR46,-3)&gt;=DF$3,"Y","N")</f>
        <v>Y</v>
      </c>
      <c r="CT46" s="114" t="str">
        <f>IF(CR46&gt;DF$2,"Y","N")</f>
        <v>Y</v>
      </c>
      <c r="CU46" s="99">
        <f t="shared" si="102"/>
        <v>3267.1138795127031</v>
      </c>
      <c r="CV46" s="100">
        <f>IF(CS46="N",0,IF(CT46="N",(BY46-BU46)+CU46,CU46))</f>
        <v>3267.1138795127031</v>
      </c>
      <c r="CW46" s="100">
        <f>CY46-CU46-(BY46-CY46)</f>
        <v>-3685.4832721775565</v>
      </c>
      <c r="CX46" s="100"/>
      <c r="CY46" s="101">
        <f>BU46</f>
        <v>55</v>
      </c>
      <c r="CZ46" s="102">
        <f>CY46-CV46</f>
        <v>-3212.1138795127031</v>
      </c>
      <c r="DA46" s="79">
        <v>0.1</v>
      </c>
      <c r="DB46" s="103">
        <f t="shared" si="97"/>
        <v>-326.71138795127035</v>
      </c>
      <c r="DC46" s="107">
        <f>IF(CY46&gt;CU46,CZ46,(IF(CZ46*-1&gt;(CU46*DA46),CU46*DA46*-1,CZ46)))</f>
        <v>-326.71138795127035</v>
      </c>
      <c r="DD46" s="33"/>
      <c r="DE46" s="107">
        <f t="shared" si="104"/>
        <v>6617.1826864107716</v>
      </c>
      <c r="DF46" s="105">
        <f t="shared" si="98"/>
        <v>-326.71138795127035</v>
      </c>
      <c r="DG46" s="105">
        <f t="shared" si="99"/>
        <v>326.71138795127035</v>
      </c>
      <c r="DI46" s="66">
        <f>P46/V46</f>
        <v>1</v>
      </c>
      <c r="DL46" s="106"/>
      <c r="DM46" s="106"/>
      <c r="DT46" s="14"/>
      <c r="DU46" s="14"/>
      <c r="DV46" s="14"/>
      <c r="DX46" s="14"/>
      <c r="DY46" s="14"/>
      <c r="DZ46" s="14"/>
      <c r="EH46" s="14"/>
      <c r="EK46" s="89"/>
      <c r="EM46" s="67"/>
      <c r="EN46" s="67"/>
      <c r="EO46" s="67"/>
      <c r="EP46" s="67"/>
      <c r="EQ46" s="67"/>
      <c r="EU46" s="66"/>
      <c r="EX46" s="14"/>
      <c r="EZ46" s="14"/>
      <c r="FA46" s="14"/>
      <c r="FC46" s="14"/>
      <c r="FD46" s="66"/>
      <c r="FF46" s="14"/>
    </row>
    <row r="47" spans="2:162" ht="4.5" customHeight="1" x14ac:dyDescent="0.2">
      <c r="B47" s="4"/>
      <c r="C47" s="4"/>
      <c r="D47" s="4"/>
      <c r="E47" s="4"/>
      <c r="AR47" s="59"/>
      <c r="EH47" s="14"/>
      <c r="EX47" s="14">
        <f t="shared" si="27"/>
        <v>0</v>
      </c>
    </row>
    <row r="48" spans="2:162" x14ac:dyDescent="0.2">
      <c r="B48" s="4" t="s">
        <v>109</v>
      </c>
      <c r="C48" s="4"/>
      <c r="D48" s="4"/>
      <c r="E48" s="4"/>
      <c r="DF48" s="124">
        <f>SUM(DF21:DF47)</f>
        <v>3839.7858161057397</v>
      </c>
      <c r="DG48" s="124">
        <f>SUM(DG21:DG47)</f>
        <v>5890.0023326183455</v>
      </c>
      <c r="ED48" s="3">
        <f>AVERAGE(ED21:ED47)</f>
        <v>0.64630494604890709</v>
      </c>
      <c r="EH48" s="14"/>
    </row>
    <row r="49" spans="1:151" x14ac:dyDescent="0.2">
      <c r="B49" s="4" t="s">
        <v>110</v>
      </c>
      <c r="C49" s="71" t="e">
        <f>ROUND(AVERAGE(C13:C20),-2)</f>
        <v>#DIV/0!</v>
      </c>
      <c r="D49" s="71" t="e">
        <f t="shared" ref="D49:E49" si="119">ROUND(AVERAGE(D13:D20),-2)</f>
        <v>#DIV/0!</v>
      </c>
      <c r="E49" s="71" t="e">
        <f t="shared" si="119"/>
        <v>#DIV/0!</v>
      </c>
      <c r="G49" s="14" t="e">
        <f t="shared" ref="G49:L49" si="120">ROUND(AVERAGE(G13:G20),-2)</f>
        <v>#DIV/0!</v>
      </c>
      <c r="H49" s="14" t="e">
        <f t="shared" si="120"/>
        <v>#DIV/0!</v>
      </c>
      <c r="I49" s="14" t="e">
        <f t="shared" si="120"/>
        <v>#DIV/0!</v>
      </c>
      <c r="J49" s="14">
        <f t="shared" si="120"/>
        <v>0</v>
      </c>
      <c r="K49" s="3" t="e">
        <f t="shared" si="120"/>
        <v>#DIV/0!</v>
      </c>
      <c r="L49" s="14">
        <f t="shared" si="120"/>
        <v>22000</v>
      </c>
      <c r="P49" s="14">
        <f>ROUND(AVERAGE(P13:P20),-2)</f>
        <v>2700</v>
      </c>
      <c r="R49" s="125" t="s">
        <v>106</v>
      </c>
      <c r="S49" s="14">
        <f>ROUND(AVERAGE(S13:S20),-2)</f>
        <v>300</v>
      </c>
      <c r="T49" s="14">
        <f>ROUND(AVERAGE(T13:T20),-2)</f>
        <v>300</v>
      </c>
      <c r="V49" s="14">
        <f>ROUND(AVERAGE(V13:V20),-2)</f>
        <v>2700</v>
      </c>
      <c r="W49" s="14"/>
      <c r="X49" s="14">
        <f>ROUND(AVERAGE(X13:X20),-2)</f>
        <v>0</v>
      </c>
      <c r="Y49" s="14">
        <f>ROUND(AVERAGE(Y13:Y20),-2)</f>
        <v>0</v>
      </c>
      <c r="Z49" s="14">
        <f>ROUND(AVERAGE(Z13:Z20),-2)</f>
        <v>300</v>
      </c>
      <c r="AA49" s="14">
        <f>ROUND(AVERAGE(AA13:AA20),-2)</f>
        <v>300</v>
      </c>
      <c r="AC49" s="14">
        <f>ROUND(AVERAGE(AC13:AC20),-2)</f>
        <v>700</v>
      </c>
      <c r="AD49" s="14">
        <f>ROUND(AVERAGE(AD13:AD20),-2)</f>
        <v>400</v>
      </c>
      <c r="AE49" s="14">
        <f>ROUND(AVERAGE(AE13:AE20),-2)</f>
        <v>1100</v>
      </c>
      <c r="AG49" s="14"/>
      <c r="AH49" s="14"/>
      <c r="AI49" s="14"/>
      <c r="AJ49" s="14">
        <f>ROUND(AVERAGE(AJ13:AJ20),-2)</f>
        <v>4100</v>
      </c>
      <c r="AK49" s="14"/>
      <c r="AL49" s="14">
        <f>ROUND(AVERAGE(AL13:AL20),-2)</f>
        <v>200</v>
      </c>
      <c r="AM49" s="14">
        <f>ROUND(AVERAGE(AM13:AM20),-2)</f>
        <v>4300</v>
      </c>
      <c r="AS49" s="77">
        <f>AVERAGE(AS13:AS30)</f>
        <v>0.32513227615179674</v>
      </c>
      <c r="AT49" s="61">
        <f>AVERAGE(AT13:AT30)</f>
        <v>0</v>
      </c>
      <c r="AU49" s="61">
        <f>AVERAGE(AU13:AU30)</f>
        <v>0</v>
      </c>
      <c r="AV49" s="61">
        <f>AVERAGE(AV13:AV30)</f>
        <v>0</v>
      </c>
      <c r="AW49" s="61"/>
      <c r="AX49" s="33"/>
      <c r="AY49" s="61">
        <f>AVERAGE(AY13:AY47)</f>
        <v>4.9648025324039731E-2</v>
      </c>
      <c r="AZ49" s="61">
        <f>AVERAGE(AZ13:AZ47)</f>
        <v>9.7361622536691866E-2</v>
      </c>
      <c r="BA49" s="61">
        <f>AVERAGE(BA13:BA47)</f>
        <v>5.4727820898950098E-2</v>
      </c>
      <c r="BB49" s="61"/>
      <c r="BC49" s="61">
        <f>AVERAGE(BC13:BC47)</f>
        <v>0.20173746875968171</v>
      </c>
      <c r="BD49" s="61">
        <f>AVERAGE(BD13:BD47)</f>
        <v>4.2694632580919656E-2</v>
      </c>
      <c r="DF49" s="3">
        <v>-9031</v>
      </c>
      <c r="ET49" s="3" t="s">
        <v>111</v>
      </c>
      <c r="EU49" s="66">
        <f>AVERAGE($ET$13:$EU$48)</f>
        <v>0</v>
      </c>
    </row>
    <row r="50" spans="1:151" x14ac:dyDescent="0.2">
      <c r="B50" s="4" t="s">
        <v>112</v>
      </c>
      <c r="C50" s="71" t="e">
        <f>ROUND(AVERAGE(C21:C47),-2)</f>
        <v>#DIV/0!</v>
      </c>
      <c r="D50" s="71" t="e">
        <f>ROUND(AVERAGE(D21:D47),-2)</f>
        <v>#DIV/0!</v>
      </c>
      <c r="E50" s="71" t="e">
        <f>ROUND(AVERAGE(E21:E47),-2)</f>
        <v>#DIV/0!</v>
      </c>
      <c r="G50" s="14" t="e">
        <f t="shared" ref="G50:L50" si="121">ROUND(AVERAGE(G21:G47),-2)</f>
        <v>#DIV/0!</v>
      </c>
      <c r="H50" s="14" t="e">
        <f t="shared" si="121"/>
        <v>#DIV/0!</v>
      </c>
      <c r="I50" s="14" t="e">
        <f t="shared" si="121"/>
        <v>#DIV/0!</v>
      </c>
      <c r="J50" s="14">
        <f t="shared" si="121"/>
        <v>0</v>
      </c>
      <c r="K50" s="3" t="e">
        <f t="shared" si="121"/>
        <v>#DIV/0!</v>
      </c>
      <c r="L50" s="14">
        <f t="shared" si="121"/>
        <v>18600</v>
      </c>
      <c r="P50" s="14">
        <f>ROUND(AVERAGE(P21:P47),-2)</f>
        <v>3300</v>
      </c>
      <c r="R50" s="14">
        <f>ROUND(AVERAGE(R21:R47),-2)</f>
        <v>0</v>
      </c>
      <c r="S50" s="14">
        <f>ROUND(AVERAGE(S21:S47),-2)</f>
        <v>200</v>
      </c>
      <c r="T50" s="14">
        <f>ROUND(AVERAGE(T21:T47),-2)</f>
        <v>200</v>
      </c>
      <c r="V50" s="14">
        <f>ROUND(AVERAGE(V21:V47),-2)</f>
        <v>3300</v>
      </c>
      <c r="W50" s="14"/>
      <c r="X50" s="14">
        <f>ROUND(AVERAGE(X21:X47),-2)</f>
        <v>0</v>
      </c>
      <c r="Y50" s="14">
        <f>ROUND(AVERAGE(Y21:Y47),-2)</f>
        <v>0</v>
      </c>
      <c r="Z50" s="14">
        <f>ROUND(AVERAGE(Z21:Z47),-2)</f>
        <v>200</v>
      </c>
      <c r="AA50" s="14">
        <f>ROUND(AVERAGE(AA21:AA47),-2)</f>
        <v>200</v>
      </c>
      <c r="AC50" s="14">
        <f>ROUND(AVERAGE(AC21:AC47),-2)</f>
        <v>300</v>
      </c>
      <c r="AD50" s="14">
        <f>ROUND(AVERAGE(AD21:AD47),-2)</f>
        <v>100</v>
      </c>
      <c r="AE50" s="14">
        <f>ROUND(AVERAGE(AE21:AE47),-2)</f>
        <v>400</v>
      </c>
      <c r="AG50" s="14" t="e">
        <f t="shared" ref="AG50:AM50" si="122">ROUND(AVERAGE(AG21:AG47),-2)</f>
        <v>#DIV/0!</v>
      </c>
      <c r="AH50" s="14" t="e">
        <f t="shared" si="122"/>
        <v>#DIV/0!</v>
      </c>
      <c r="AI50" s="14" t="e">
        <f t="shared" si="122"/>
        <v>#DIV/0!</v>
      </c>
      <c r="AJ50" s="14">
        <f t="shared" si="122"/>
        <v>3900</v>
      </c>
      <c r="AK50" s="14"/>
      <c r="AL50" s="14">
        <f t="shared" si="122"/>
        <v>200</v>
      </c>
      <c r="AM50" s="14">
        <f t="shared" si="122"/>
        <v>4100</v>
      </c>
      <c r="AS50" s="77">
        <f t="shared" ref="AS50:AV51" si="123">AVERAGE(AS21:AS30)</f>
        <v>0.28158720646605218</v>
      </c>
      <c r="AT50" s="61">
        <f t="shared" si="123"/>
        <v>0</v>
      </c>
      <c r="AU50" s="61">
        <f t="shared" si="123"/>
        <v>0</v>
      </c>
      <c r="AV50" s="61">
        <f t="shared" si="123"/>
        <v>0</v>
      </c>
      <c r="AW50" s="61"/>
      <c r="AX50" s="33"/>
      <c r="AY50" s="61">
        <f t="shared" ref="AY50:BA51" si="124">AVERAGE(AY21:AY47)</f>
        <v>4.4580402221420262E-2</v>
      </c>
      <c r="AZ50" s="61">
        <f t="shared" si="124"/>
        <v>7.5237560399667808E-2</v>
      </c>
      <c r="BA50" s="61">
        <f t="shared" si="124"/>
        <v>4.1000351040642966E-2</v>
      </c>
      <c r="BB50" s="61"/>
      <c r="BC50" s="61">
        <f>AVERAGE(BC21:BC47)</f>
        <v>0.16081831366173102</v>
      </c>
      <c r="BD50" s="61">
        <f>AVERAGE(BD21:BD47)</f>
        <v>4.2034860934754614E-2</v>
      </c>
      <c r="BF50" s="3" t="s">
        <v>112</v>
      </c>
      <c r="CG50" s="126">
        <f>ROUND(AVERAGE(CG21:CG47),-2)</f>
        <v>27000</v>
      </c>
      <c r="CH50" s="126">
        <f>ROUND(AVERAGE(CH21:CH47),-2)</f>
        <v>28200</v>
      </c>
      <c r="CI50" s="126">
        <f t="shared" ref="CI50:CL50" si="125">ROUND(AVERAGE(CI21:CI47),-2)</f>
        <v>-20800</v>
      </c>
      <c r="CJ50" s="126">
        <f t="shared" si="125"/>
        <v>-21700</v>
      </c>
      <c r="CK50" s="126">
        <f t="shared" si="125"/>
        <v>17500</v>
      </c>
      <c r="CL50" s="126">
        <f t="shared" si="125"/>
        <v>-14200</v>
      </c>
      <c r="DF50" s="124">
        <f>DF49-DF48</f>
        <v>-12870.785816105739</v>
      </c>
      <c r="DL50" s="127">
        <f>AVERAGE(DL21:DL47)</f>
        <v>0.1106659011366324</v>
      </c>
      <c r="DM50" s="127">
        <f>AVERAGE(DM21:DM47)</f>
        <v>4.4472924407909807E-2</v>
      </c>
      <c r="ET50" s="3" t="s">
        <v>113</v>
      </c>
      <c r="EU50" s="66">
        <f>AVERAGE($ET$23:$EU$48)</f>
        <v>0</v>
      </c>
    </row>
    <row r="51" spans="1:151" x14ac:dyDescent="0.2">
      <c r="B51" s="4" t="s">
        <v>114</v>
      </c>
      <c r="C51" s="71" t="e">
        <f>ROUND(AVERAGE(C15:C47),-2)</f>
        <v>#DIV/0!</v>
      </c>
      <c r="D51" s="71" t="e">
        <f>ROUND(AVERAGE(D15:D47),-2)</f>
        <v>#DIV/0!</v>
      </c>
      <c r="E51" s="71" t="e">
        <f>ROUND(AVERAGE(E15:E47),-2)</f>
        <v>#DIV/0!</v>
      </c>
      <c r="G51" s="14" t="e">
        <f>ROUND(AVERAGE(G15:G47),-2)</f>
        <v>#DIV/0!</v>
      </c>
      <c r="H51" s="14" t="e">
        <f>ROUND(AVERAGE(H15:H47),-2)</f>
        <v>#DIV/0!</v>
      </c>
      <c r="I51" s="14" t="e">
        <f>ROUND(AVERAGE(I15:I47),-2)</f>
        <v>#DIV/0!</v>
      </c>
      <c r="J51" s="14">
        <f>ROUND(AVERAGE(J15:J47),-2)</f>
        <v>0</v>
      </c>
      <c r="K51" s="3" t="e">
        <f>ROUND(AVERAGE(K15:K47),-2)</f>
        <v>#DIV/0!</v>
      </c>
      <c r="L51" s="14">
        <f>ROUND(AVERAGE(L15:L47),-1)</f>
        <v>19090</v>
      </c>
      <c r="P51" s="14">
        <f>ROUND(AVERAGE(P15:P47),-2)</f>
        <v>3200</v>
      </c>
      <c r="R51" s="14">
        <f>ROUND(AVERAGE(R15:R47),-2)</f>
        <v>0</v>
      </c>
      <c r="S51" s="14">
        <f>ROUND(AVERAGE(S15:S47),-2)</f>
        <v>200</v>
      </c>
      <c r="T51" s="14">
        <f>ROUND(AVERAGE(T15:T47),-2)</f>
        <v>200</v>
      </c>
      <c r="V51" s="14">
        <f>ROUND(AVERAGE(V15:V47),-2)</f>
        <v>3200</v>
      </c>
      <c r="W51" s="14"/>
      <c r="X51" s="14">
        <f>ROUND(AVERAGE(X15:X47),-2)</f>
        <v>0</v>
      </c>
      <c r="Y51" s="14">
        <f>ROUND(AVERAGE(Y15:Y47),-2)</f>
        <v>0</v>
      </c>
      <c r="Z51" s="14">
        <f>ROUND(AVERAGE(Z15:Z47),-2)</f>
        <v>200</v>
      </c>
      <c r="AA51" s="14">
        <f>ROUND(AVERAGE(AA15:AA47),-2)</f>
        <v>200</v>
      </c>
      <c r="AC51" s="14">
        <f>ROUND(AVERAGE(AC15:AC47),-2)</f>
        <v>400</v>
      </c>
      <c r="AD51" s="14">
        <f>ROUND(AVERAGE(AD15:AD47),-2)</f>
        <v>200</v>
      </c>
      <c r="AE51" s="14">
        <f>ROUND(AVERAGE(AE15:AE47),-2)</f>
        <v>600</v>
      </c>
      <c r="AG51" s="14" t="e">
        <f t="shared" ref="AG51:AM51" si="126">ROUND(AVERAGE(AG15:AG47),-2)</f>
        <v>#DIV/0!</v>
      </c>
      <c r="AH51" s="14" t="e">
        <f t="shared" si="126"/>
        <v>#DIV/0!</v>
      </c>
      <c r="AI51" s="14" t="e">
        <f t="shared" si="126"/>
        <v>#DIV/0!</v>
      </c>
      <c r="AJ51" s="14">
        <f t="shared" si="126"/>
        <v>4000</v>
      </c>
      <c r="AK51" s="14"/>
      <c r="AL51" s="14">
        <f t="shared" si="126"/>
        <v>200</v>
      </c>
      <c r="AM51" s="14">
        <f t="shared" si="126"/>
        <v>4200</v>
      </c>
      <c r="AS51" s="77">
        <f t="shared" si="123"/>
        <v>0.26920728994097692</v>
      </c>
      <c r="AT51" s="61">
        <f t="shared" si="123"/>
        <v>0</v>
      </c>
      <c r="AU51" s="61">
        <f t="shared" si="123"/>
        <v>0</v>
      </c>
      <c r="AV51" s="61">
        <f t="shared" si="123"/>
        <v>0</v>
      </c>
      <c r="AW51" s="61"/>
      <c r="AX51" s="33"/>
      <c r="AY51" s="61">
        <f t="shared" si="124"/>
        <v>4.2652795633687381E-2</v>
      </c>
      <c r="AZ51" s="61">
        <f t="shared" si="124"/>
        <v>7.5592701318498351E-2</v>
      </c>
      <c r="BA51" s="61">
        <f t="shared" si="124"/>
        <v>4.0895308024797267E-2</v>
      </c>
      <c r="BB51" s="61"/>
      <c r="BC51" s="61">
        <f>AVERAGE(BC22:BC48)</f>
        <v>0.15914080497698299</v>
      </c>
      <c r="BD51" s="61">
        <f>AVERAGE(BD22:BD48)</f>
        <v>4.1925055007816854E-2</v>
      </c>
      <c r="BF51" s="3" t="s">
        <v>114</v>
      </c>
      <c r="CG51" s="126">
        <f>ROUND(AVERAGE(CG15:CG47),-2)</f>
        <v>28900</v>
      </c>
      <c r="CH51" s="126">
        <f>ROUND(AVERAGE(CH15:CH47),-2)</f>
        <v>30300</v>
      </c>
      <c r="CI51" s="126">
        <f t="shared" ref="CI51:CL51" si="127">ROUND(AVERAGE(CI15:CI47),-2)</f>
        <v>-10800</v>
      </c>
      <c r="CJ51" s="126">
        <f t="shared" si="127"/>
        <v>-11200</v>
      </c>
      <c r="CK51" s="126">
        <f t="shared" si="127"/>
        <v>18000</v>
      </c>
      <c r="CL51" s="126">
        <f t="shared" si="127"/>
        <v>-14700</v>
      </c>
      <c r="DI51" s="66">
        <f>AVERAGE(DI$13:DI47)</f>
        <v>0.97797970056324235</v>
      </c>
      <c r="DL51" s="127">
        <f>AVERAGE(DL22:DL48)</f>
        <v>0.11441080708651065</v>
      </c>
      <c r="DM51" s="127">
        <f>AVERAGE(DM22:DM48)</f>
        <v>4.5105615405644714E-2</v>
      </c>
      <c r="ET51" s="3" t="s">
        <v>113</v>
      </c>
      <c r="EU51" s="66">
        <f>AVERAGE($ET$23:$EU$48)</f>
        <v>0</v>
      </c>
    </row>
    <row r="52" spans="1:151" ht="4.5" customHeight="1" thickBot="1" x14ac:dyDescent="0.25">
      <c r="B52" s="4"/>
      <c r="C52" s="71"/>
      <c r="D52" s="71"/>
      <c r="E52" s="71"/>
      <c r="G52" s="14"/>
      <c r="H52" s="14"/>
      <c r="I52" s="14"/>
      <c r="J52" s="14"/>
      <c r="L52" s="14"/>
      <c r="P52" s="14"/>
      <c r="R52" s="14"/>
      <c r="S52" s="14"/>
      <c r="T52" s="14"/>
      <c r="V52" s="14"/>
      <c r="X52" s="14"/>
      <c r="Y52" s="14"/>
      <c r="Z52" s="14"/>
      <c r="AA52" s="14"/>
      <c r="AC52" s="14"/>
      <c r="AD52" s="14"/>
      <c r="AE52" s="14"/>
      <c r="AG52" s="14"/>
      <c r="AH52" s="14"/>
      <c r="AI52" s="14"/>
      <c r="AJ52" s="14"/>
      <c r="AK52" s="14"/>
      <c r="AL52" s="14"/>
      <c r="AM52" s="14"/>
      <c r="AS52" s="128"/>
      <c r="AT52" s="106"/>
      <c r="AU52" s="106"/>
      <c r="AV52" s="106"/>
      <c r="AW52" s="106"/>
      <c r="AY52" s="106"/>
      <c r="AZ52" s="106"/>
      <c r="BA52" s="106"/>
      <c r="BB52" s="106"/>
      <c r="BC52" s="106"/>
      <c r="BD52" s="106"/>
      <c r="BH52" s="3"/>
      <c r="BI52" s="3"/>
      <c r="BJ52" s="3"/>
      <c r="BL52" s="3"/>
      <c r="BM52" s="3"/>
      <c r="BN52" s="3"/>
      <c r="CG52" s="8"/>
      <c r="CH52" s="8"/>
      <c r="DL52" s="127"/>
      <c r="DM52" s="127"/>
    </row>
    <row r="53" spans="1:151" ht="13.5" thickBot="1" x14ac:dyDescent="0.25">
      <c r="B53" s="4" t="s">
        <v>115</v>
      </c>
      <c r="C53" s="71">
        <f>MIN(C$13:C47)</f>
        <v>0</v>
      </c>
      <c r="D53" s="71">
        <f>MIN(D$13:D47)</f>
        <v>0</v>
      </c>
      <c r="E53" s="71">
        <f>MIN(E$13:E47)</f>
        <v>0</v>
      </c>
      <c r="G53" s="14">
        <f>MIN(G$13:G47)</f>
        <v>0</v>
      </c>
      <c r="H53" s="14">
        <f>MIN(H$13:H47)</f>
        <v>0</v>
      </c>
      <c r="I53" s="14">
        <f>MIN(I$13:I47)</f>
        <v>0</v>
      </c>
      <c r="J53" s="14">
        <f>MIN(J$13:J47)</f>
        <v>0</v>
      </c>
      <c r="L53" s="14">
        <f>MIN(L$13:L47)</f>
        <v>7070</v>
      </c>
      <c r="P53" s="14">
        <f>MIN(P$13:P47)</f>
        <v>891.39661832864556</v>
      </c>
      <c r="R53" s="14">
        <f>MIN(R$13:R47)</f>
        <v>0.1375791683153253</v>
      </c>
      <c r="S53" s="14">
        <f>MIN(S$13:S47)</f>
        <v>13</v>
      </c>
      <c r="T53" s="14">
        <f>MIN(T$13:T47)</f>
        <v>13.137579168315325</v>
      </c>
      <c r="V53" s="14">
        <f>MIN(V$13:V47)</f>
        <v>891.39661832864556</v>
      </c>
      <c r="X53" s="14">
        <f>MIN(X$13:X47)</f>
        <v>0</v>
      </c>
      <c r="Y53" s="14">
        <f>MIN(Y$13:Y47)</f>
        <v>0</v>
      </c>
      <c r="Z53" s="14">
        <f>MIN(Z$13:Z47)</f>
        <v>13</v>
      </c>
      <c r="AA53" s="14">
        <f>MIN(AA$13:AA47)</f>
        <v>13.137579168315325</v>
      </c>
      <c r="AC53" s="14">
        <f>MIN(AC$13:AC47)</f>
        <v>2.431006382056768</v>
      </c>
      <c r="AD53" s="14">
        <f>MIN(AD$13:AD47)</f>
        <v>31.60131415801283</v>
      </c>
      <c r="AE53" s="14">
        <f>MIN(AE$13:AE47)</f>
        <v>44.975863179226842</v>
      </c>
      <c r="AG53" s="14">
        <f>MIN(AG$13:AG47)</f>
        <v>0</v>
      </c>
      <c r="AH53" s="14">
        <f>MIN(AH$13:AH47)</f>
        <v>0</v>
      </c>
      <c r="AI53" s="14">
        <f>MIN(AI$13:AI47)</f>
        <v>0</v>
      </c>
      <c r="AJ53" s="14">
        <f>MIN(AJ$13:AJ47)</f>
        <v>1196.6300627647868</v>
      </c>
      <c r="AK53" s="14"/>
      <c r="AL53" s="14">
        <f>MIN(AL$13:AL47)</f>
        <v>23.833003202184866</v>
      </c>
      <c r="AM53" s="14">
        <f>MIN(AM$13:AM47)</f>
        <v>1260.5846386701301</v>
      </c>
      <c r="AS53" s="77">
        <f>MIN(AS$13:AS47)</f>
        <v>7.3741775758039127E-2</v>
      </c>
      <c r="AT53" s="106"/>
      <c r="AU53" s="106"/>
      <c r="AV53" s="106"/>
      <c r="AW53" s="106"/>
      <c r="AY53" s="106"/>
      <c r="AZ53" s="106"/>
      <c r="BA53" s="106"/>
      <c r="BB53" s="106"/>
      <c r="BC53" s="129" t="s">
        <v>116</v>
      </c>
      <c r="BD53" s="130">
        <f>AVERAGE(BD28:BD38)</f>
        <v>4.4674676120675154E-2</v>
      </c>
      <c r="BF53" s="3" t="s">
        <v>115</v>
      </c>
      <c r="CG53" s="126">
        <f>MIN(CG$13:CG47)</f>
        <v>11083.400911215593</v>
      </c>
      <c r="CH53" s="126">
        <f>MIN(CH$13:CH47)</f>
        <v>11765.400911215593</v>
      </c>
      <c r="CI53" s="126">
        <f>MIN(CI$13:CI47)</f>
        <v>-41650.703199010029</v>
      </c>
      <c r="CJ53" s="126">
        <f>MIN(CJ$13:CJ47)</f>
        <v>-43780.805911078001</v>
      </c>
      <c r="CK53" s="126">
        <f>MIN(CK$13:CK47)</f>
        <v>4989.2409112155929</v>
      </c>
      <c r="CL53" s="126">
        <f>MIN(CL$13:CL47)</f>
        <v>-26929.003339737661</v>
      </c>
      <c r="DI53" s="66">
        <f>MIN(DI$13:DI47)</f>
        <v>0.27333011858699652</v>
      </c>
      <c r="DL53" s="127"/>
      <c r="DM53" s="127"/>
      <c r="EJ53" s="131">
        <f>AVERAGE(EJ29:EJ31)</f>
        <v>1.5629644543301016</v>
      </c>
      <c r="EK53" s="131">
        <f>AVERAGE(EK31)</f>
        <v>1</v>
      </c>
      <c r="EU53" s="66">
        <f>MIN($ET$13:$EU$48)</f>
        <v>0</v>
      </c>
    </row>
    <row r="54" spans="1:151" x14ac:dyDescent="0.2">
      <c r="B54" s="4" t="s">
        <v>117</v>
      </c>
      <c r="C54" s="71">
        <f>MAX(C$13:C47)</f>
        <v>0</v>
      </c>
      <c r="D54" s="71">
        <f>MAX(D$13:D47)</f>
        <v>0</v>
      </c>
      <c r="E54" s="71">
        <f>MAX(E$13:E47)</f>
        <v>0</v>
      </c>
      <c r="G54" s="14">
        <f>MAX(G$13:G47)</f>
        <v>0</v>
      </c>
      <c r="H54" s="14">
        <f>MAX(H$13:H47)</f>
        <v>0</v>
      </c>
      <c r="I54" s="14">
        <f>MAX(I$13:I47)</f>
        <v>0</v>
      </c>
      <c r="J54" s="14">
        <f>MAX(J$13:J47)</f>
        <v>0</v>
      </c>
      <c r="L54" s="14">
        <f>MAX(L$13:L47)</f>
        <v>35715</v>
      </c>
      <c r="P54" s="14">
        <f>MAX(P$13:P47)</f>
        <v>15029.315747871828</v>
      </c>
      <c r="R54" s="14">
        <f>MAX(R$13:R47)</f>
        <v>80.942798490809523</v>
      </c>
      <c r="S54" s="14">
        <f>MAX(S$13:S47)</f>
        <v>618</v>
      </c>
      <c r="T54" s="14">
        <f>MAX(T$13:T47)</f>
        <v>682.64444641313764</v>
      </c>
      <c r="V54" s="14">
        <f>MAX(V$13:V47)</f>
        <v>15029.315747871828</v>
      </c>
      <c r="X54" s="14">
        <f>MAX(X$13:X47)</f>
        <v>0</v>
      </c>
      <c r="Y54" s="14">
        <f>MAX(Y$13:Y47)</f>
        <v>80.942798490809523</v>
      </c>
      <c r="Z54" s="14">
        <f>MAX(Z$13:Z47)</f>
        <v>618</v>
      </c>
      <c r="AA54" s="14">
        <f>MAX(AA$13:AA47)</f>
        <v>682.64444641313764</v>
      </c>
      <c r="AC54" s="14">
        <f>MAX(AC$13:AC47)</f>
        <v>1322.0958188008717</v>
      </c>
      <c r="AD54" s="14">
        <f>MAX(AD$13:AD47)</f>
        <v>775.94250735350261</v>
      </c>
      <c r="AE54" s="14">
        <f>MAX(AE$13:AE47)</f>
        <v>2098.0383261543743</v>
      </c>
      <c r="AG54" s="14">
        <f>MAX(AG$13:AG47)</f>
        <v>0</v>
      </c>
      <c r="AH54" s="14">
        <f>MAX(AH$13:AH47)</f>
        <v>0</v>
      </c>
      <c r="AI54" s="14">
        <f>MAX(AI$13:AI47)</f>
        <v>0</v>
      </c>
      <c r="AJ54" s="14">
        <f>MAX(AJ$13:AJ47)</f>
        <v>15557.685140536682</v>
      </c>
      <c r="AK54" s="14"/>
      <c r="AL54" s="14">
        <f>MAX(AL$13:AL47)</f>
        <v>727.56997864542541</v>
      </c>
      <c r="AM54" s="14">
        <f>MAX(AM$13:AM47)</f>
        <v>16285.750335656938</v>
      </c>
      <c r="AS54" s="77">
        <f>MAX(AS$13:AS47)</f>
        <v>0.4658833359583095</v>
      </c>
      <c r="AT54" s="106"/>
      <c r="AU54" s="106"/>
      <c r="AV54" s="106"/>
      <c r="AW54" s="106"/>
      <c r="AY54" s="106"/>
      <c r="AZ54" s="106"/>
      <c r="BA54" s="106"/>
      <c r="BB54" s="106"/>
      <c r="BC54" s="106"/>
      <c r="BD54" s="106"/>
      <c r="BF54" s="3" t="s">
        <v>117</v>
      </c>
      <c r="CG54" s="126">
        <f>MAX(CG$13:CG47)</f>
        <v>47505.849332349782</v>
      </c>
      <c r="CH54" s="126">
        <f>MAX(CH$13:CH47)</f>
        <v>49905.849332349782</v>
      </c>
      <c r="CI54" s="126">
        <f>MAX(CI$13:CI47)</f>
        <v>42616.193273412093</v>
      </c>
      <c r="CJ54" s="126">
        <f>MAX(CJ$13:CJ47)</f>
        <v>44747.06715307603</v>
      </c>
      <c r="CK54" s="126">
        <f>MAX(CK$13:CK47)</f>
        <v>31863.840516420514</v>
      </c>
      <c r="CL54" s="126">
        <f>MAX(CL$13:CL47)</f>
        <v>-4097.8442928869472</v>
      </c>
      <c r="DI54" s="66">
        <f>MAX(DI$13:DI47)</f>
        <v>1</v>
      </c>
      <c r="DL54" s="127"/>
      <c r="DM54" s="127"/>
      <c r="EJ54" s="131">
        <f>1-EJ53</f>
        <v>-0.56296445433010156</v>
      </c>
      <c r="EU54" s="66">
        <f>MIN($ET$23:$EU$48)</f>
        <v>0</v>
      </c>
    </row>
    <row r="55" spans="1:151" ht="6" customHeight="1" x14ac:dyDescent="0.2">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c r="AJ55" s="13"/>
      <c r="AK55" s="13"/>
      <c r="AL55" s="13"/>
      <c r="AM55" s="13"/>
    </row>
    <row r="56" spans="1:151" ht="15.75" customHeight="1" x14ac:dyDescent="0.2">
      <c r="A56" s="132" t="s">
        <v>118</v>
      </c>
      <c r="B56" s="133" t="s">
        <v>119</v>
      </c>
      <c r="AT56" s="985" t="s">
        <v>120</v>
      </c>
      <c r="AU56" s="985"/>
      <c r="BT56" s="33"/>
      <c r="BU56" s="33" t="s">
        <v>121</v>
      </c>
      <c r="BV56" s="33" t="s">
        <v>122</v>
      </c>
      <c r="BW56" s="33" t="s">
        <v>57</v>
      </c>
      <c r="BX56" s="33" t="s">
        <v>43</v>
      </c>
      <c r="BY56" s="33"/>
      <c r="BZ56" s="33" t="s">
        <v>123</v>
      </c>
      <c r="CA56" s="33" t="s">
        <v>124</v>
      </c>
      <c r="CB56" s="33"/>
      <c r="EJ56" s="5">
        <f>C33*EJ53</f>
        <v>0</v>
      </c>
      <c r="EK56" s="14">
        <f>$C33+EJ56</f>
        <v>0</v>
      </c>
      <c r="EL56" s="89" t="e">
        <f>EJ56/EK56</f>
        <v>#DIV/0!</v>
      </c>
      <c r="EU56" s="66">
        <f>MAX($ET$13:$EU$48)</f>
        <v>0</v>
      </c>
    </row>
    <row r="57" spans="1:151" ht="15.75" customHeight="1" thickBot="1" x14ac:dyDescent="0.25">
      <c r="A57" s="132" t="s">
        <v>125</v>
      </c>
      <c r="B57" s="133" t="s">
        <v>126</v>
      </c>
      <c r="AS57" s="134">
        <v>2011</v>
      </c>
      <c r="AT57" s="134">
        <v>2011</v>
      </c>
      <c r="AU57" s="135">
        <v>2012</v>
      </c>
      <c r="AV57" s="134">
        <v>2013</v>
      </c>
      <c r="AW57" s="134">
        <v>2014</v>
      </c>
      <c r="AX57" s="134">
        <v>2015</v>
      </c>
      <c r="AY57" s="134">
        <v>2016</v>
      </c>
      <c r="AZ57" s="134">
        <v>2017</v>
      </c>
      <c r="BA57" s="33">
        <v>2018</v>
      </c>
      <c r="BB57" s="33">
        <v>2019</v>
      </c>
      <c r="BC57" s="33">
        <v>2020</v>
      </c>
      <c r="BD57" s="33">
        <v>2021</v>
      </c>
      <c r="BE57" s="33">
        <v>2022</v>
      </c>
      <c r="BF57" s="33">
        <v>2023</v>
      </c>
      <c r="BG57" s="33">
        <v>2024</v>
      </c>
      <c r="BH57" s="33">
        <v>2025</v>
      </c>
      <c r="BP57" s="33">
        <v>1986</v>
      </c>
      <c r="BT57" s="33">
        <f t="shared" ref="BT57:BT75" si="128">B13</f>
        <v>1992</v>
      </c>
      <c r="BU57" s="77"/>
      <c r="BV57" s="77"/>
      <c r="BW57" s="77"/>
      <c r="BX57" s="77"/>
      <c r="BY57" s="33"/>
      <c r="BZ57" s="62">
        <f t="shared" ref="BZ57:BZ74" si="129">P13</f>
        <v>2053.3284350514323</v>
      </c>
      <c r="CA57" s="62">
        <f t="shared" ref="CA57:CA74" si="130">V13</f>
        <v>2053.3284350514323</v>
      </c>
      <c r="CB57" s="136">
        <f>BZ57/CA57</f>
        <v>1</v>
      </c>
      <c r="EJ57" s="5">
        <f>C33*(EK53)</f>
        <v>0</v>
      </c>
      <c r="EK57" s="14">
        <f>$C33+EJ57</f>
        <v>0</v>
      </c>
      <c r="EL57" s="89" t="e">
        <f>EJ57/EK57</f>
        <v>#DIV/0!</v>
      </c>
      <c r="EU57" s="66">
        <f>MAX($ET$23:$EU$48)</f>
        <v>0</v>
      </c>
    </row>
    <row r="58" spans="1:151" ht="15.75" customHeight="1" thickBot="1" x14ac:dyDescent="0.25">
      <c r="A58" s="132" t="s">
        <v>127</v>
      </c>
      <c r="B58" s="133" t="s">
        <v>128</v>
      </c>
      <c r="AR58" s="137"/>
      <c r="AS58" s="138">
        <f>CB74</f>
        <v>1</v>
      </c>
      <c r="AT58" s="138">
        <f>AL31/AJ31</f>
        <v>3.0038072069939307E-2</v>
      </c>
      <c r="AU58" s="139">
        <f>AL31/AJ31</f>
        <v>3.0038072069939307E-2</v>
      </c>
      <c r="AV58" s="140">
        <f>AU58</f>
        <v>3.0038072069939307E-2</v>
      </c>
      <c r="AW58" s="140">
        <f>AV58</f>
        <v>3.0038072069939307E-2</v>
      </c>
      <c r="AX58" s="140">
        <f>AW58</f>
        <v>3.0038072069939307E-2</v>
      </c>
      <c r="AY58" s="140">
        <f>AX58</f>
        <v>3.0038072069939307E-2</v>
      </c>
      <c r="AZ58" s="140">
        <f>AY58</f>
        <v>3.0038072069939307E-2</v>
      </c>
      <c r="BA58" s="78">
        <f>BD39</f>
        <v>4.4674676120675154E-2</v>
      </c>
      <c r="BB58" s="78">
        <f>BD39</f>
        <v>4.4674676120675154E-2</v>
      </c>
      <c r="BC58" s="78">
        <f>BD41</f>
        <v>4.4674676120675154E-2</v>
      </c>
      <c r="BD58" s="78">
        <f>$BD42</f>
        <v>4.4674676120675154E-2</v>
      </c>
      <c r="BE58" s="78">
        <f>$BD42</f>
        <v>4.4674676120675154E-2</v>
      </c>
      <c r="BF58" s="78">
        <f>$BD46</f>
        <v>4.4674676120675154E-2</v>
      </c>
      <c r="BG58" s="78">
        <f>$BD46</f>
        <v>4.4674676120675154E-2</v>
      </c>
      <c r="BH58" s="78">
        <f>$BD46</f>
        <v>4.4674676120675154E-2</v>
      </c>
      <c r="BK58" s="17"/>
      <c r="BP58" s="78">
        <f>BD53</f>
        <v>4.4674676120675154E-2</v>
      </c>
      <c r="BT58" s="33">
        <f t="shared" si="128"/>
        <v>1993</v>
      </c>
      <c r="BU58" s="77" t="e">
        <f>G13/$J13</f>
        <v>#DIV/0!</v>
      </c>
      <c r="BV58" s="77" t="e">
        <f>I13/$J13</f>
        <v>#DIV/0!</v>
      </c>
      <c r="BW58" s="77" t="e">
        <f>H13/$J13</f>
        <v>#DIV/0!</v>
      </c>
      <c r="BX58" s="77" t="e">
        <f>J13/$J13</f>
        <v>#DIV/0!</v>
      </c>
      <c r="BY58" s="33"/>
      <c r="BZ58" s="62">
        <f t="shared" si="129"/>
        <v>2293.2596022920402</v>
      </c>
      <c r="CA58" s="62">
        <f t="shared" si="130"/>
        <v>2293.2596022920402</v>
      </c>
      <c r="CB58" s="136">
        <f>BZ58/CA58</f>
        <v>1</v>
      </c>
    </row>
    <row r="59" spans="1:151" ht="15.75" customHeight="1" x14ac:dyDescent="0.2">
      <c r="A59" s="132" t="s">
        <v>129</v>
      </c>
      <c r="B59" s="133" t="s">
        <v>661</v>
      </c>
      <c r="X59" s="3" t="s">
        <v>662</v>
      </c>
      <c r="Y59" s="145">
        <f>SUM(S21:S30)/SUM(S21:S30,P21:P30)</f>
        <v>9.6307395832169004E-2</v>
      </c>
      <c r="Z59" s="145"/>
      <c r="AO59" s="3">
        <v>676</v>
      </c>
      <c r="AS59" s="14"/>
      <c r="AT59" s="14"/>
      <c r="AU59" s="14"/>
      <c r="BH59" s="3"/>
      <c r="BT59" s="33">
        <f t="shared" si="128"/>
        <v>1994</v>
      </c>
      <c r="BU59" s="77" t="e">
        <f>G14/$J14</f>
        <v>#DIV/0!</v>
      </c>
      <c r="BV59" s="77" t="e">
        <f>I14/$J14</f>
        <v>#DIV/0!</v>
      </c>
      <c r="BW59" s="77" t="e">
        <f>H14/$J14</f>
        <v>#DIV/0!</v>
      </c>
      <c r="BX59" s="77" t="e">
        <f>J14/$J14</f>
        <v>#DIV/0!</v>
      </c>
      <c r="BY59" s="33"/>
      <c r="BZ59" s="62">
        <f t="shared" si="129"/>
        <v>5777.6481465135384</v>
      </c>
      <c r="CA59" s="62">
        <f t="shared" si="130"/>
        <v>5777.6481465135384</v>
      </c>
      <c r="CB59" s="136">
        <f t="shared" ref="CB59:CB64" si="131">BZ59/CA59</f>
        <v>1</v>
      </c>
    </row>
    <row r="60" spans="1:151" ht="15.75" x14ac:dyDescent="0.2">
      <c r="A60" s="132" t="s">
        <v>131</v>
      </c>
      <c r="B60" s="133" t="s">
        <v>132</v>
      </c>
      <c r="AO60" s="3">
        <v>1731</v>
      </c>
      <c r="AS60" s="127">
        <f t="shared" ref="AS60:BF60" si="132">1-AS58</f>
        <v>0</v>
      </c>
      <c r="AT60" s="127">
        <f t="shared" si="132"/>
        <v>0.96996192793006064</v>
      </c>
      <c r="AU60" s="127">
        <f t="shared" si="132"/>
        <v>0.96996192793006064</v>
      </c>
      <c r="AV60" s="127">
        <f t="shared" si="132"/>
        <v>0.96996192793006064</v>
      </c>
      <c r="AW60" s="127">
        <f t="shared" si="132"/>
        <v>0.96996192793006064</v>
      </c>
      <c r="AX60" s="127">
        <f t="shared" si="132"/>
        <v>0.96996192793006064</v>
      </c>
      <c r="AY60" s="127">
        <f t="shared" si="132"/>
        <v>0.96996192793006064</v>
      </c>
      <c r="AZ60" s="127">
        <f t="shared" si="132"/>
        <v>0.96996192793006064</v>
      </c>
      <c r="BA60" s="127">
        <f t="shared" si="132"/>
        <v>0.95532532387932489</v>
      </c>
      <c r="BB60" s="127">
        <f t="shared" si="132"/>
        <v>0.95532532387932489</v>
      </c>
      <c r="BC60" s="127">
        <f t="shared" si="132"/>
        <v>0.95532532387932489</v>
      </c>
      <c r="BD60" s="127">
        <f t="shared" si="132"/>
        <v>0.95532532387932489</v>
      </c>
      <c r="BE60" s="127">
        <f t="shared" si="132"/>
        <v>0.95532532387932489</v>
      </c>
      <c r="BF60" s="127">
        <f t="shared" si="132"/>
        <v>0.95532532387932489</v>
      </c>
      <c r="BG60" s="127">
        <f>1-BG58</f>
        <v>0.95532532387932489</v>
      </c>
      <c r="BH60" s="127">
        <f>1-BH58</f>
        <v>0.95532532387932489</v>
      </c>
      <c r="BK60" s="127"/>
      <c r="BP60" s="127">
        <f>1-BP58</f>
        <v>0.95532532387932489</v>
      </c>
      <c r="BT60" s="33">
        <f t="shared" si="128"/>
        <v>1995</v>
      </c>
      <c r="BU60" s="77" t="e">
        <f t="shared" ref="BU60:BU65" si="133">G16/$J16</f>
        <v>#DIV/0!</v>
      </c>
      <c r="BV60" s="77" t="e">
        <f t="shared" ref="BV60:BV65" si="134">I16/$J16</f>
        <v>#DIV/0!</v>
      </c>
      <c r="BW60" s="77" t="e">
        <f t="shared" ref="BW60:BW65" si="135">H16/$J16</f>
        <v>#DIV/0!</v>
      </c>
      <c r="BX60" s="77" t="e">
        <f t="shared" ref="BX60:BX65" si="136">J16/$J16</f>
        <v>#DIV/0!</v>
      </c>
      <c r="BY60" s="33"/>
      <c r="BZ60" s="62">
        <f t="shared" si="129"/>
        <v>1690.4925854407047</v>
      </c>
      <c r="CA60" s="62">
        <f t="shared" si="130"/>
        <v>1690.4925854407047</v>
      </c>
      <c r="CB60" s="136">
        <f t="shared" si="131"/>
        <v>1</v>
      </c>
    </row>
    <row r="61" spans="1:151" ht="15.75" customHeight="1" x14ac:dyDescent="0.2">
      <c r="A61" s="132" t="s">
        <v>133</v>
      </c>
      <c r="B61" s="141" t="s">
        <v>134</v>
      </c>
      <c r="AO61" s="3">
        <v>1824</v>
      </c>
      <c r="AR61" s="3" t="s">
        <v>63</v>
      </c>
      <c r="AS61" s="72" t="e">
        <f>C32/AS60</f>
        <v>#DIV/0!</v>
      </c>
      <c r="AT61" s="72">
        <f>AJ32/AT60</f>
        <v>2063.1034965548524</v>
      </c>
      <c r="AU61" s="72">
        <f>$AJ33/AU60</f>
        <v>2321.3056923001573</v>
      </c>
      <c r="AV61" s="72">
        <f>$AJ34/AV60</f>
        <v>2461.6867332396523</v>
      </c>
      <c r="AW61" s="72">
        <f>$AJ35/AW60</f>
        <v>2695.526813733266</v>
      </c>
      <c r="AX61" s="72">
        <f>$AJ36/AX60</f>
        <v>3548.7498977220298</v>
      </c>
      <c r="AY61" s="72">
        <f>$AJ37/AY60</f>
        <v>2008.2078360520741</v>
      </c>
      <c r="AZ61" s="72">
        <f>$AJ38/AZ60</f>
        <v>1233.6876616574482</v>
      </c>
      <c r="BA61" s="72">
        <f>$AJ39/BA60</f>
        <v>3015.5810880798313</v>
      </c>
      <c r="BB61" s="72">
        <f>$AJ40/BB60</f>
        <v>3364.7951419637288</v>
      </c>
      <c r="BC61" s="72">
        <f>$AJ41/BC60</f>
        <v>2196.0429785005417</v>
      </c>
      <c r="BD61" s="72">
        <f>$AJ42/BD60</f>
        <v>1701.337241910551</v>
      </c>
      <c r="BE61" s="72">
        <f>$AJ43/BE60</f>
        <v>5677.4761868829692</v>
      </c>
      <c r="BF61" s="72">
        <f>$AJ44/BF60</f>
        <v>2607.5635395310742</v>
      </c>
      <c r="BG61" s="72">
        <f>$AJ45/BG60</f>
        <v>5984.4401487251207</v>
      </c>
      <c r="BH61" s="72">
        <f>$AJ46/BH60</f>
        <v>16285.222166372618</v>
      </c>
      <c r="BK61" s="14"/>
      <c r="BP61" s="14">
        <f>$AJ7/BP60</f>
        <v>50586.791546119857</v>
      </c>
      <c r="BT61" s="33">
        <f t="shared" si="128"/>
        <v>1996</v>
      </c>
      <c r="BU61" s="77" t="e">
        <f t="shared" si="133"/>
        <v>#DIV/0!</v>
      </c>
      <c r="BV61" s="77" t="e">
        <f t="shared" si="134"/>
        <v>#DIV/0!</v>
      </c>
      <c r="BW61" s="77" t="e">
        <f t="shared" si="135"/>
        <v>#DIV/0!</v>
      </c>
      <c r="BX61" s="77" t="e">
        <f t="shared" si="136"/>
        <v>#DIV/0!</v>
      </c>
      <c r="BY61" s="33"/>
      <c r="BZ61" s="62">
        <f t="shared" si="129"/>
        <v>2124.6061268403055</v>
      </c>
      <c r="CA61" s="62">
        <f t="shared" si="130"/>
        <v>2124.6061268403055</v>
      </c>
      <c r="CB61" s="136">
        <f t="shared" si="131"/>
        <v>1</v>
      </c>
    </row>
    <row r="62" spans="1:151" ht="15.75" customHeight="1" x14ac:dyDescent="0.2">
      <c r="A62" s="132"/>
      <c r="B62" s="141" t="s">
        <v>135</v>
      </c>
      <c r="AO62" s="3">
        <v>2214</v>
      </c>
      <c r="AR62" s="3" t="s">
        <v>62</v>
      </c>
      <c r="AS62" s="14">
        <f>C32</f>
        <v>0</v>
      </c>
      <c r="AT62" s="14">
        <f>AJ32</f>
        <v>2001.1318450375938</v>
      </c>
      <c r="AU62" s="14">
        <f>$AJ33</f>
        <v>2251.5781446184847</v>
      </c>
      <c r="AV62" s="14">
        <f>$AJ34</f>
        <v>2387.7424097329858</v>
      </c>
      <c r="AW62" s="14">
        <f>$AJ35</f>
        <v>2614.5583850358921</v>
      </c>
      <c r="AX62" s="14">
        <f>$AJ36</f>
        <v>3442.1522925360655</v>
      </c>
      <c r="AY62" s="14">
        <f>$AJ37</f>
        <v>1947.8851443413248</v>
      </c>
      <c r="AZ62" s="14">
        <f>$AJ38</f>
        <v>1196.6300627647868</v>
      </c>
      <c r="BA62" s="14">
        <f>$AJ39</f>
        <v>2880.8609796542319</v>
      </c>
      <c r="BB62" s="14">
        <f>$AJ40</f>
        <v>3214.4740087840783</v>
      </c>
      <c r="BC62" s="14">
        <f>$AJ41</f>
        <v>2097.9354696889473</v>
      </c>
      <c r="BD62" s="14">
        <f>$AJ42</f>
        <v>1625.3305516561545</v>
      </c>
      <c r="BE62" s="14">
        <f>$AJ43</f>
        <v>5423.8367770511268</v>
      </c>
      <c r="BF62" s="14">
        <f>$AJ44</f>
        <v>2491.0714829384424</v>
      </c>
      <c r="BG62" s="14">
        <f>$AJ45</f>
        <v>5717.0872233172613</v>
      </c>
      <c r="BH62" s="14">
        <f>$AJ46</f>
        <v>15557.685140536682</v>
      </c>
      <c r="BK62" s="14"/>
      <c r="BP62" s="14">
        <f>$AJ7</f>
        <v>48326.843017812847</v>
      </c>
      <c r="BT62" s="33">
        <f t="shared" si="128"/>
        <v>1997</v>
      </c>
      <c r="BU62" s="77" t="e">
        <f t="shared" si="133"/>
        <v>#DIV/0!</v>
      </c>
      <c r="BV62" s="77" t="e">
        <f t="shared" si="134"/>
        <v>#DIV/0!</v>
      </c>
      <c r="BW62" s="77" t="e">
        <f t="shared" si="135"/>
        <v>#DIV/0!</v>
      </c>
      <c r="BX62" s="77" t="e">
        <f t="shared" si="136"/>
        <v>#DIV/0!</v>
      </c>
      <c r="BY62" s="33"/>
      <c r="BZ62" s="62">
        <f t="shared" si="129"/>
        <v>2996.9324023471959</v>
      </c>
      <c r="CA62" s="62">
        <f t="shared" si="130"/>
        <v>2996.9324023471959</v>
      </c>
      <c r="CB62" s="136">
        <f t="shared" si="131"/>
        <v>1</v>
      </c>
    </row>
    <row r="63" spans="1:151" ht="15.75" customHeight="1" thickBot="1" x14ac:dyDescent="0.25">
      <c r="A63" s="132"/>
      <c r="B63" s="141" t="s">
        <v>136</v>
      </c>
      <c r="AO63" s="3">
        <f>SUM(AO59:AO62)</f>
        <v>6445</v>
      </c>
      <c r="AS63" s="142" t="e">
        <f t="shared" ref="AS63:BD63" si="137">AS61-AS62</f>
        <v>#DIV/0!</v>
      </c>
      <c r="AT63" s="143">
        <f t="shared" si="137"/>
        <v>61.971651517258579</v>
      </c>
      <c r="AU63" s="143">
        <f t="shared" si="137"/>
        <v>69.727547681672604</v>
      </c>
      <c r="AV63" s="143">
        <f t="shared" si="137"/>
        <v>73.944323506666478</v>
      </c>
      <c r="AW63" s="143">
        <f t="shared" si="137"/>
        <v>80.968428697373838</v>
      </c>
      <c r="AX63" s="143">
        <f t="shared" si="137"/>
        <v>106.59760518596431</v>
      </c>
      <c r="AY63" s="143">
        <f t="shared" si="137"/>
        <v>60.322691710749268</v>
      </c>
      <c r="AZ63" s="143">
        <f t="shared" si="137"/>
        <v>37.057598892661417</v>
      </c>
      <c r="BA63" s="143">
        <f t="shared" si="137"/>
        <v>134.72010842559939</v>
      </c>
      <c r="BB63" s="143">
        <f t="shared" si="137"/>
        <v>150.32113317965059</v>
      </c>
      <c r="BC63" s="143">
        <f t="shared" si="137"/>
        <v>98.107508811594471</v>
      </c>
      <c r="BD63" s="143">
        <f t="shared" si="137"/>
        <v>76.006690254396517</v>
      </c>
      <c r="BE63" s="143">
        <f>BE61-BE62</f>
        <v>253.63940983184239</v>
      </c>
      <c r="BF63" s="143">
        <f>BF61-BF62</f>
        <v>116.4920565926318</v>
      </c>
      <c r="BG63" s="143">
        <f>BG61-BG62</f>
        <v>267.3529254078594</v>
      </c>
      <c r="BH63" s="143">
        <f>BH61-BH62</f>
        <v>727.53702583593622</v>
      </c>
      <c r="BK63" s="14"/>
      <c r="BP63" s="143">
        <f>BP61-BP62</f>
        <v>2259.9485283070098</v>
      </c>
      <c r="BT63" s="33">
        <f t="shared" si="128"/>
        <v>1998</v>
      </c>
      <c r="BU63" s="77" t="e">
        <f t="shared" si="133"/>
        <v>#DIV/0!</v>
      </c>
      <c r="BV63" s="77" t="e">
        <f t="shared" si="134"/>
        <v>#DIV/0!</v>
      </c>
      <c r="BW63" s="77" t="e">
        <f t="shared" si="135"/>
        <v>#DIV/0!</v>
      </c>
      <c r="BX63" s="77" t="e">
        <f t="shared" si="136"/>
        <v>#DIV/0!</v>
      </c>
      <c r="BY63" s="33"/>
      <c r="BZ63" s="62">
        <f t="shared" si="129"/>
        <v>2804.3790219703574</v>
      </c>
      <c r="CA63" s="62">
        <f t="shared" si="130"/>
        <v>2804.3790219703574</v>
      </c>
      <c r="CB63" s="136">
        <f t="shared" si="131"/>
        <v>1</v>
      </c>
    </row>
    <row r="64" spans="1:151" ht="15.75" customHeight="1" thickBot="1" x14ac:dyDescent="0.25">
      <c r="B64" s="141" t="s">
        <v>137</v>
      </c>
      <c r="AS64" s="144" t="e">
        <f t="shared" ref="AS64:BD64" si="138">AS63/AS61</f>
        <v>#DIV/0!</v>
      </c>
      <c r="AT64" s="144">
        <f t="shared" si="138"/>
        <v>3.0038072069939376E-2</v>
      </c>
      <c r="AU64" s="144">
        <f t="shared" si="138"/>
        <v>3.0038072069939359E-2</v>
      </c>
      <c r="AV64" s="144">
        <f t="shared" si="138"/>
        <v>3.0038072069939446E-2</v>
      </c>
      <c r="AW64" s="144">
        <f t="shared" si="138"/>
        <v>3.0038072069939355E-2</v>
      </c>
      <c r="AX64" s="144">
        <f t="shared" si="138"/>
        <v>3.0038072069939373E-2</v>
      </c>
      <c r="AY64" s="144">
        <f t="shared" si="138"/>
        <v>3.0038072069939411E-2</v>
      </c>
      <c r="AZ64" s="144">
        <f t="shared" si="138"/>
        <v>3.003807206993938E-2</v>
      </c>
      <c r="BA64" s="144">
        <f t="shared" si="138"/>
        <v>4.4674676120675071E-2</v>
      </c>
      <c r="BB64" s="144">
        <f t="shared" si="138"/>
        <v>4.4674676120675105E-2</v>
      </c>
      <c r="BC64" s="144">
        <f t="shared" si="138"/>
        <v>4.4674676120675147E-2</v>
      </c>
      <c r="BD64" s="144">
        <f t="shared" si="138"/>
        <v>4.4674676120675091E-2</v>
      </c>
      <c r="BE64" s="144">
        <f>BE63/BE61</f>
        <v>4.4674676120675147E-2</v>
      </c>
      <c r="BF64" s="144">
        <f>BF63/BF61</f>
        <v>4.467467612067505E-2</v>
      </c>
      <c r="BG64" s="144">
        <f>BG63/BG61</f>
        <v>4.4674676120675084E-2</v>
      </c>
      <c r="BH64" s="144">
        <f>BH63/BH61</f>
        <v>4.467467612067514E-2</v>
      </c>
      <c r="BK64" s="14"/>
      <c r="BP64" s="144">
        <f>BP63/BP61</f>
        <v>4.4674676120675098E-2</v>
      </c>
      <c r="BT64" s="33">
        <f t="shared" si="128"/>
        <v>1999</v>
      </c>
      <c r="BU64" s="77" t="e">
        <f t="shared" si="133"/>
        <v>#DIV/0!</v>
      </c>
      <c r="BV64" s="77" t="e">
        <f t="shared" si="134"/>
        <v>#DIV/0!</v>
      </c>
      <c r="BW64" s="77" t="e">
        <f t="shared" si="135"/>
        <v>#DIV/0!</v>
      </c>
      <c r="BX64" s="77" t="e">
        <f t="shared" si="136"/>
        <v>#DIV/0!</v>
      </c>
      <c r="BY64" s="33"/>
      <c r="BZ64" s="62">
        <f t="shared" si="129"/>
        <v>1960.1548817357414</v>
      </c>
      <c r="CA64" s="62">
        <f t="shared" si="130"/>
        <v>1960.1548817357414</v>
      </c>
      <c r="CB64" s="136">
        <f t="shared" si="131"/>
        <v>1</v>
      </c>
    </row>
    <row r="65" spans="1:80" ht="15.75" customHeight="1" x14ac:dyDescent="0.2">
      <c r="A65" s="132" t="s">
        <v>138</v>
      </c>
      <c r="B65" s="133" t="s">
        <v>139</v>
      </c>
      <c r="AS65" s="145">
        <f>P32/V32</f>
        <v>1</v>
      </c>
      <c r="BF65" s="14"/>
      <c r="BG65" s="14"/>
      <c r="BK65" s="14"/>
      <c r="BT65" s="33">
        <f t="shared" si="128"/>
        <v>2000</v>
      </c>
      <c r="BU65" s="77" t="e">
        <f t="shared" si="133"/>
        <v>#DIV/0!</v>
      </c>
      <c r="BV65" s="77" t="e">
        <f t="shared" si="134"/>
        <v>#DIV/0!</v>
      </c>
      <c r="BW65" s="77" t="e">
        <f t="shared" si="135"/>
        <v>#DIV/0!</v>
      </c>
      <c r="BX65" s="77" t="e">
        <f t="shared" si="136"/>
        <v>#DIV/0!</v>
      </c>
      <c r="BY65" s="33"/>
      <c r="BZ65" s="62">
        <f t="shared" si="129"/>
        <v>2619.762142609175</v>
      </c>
      <c r="CA65" s="62">
        <f t="shared" si="130"/>
        <v>2619.762142609175</v>
      </c>
      <c r="CB65" s="136">
        <f>BZ65/CA65</f>
        <v>1</v>
      </c>
    </row>
    <row r="66" spans="1:80" ht="15.75" customHeight="1" x14ac:dyDescent="0.2">
      <c r="A66" s="132" t="s">
        <v>140</v>
      </c>
      <c r="B66" s="133" t="s">
        <v>141</v>
      </c>
      <c r="AT66" s="136">
        <f>AL32/AM32</f>
        <v>7.2065675119669603E-2</v>
      </c>
      <c r="AU66" s="136">
        <f>AL31/AM31</f>
        <v>2.9161042449137163E-2</v>
      </c>
      <c r="BA66" s="3">
        <f>BA62/(1-BA58)</f>
        <v>3015.5810880798313</v>
      </c>
      <c r="BD66" s="3">
        <f>BP62/(1-BP58)</f>
        <v>50586.791546119857</v>
      </c>
      <c r="BT66" s="33">
        <f t="shared" si="128"/>
        <v>2001</v>
      </c>
      <c r="BU66" s="77" t="e">
        <f t="shared" ref="BU66:BU74" si="139">G23/$J23</f>
        <v>#DIV/0!</v>
      </c>
      <c r="BV66" s="77" t="e">
        <f t="shared" ref="BV66:BV74" si="140">I23/$J23</f>
        <v>#DIV/0!</v>
      </c>
      <c r="BW66" s="77" t="e">
        <f t="shared" ref="BW66:BW74" si="141">H23/$J23</f>
        <v>#DIV/0!</v>
      </c>
      <c r="BX66" s="77" t="e">
        <f t="shared" ref="BX66:BX74" si="142">J23/$J23</f>
        <v>#DIV/0!</v>
      </c>
      <c r="BY66" s="33"/>
      <c r="BZ66" s="62">
        <f t="shared" si="129"/>
        <v>4934.837176682855</v>
      </c>
      <c r="CA66" s="62">
        <f t="shared" si="130"/>
        <v>4934.837176682855</v>
      </c>
      <c r="CB66" s="136">
        <f t="shared" ref="CB66:CB73" si="143">BZ66/CA66</f>
        <v>1</v>
      </c>
    </row>
    <row r="67" spans="1:80" ht="15.75" customHeight="1" x14ac:dyDescent="0.2">
      <c r="A67" s="132" t="s">
        <v>142</v>
      </c>
      <c r="B67" s="133" t="s">
        <v>143</v>
      </c>
      <c r="BT67" s="33">
        <f t="shared" si="128"/>
        <v>2002</v>
      </c>
      <c r="BU67" s="77" t="e">
        <f t="shared" si="139"/>
        <v>#DIV/0!</v>
      </c>
      <c r="BV67" s="77" t="e">
        <f t="shared" si="140"/>
        <v>#DIV/0!</v>
      </c>
      <c r="BW67" s="77" t="e">
        <f t="shared" si="141"/>
        <v>#DIV/0!</v>
      </c>
      <c r="BX67" s="77" t="e">
        <f t="shared" si="142"/>
        <v>#DIV/0!</v>
      </c>
      <c r="BY67" s="33"/>
      <c r="BZ67" s="62">
        <f t="shared" si="129"/>
        <v>2064.7531626832979</v>
      </c>
      <c r="CA67" s="62">
        <f t="shared" si="130"/>
        <v>2064.7531626832979</v>
      </c>
      <c r="CB67" s="136">
        <f t="shared" si="143"/>
        <v>1</v>
      </c>
    </row>
    <row r="68" spans="1:80" ht="15.75" customHeight="1" x14ac:dyDescent="0.2">
      <c r="A68" s="132" t="s">
        <v>144</v>
      </c>
      <c r="B68" s="133" t="s">
        <v>145</v>
      </c>
      <c r="BT68" s="33">
        <f t="shared" si="128"/>
        <v>2003</v>
      </c>
      <c r="BU68" s="77" t="e">
        <f t="shared" si="139"/>
        <v>#DIV/0!</v>
      </c>
      <c r="BV68" s="77" t="e">
        <f t="shared" si="140"/>
        <v>#DIV/0!</v>
      </c>
      <c r="BW68" s="77" t="e">
        <f t="shared" si="141"/>
        <v>#DIV/0!</v>
      </c>
      <c r="BX68" s="77" t="e">
        <f t="shared" si="142"/>
        <v>#DIV/0!</v>
      </c>
      <c r="BY68" s="33"/>
      <c r="BZ68" s="62">
        <f t="shared" si="129"/>
        <v>2968.938640383868</v>
      </c>
      <c r="CA68" s="62">
        <f t="shared" si="130"/>
        <v>2968.938640383868</v>
      </c>
      <c r="CB68" s="136">
        <f t="shared" si="143"/>
        <v>1</v>
      </c>
    </row>
    <row r="69" spans="1:80" x14ac:dyDescent="0.2">
      <c r="B69" s="133" t="s">
        <v>146</v>
      </c>
      <c r="AS69" s="3" t="s">
        <v>147</v>
      </c>
      <c r="BT69" s="33">
        <f t="shared" si="128"/>
        <v>2004</v>
      </c>
      <c r="BU69" s="77" t="e">
        <f t="shared" si="139"/>
        <v>#DIV/0!</v>
      </c>
      <c r="BV69" s="77" t="e">
        <f t="shared" si="140"/>
        <v>#DIV/0!</v>
      </c>
      <c r="BW69" s="77" t="e">
        <f t="shared" si="141"/>
        <v>#DIV/0!</v>
      </c>
      <c r="BX69" s="77" t="e">
        <f t="shared" si="142"/>
        <v>#DIV/0!</v>
      </c>
      <c r="BY69" s="33"/>
      <c r="BZ69" s="62">
        <f t="shared" si="129"/>
        <v>1841.9325947418361</v>
      </c>
      <c r="CA69" s="62">
        <f t="shared" si="130"/>
        <v>1841.9325947418361</v>
      </c>
      <c r="CB69" s="136">
        <f t="shared" si="143"/>
        <v>1</v>
      </c>
    </row>
    <row r="70" spans="1:80" ht="15.75" x14ac:dyDescent="0.2">
      <c r="A70" s="132" t="s">
        <v>148</v>
      </c>
      <c r="B70" s="133" t="s">
        <v>149</v>
      </c>
      <c r="BT70" s="33">
        <f t="shared" si="128"/>
        <v>2005</v>
      </c>
      <c r="BU70" s="77" t="e">
        <f t="shared" si="139"/>
        <v>#DIV/0!</v>
      </c>
      <c r="BV70" s="77" t="e">
        <f t="shared" si="140"/>
        <v>#DIV/0!</v>
      </c>
      <c r="BW70" s="77" t="e">
        <f t="shared" si="141"/>
        <v>#DIV/0!</v>
      </c>
      <c r="BX70" s="77" t="e">
        <f t="shared" si="142"/>
        <v>#DIV/0!</v>
      </c>
      <c r="BY70" s="33"/>
      <c r="BZ70" s="62">
        <f t="shared" si="129"/>
        <v>2546.645006786744</v>
      </c>
      <c r="CA70" s="62">
        <f t="shared" si="130"/>
        <v>2546.645006786744</v>
      </c>
      <c r="CB70" s="136">
        <f t="shared" si="143"/>
        <v>1</v>
      </c>
    </row>
    <row r="71" spans="1:80" ht="15.75" x14ac:dyDescent="0.2">
      <c r="A71" s="132"/>
      <c r="B71" s="132"/>
      <c r="C71" s="132"/>
      <c r="D71" s="132"/>
      <c r="E71" s="132"/>
      <c r="F71" s="132"/>
      <c r="G71" s="132"/>
      <c r="H71" s="132"/>
      <c r="I71" s="132"/>
      <c r="J71" s="132"/>
      <c r="K71" s="132"/>
      <c r="L71" s="132"/>
      <c r="M71" s="132"/>
      <c r="N71" s="132"/>
      <c r="O71" s="132"/>
      <c r="P71" s="132"/>
      <c r="Q71" s="132"/>
      <c r="R71" s="132"/>
      <c r="S71" s="132"/>
      <c r="T71" s="132"/>
      <c r="U71" s="132"/>
      <c r="V71" s="132"/>
      <c r="W71" s="132"/>
      <c r="X71" s="132"/>
      <c r="Y71" s="132"/>
      <c r="Z71" s="132"/>
      <c r="AA71" s="132"/>
      <c r="AB71" s="132"/>
      <c r="AC71" s="132"/>
      <c r="AD71" s="132"/>
      <c r="AE71" s="132"/>
      <c r="AF71" s="132"/>
      <c r="AG71" s="132"/>
      <c r="AH71" s="132"/>
      <c r="AI71" s="132"/>
      <c r="AJ71" s="132"/>
      <c r="AK71" s="132"/>
      <c r="AL71" s="132"/>
      <c r="AM71" s="132"/>
      <c r="AN71" s="132"/>
      <c r="AO71" s="132"/>
      <c r="BT71" s="33">
        <f t="shared" si="128"/>
        <v>2006</v>
      </c>
      <c r="BU71" s="77" t="e">
        <f t="shared" si="139"/>
        <v>#DIV/0!</v>
      </c>
      <c r="BV71" s="77" t="e">
        <f t="shared" si="140"/>
        <v>#DIV/0!</v>
      </c>
      <c r="BW71" s="77" t="e">
        <f t="shared" si="141"/>
        <v>#DIV/0!</v>
      </c>
      <c r="BX71" s="77" t="e">
        <f t="shared" si="142"/>
        <v>#DIV/0!</v>
      </c>
      <c r="BY71" s="33"/>
      <c r="BZ71" s="62">
        <f t="shared" si="129"/>
        <v>5575.3394342094998</v>
      </c>
      <c r="CA71" s="62">
        <f t="shared" si="130"/>
        <v>5575.3394342094998</v>
      </c>
      <c r="CB71" s="136">
        <f t="shared" si="143"/>
        <v>1</v>
      </c>
    </row>
    <row r="72" spans="1:80" ht="15.75" x14ac:dyDescent="0.2">
      <c r="A72" s="132"/>
      <c r="B72" s="132"/>
      <c r="C72" s="132"/>
      <c r="D72" s="132"/>
      <c r="E72" s="132"/>
      <c r="F72" s="132"/>
      <c r="G72" s="132"/>
      <c r="H72" s="132"/>
      <c r="I72" s="132"/>
      <c r="J72" s="132"/>
      <c r="K72" s="132"/>
      <c r="L72" s="132"/>
      <c r="M72" s="132"/>
      <c r="N72" s="132"/>
      <c r="O72" s="132"/>
      <c r="P72" s="132"/>
      <c r="Q72" s="132"/>
      <c r="R72" s="132"/>
      <c r="S72" s="132"/>
      <c r="T72" s="132"/>
      <c r="U72" s="132"/>
      <c r="V72" s="132"/>
      <c r="W72" s="132"/>
      <c r="X72" s="132"/>
      <c r="Y72" s="132"/>
      <c r="Z72" s="132"/>
      <c r="AA72" s="132"/>
      <c r="AB72" s="132"/>
      <c r="AC72" s="132"/>
      <c r="AD72" s="132"/>
      <c r="AE72" s="132"/>
      <c r="AF72" s="132"/>
      <c r="AG72" s="132"/>
      <c r="AH72" s="132"/>
      <c r="AI72" s="132"/>
      <c r="AJ72" s="132"/>
      <c r="AK72" s="132"/>
      <c r="AL72" s="132"/>
      <c r="AM72" s="132"/>
      <c r="AN72" s="132"/>
      <c r="AO72" s="132"/>
      <c r="BT72" s="33">
        <f t="shared" si="128"/>
        <v>2007</v>
      </c>
      <c r="BU72" s="77" t="e">
        <f t="shared" si="139"/>
        <v>#DIV/0!</v>
      </c>
      <c r="BV72" s="77" t="e">
        <f t="shared" si="140"/>
        <v>#DIV/0!</v>
      </c>
      <c r="BW72" s="77" t="e">
        <f t="shared" si="141"/>
        <v>#DIV/0!</v>
      </c>
      <c r="BX72" s="77" t="e">
        <f t="shared" si="142"/>
        <v>#DIV/0!</v>
      </c>
      <c r="BY72" s="33"/>
      <c r="BZ72" s="62">
        <f t="shared" si="129"/>
        <v>3762.334519723192</v>
      </c>
      <c r="CA72" s="62">
        <f t="shared" si="130"/>
        <v>3762.334519723192</v>
      </c>
      <c r="CB72" s="136">
        <f t="shared" si="143"/>
        <v>1</v>
      </c>
    </row>
    <row r="73" spans="1:80" ht="15.75" x14ac:dyDescent="0.2">
      <c r="A73" s="132"/>
      <c r="B73" s="132"/>
      <c r="C73" s="132"/>
      <c r="D73" s="132"/>
      <c r="E73" s="132"/>
      <c r="F73" s="132"/>
      <c r="G73" s="132"/>
      <c r="H73" s="132"/>
      <c r="I73" s="132"/>
      <c r="J73" s="132"/>
      <c r="K73" s="132"/>
      <c r="L73" s="132"/>
      <c r="M73" s="132"/>
      <c r="N73" s="132"/>
      <c r="O73" s="132"/>
      <c r="P73" s="132"/>
      <c r="Q73" s="132"/>
      <c r="R73" s="132"/>
      <c r="S73" s="132"/>
      <c r="T73" s="132"/>
      <c r="U73" s="132"/>
      <c r="V73" s="132"/>
      <c r="W73" s="132"/>
      <c r="X73" s="132"/>
      <c r="Y73" s="132"/>
      <c r="Z73" s="132"/>
      <c r="AA73" s="132"/>
      <c r="AB73" s="132"/>
      <c r="AC73" s="132"/>
      <c r="AD73" s="132"/>
      <c r="AE73" s="132"/>
      <c r="AF73" s="132"/>
      <c r="AG73" s="132"/>
      <c r="AH73" s="132"/>
      <c r="AI73" s="132"/>
      <c r="AJ73" s="132"/>
      <c r="AK73" s="132"/>
      <c r="AL73" s="132"/>
      <c r="AM73" s="132"/>
      <c r="AN73" s="132"/>
      <c r="AO73" s="132"/>
      <c r="BT73" s="33">
        <f t="shared" si="128"/>
        <v>2008</v>
      </c>
      <c r="BU73" s="77" t="e">
        <f t="shared" si="139"/>
        <v>#DIV/0!</v>
      </c>
      <c r="BV73" s="77" t="e">
        <f t="shared" si="140"/>
        <v>#DIV/0!</v>
      </c>
      <c r="BW73" s="77" t="e">
        <f t="shared" si="141"/>
        <v>#DIV/0!</v>
      </c>
      <c r="BX73" s="77" t="e">
        <f t="shared" si="142"/>
        <v>#DIV/0!</v>
      </c>
      <c r="BY73" s="33"/>
      <c r="BZ73" s="62">
        <f t="shared" si="129"/>
        <v>2994.4802567663951</v>
      </c>
      <c r="CA73" s="62">
        <f t="shared" si="130"/>
        <v>2994.4802567663951</v>
      </c>
      <c r="CB73" s="136">
        <f t="shared" si="143"/>
        <v>1</v>
      </c>
    </row>
    <row r="74" spans="1:80" x14ac:dyDescent="0.2">
      <c r="A74" s="3">
        <v>1</v>
      </c>
      <c r="B74" s="3">
        <v>1</v>
      </c>
      <c r="C74" s="3">
        <v>2</v>
      </c>
      <c r="D74" s="3">
        <v>3</v>
      </c>
      <c r="E74" s="3">
        <v>4</v>
      </c>
      <c r="F74" s="3">
        <v>5</v>
      </c>
      <c r="G74" s="3">
        <v>6</v>
      </c>
      <c r="H74" s="3">
        <v>7</v>
      </c>
      <c r="I74" s="3">
        <v>8</v>
      </c>
      <c r="J74" s="3">
        <v>9</v>
      </c>
      <c r="K74" s="3">
        <v>10</v>
      </c>
      <c r="L74" s="3">
        <v>11</v>
      </c>
      <c r="M74" s="3">
        <v>12</v>
      </c>
      <c r="N74" s="3">
        <v>13</v>
      </c>
      <c r="O74" s="3">
        <v>14</v>
      </c>
      <c r="P74" s="3">
        <v>15</v>
      </c>
      <c r="Q74" s="3">
        <v>16</v>
      </c>
      <c r="R74" s="3">
        <v>17</v>
      </c>
      <c r="S74" s="3">
        <v>18</v>
      </c>
      <c r="T74" s="3">
        <v>19</v>
      </c>
      <c r="U74" s="3">
        <v>20</v>
      </c>
      <c r="V74" s="3">
        <v>21</v>
      </c>
      <c r="W74" s="3">
        <v>22</v>
      </c>
      <c r="X74" s="3">
        <v>23</v>
      </c>
      <c r="Y74" s="3">
        <v>24</v>
      </c>
      <c r="Z74" s="3">
        <v>25</v>
      </c>
      <c r="AA74" s="3">
        <v>26</v>
      </c>
      <c r="AB74" s="3">
        <v>27</v>
      </c>
      <c r="AC74" s="3">
        <v>28</v>
      </c>
      <c r="AD74" s="3">
        <v>29</v>
      </c>
      <c r="AE74" s="3">
        <v>30</v>
      </c>
      <c r="AF74" s="3">
        <v>31</v>
      </c>
      <c r="AG74" s="3">
        <v>32</v>
      </c>
      <c r="AH74" s="3">
        <v>33</v>
      </c>
      <c r="AI74" s="3">
        <v>34</v>
      </c>
      <c r="AJ74" s="3">
        <v>35</v>
      </c>
      <c r="AL74" s="3">
        <v>36</v>
      </c>
      <c r="AM74" s="3">
        <v>37</v>
      </c>
      <c r="BT74" s="33">
        <f t="shared" si="128"/>
        <v>2009</v>
      </c>
      <c r="BU74" s="77" t="e">
        <f t="shared" si="139"/>
        <v>#DIV/0!</v>
      </c>
      <c r="BV74" s="77" t="e">
        <f t="shared" si="140"/>
        <v>#DIV/0!</v>
      </c>
      <c r="BW74" s="77" t="e">
        <f t="shared" si="141"/>
        <v>#DIV/0!</v>
      </c>
      <c r="BX74" s="77" t="e">
        <f t="shared" si="142"/>
        <v>#DIV/0!</v>
      </c>
      <c r="BY74" s="33"/>
      <c r="BZ74" s="62">
        <f t="shared" si="129"/>
        <v>4077.180252055025</v>
      </c>
      <c r="CA74" s="62">
        <f t="shared" si="130"/>
        <v>4077.180252055025</v>
      </c>
      <c r="CB74" s="136">
        <f>BZ74/CA74</f>
        <v>1</v>
      </c>
    </row>
    <row r="75" spans="1:80" ht="15.75" x14ac:dyDescent="0.2">
      <c r="A75" s="132"/>
      <c r="BT75" s="33">
        <f t="shared" si="128"/>
        <v>2010</v>
      </c>
      <c r="BU75" s="77"/>
      <c r="BV75" s="77"/>
      <c r="BW75" s="77"/>
      <c r="BX75" s="77"/>
      <c r="BY75" s="33"/>
      <c r="BZ75" s="62"/>
      <c r="CA75" s="62"/>
      <c r="CB75" s="136"/>
    </row>
    <row r="76" spans="1:80" ht="15.75" x14ac:dyDescent="0.2">
      <c r="A76" s="132"/>
      <c r="B76" s="3">
        <v>2018</v>
      </c>
      <c r="BT76" s="3" t="s">
        <v>150</v>
      </c>
      <c r="BU76" s="131" t="e">
        <f>AVERAGE(BU65:BU73)</f>
        <v>#DIV/0!</v>
      </c>
      <c r="BV76" s="131" t="e">
        <f>AVERAGE(BV65:BV73)</f>
        <v>#DIV/0!</v>
      </c>
      <c r="BW76" s="131" t="e">
        <f>AVERAGE(BW65:BW73)</f>
        <v>#DIV/0!</v>
      </c>
      <c r="BX76" s="131" t="e">
        <f>AVERAGE(BX65:BX73)</f>
        <v>#DIV/0!</v>
      </c>
      <c r="BZ76" s="14">
        <f>AVERAGE(BZ65:BZ75)</f>
        <v>3338.6203186641892</v>
      </c>
      <c r="CA76" s="14">
        <f>AVERAGE(CA65:CA75)</f>
        <v>3338.6203186641892</v>
      </c>
      <c r="CB76" s="145">
        <f>BZ76/CA76</f>
        <v>1</v>
      </c>
    </row>
    <row r="77" spans="1:80" ht="15.75" x14ac:dyDescent="0.2">
      <c r="A77" s="132"/>
    </row>
    <row r="78" spans="1:80" ht="15.75" x14ac:dyDescent="0.2">
      <c r="A78" s="132"/>
      <c r="B78" s="3">
        <v>2017</v>
      </c>
      <c r="C78" s="14" t="e">
        <f>AVERAGE(C15:C37)</f>
        <v>#DIV/0!</v>
      </c>
      <c r="D78" s="14"/>
      <c r="E78" s="14"/>
      <c r="L78" s="14">
        <f>AVERAGE(L15:L37)</f>
        <v>21115.260869565216</v>
      </c>
      <c r="M78" s="3">
        <f>L38/L78</f>
        <v>0.33482892035638762</v>
      </c>
      <c r="AJ78" s="14">
        <f>AVERAGE(AJ15:AJ37)</f>
        <v>3816.0144014377634</v>
      </c>
      <c r="AK78" s="14"/>
      <c r="AL78" s="3">
        <f>AJ38/AJ78</f>
        <v>0.31358111811997652</v>
      </c>
      <c r="AS78" s="66">
        <f>AVERAGE(AS15:AS37)</f>
        <v>0.2813982046622695</v>
      </c>
      <c r="AT78" s="66">
        <f>AS38-AS78</f>
        <v>1.1397987897730888E-2</v>
      </c>
    </row>
    <row r="79" spans="1:80" ht="15.75" x14ac:dyDescent="0.2">
      <c r="A79" s="132"/>
      <c r="L79" s="66"/>
      <c r="AS79" s="146"/>
    </row>
    <row r="80" spans="1:80" ht="15.75" x14ac:dyDescent="0.2">
      <c r="A80" s="132"/>
    </row>
    <row r="81" spans="1:39" ht="15.75" x14ac:dyDescent="0.2">
      <c r="A81" s="132"/>
    </row>
    <row r="82" spans="1:39" ht="15.75" x14ac:dyDescent="0.2">
      <c r="A82" s="132"/>
    </row>
    <row r="83" spans="1:39" ht="15.75" x14ac:dyDescent="0.2">
      <c r="A83" s="132"/>
    </row>
    <row r="84" spans="1:39" ht="15.75" x14ac:dyDescent="0.2">
      <c r="A84" s="132"/>
      <c r="B84" s="3" t="s">
        <v>151</v>
      </c>
      <c r="C84" s="14" t="e">
        <f>ROUND(AVERAGE(C13:C29),-3)</f>
        <v>#DIV/0!</v>
      </c>
      <c r="D84" s="14"/>
      <c r="E84" s="14"/>
      <c r="F84" s="14" t="e">
        <f t="shared" ref="F84:AM84" si="144">ROUND(AVERAGE(F13:F29),-3)</f>
        <v>#DIV/0!</v>
      </c>
      <c r="G84" s="14" t="e">
        <f t="shared" si="144"/>
        <v>#DIV/0!</v>
      </c>
      <c r="H84" s="14" t="e">
        <f t="shared" si="144"/>
        <v>#DIV/0!</v>
      </c>
      <c r="I84" s="14" t="e">
        <f t="shared" si="144"/>
        <v>#DIV/0!</v>
      </c>
      <c r="J84" s="14">
        <f t="shared" si="144"/>
        <v>0</v>
      </c>
      <c r="K84" s="14" t="e">
        <f t="shared" si="144"/>
        <v>#DIV/0!</v>
      </c>
      <c r="L84" s="14">
        <f t="shared" si="144"/>
        <v>23000</v>
      </c>
      <c r="M84" s="14"/>
      <c r="N84" s="14">
        <f t="shared" si="144"/>
        <v>1000</v>
      </c>
      <c r="O84" s="14">
        <f t="shared" si="144"/>
        <v>0</v>
      </c>
      <c r="P84" s="14">
        <f t="shared" si="144"/>
        <v>3000</v>
      </c>
      <c r="Q84" s="14">
        <f t="shared" si="144"/>
        <v>0</v>
      </c>
      <c r="R84" s="14">
        <f t="shared" si="144"/>
        <v>0</v>
      </c>
      <c r="S84" s="14">
        <f t="shared" si="144"/>
        <v>0</v>
      </c>
      <c r="T84" s="14">
        <f t="shared" si="144"/>
        <v>0</v>
      </c>
      <c r="U84" s="14"/>
      <c r="V84" s="14">
        <f t="shared" si="144"/>
        <v>3000</v>
      </c>
      <c r="W84" s="14"/>
      <c r="X84" s="14">
        <f t="shared" si="144"/>
        <v>0</v>
      </c>
      <c r="Y84" s="14">
        <f t="shared" si="144"/>
        <v>0</v>
      </c>
      <c r="Z84" s="14">
        <f t="shared" si="144"/>
        <v>0</v>
      </c>
      <c r="AA84" s="14">
        <f t="shared" si="144"/>
        <v>0</v>
      </c>
      <c r="AB84" s="14"/>
      <c r="AC84" s="14">
        <f t="shared" si="144"/>
        <v>1000</v>
      </c>
      <c r="AD84" s="14">
        <f t="shared" si="144"/>
        <v>0</v>
      </c>
      <c r="AE84" s="14">
        <f t="shared" si="144"/>
        <v>1000</v>
      </c>
      <c r="AF84" s="14"/>
      <c r="AG84" s="14" t="e">
        <f t="shared" si="144"/>
        <v>#DIV/0!</v>
      </c>
      <c r="AH84" s="14" t="e">
        <f t="shared" si="144"/>
        <v>#DIV/0!</v>
      </c>
      <c r="AI84" s="14" t="e">
        <f t="shared" si="144"/>
        <v>#DIV/0!</v>
      </c>
      <c r="AJ84" s="14">
        <f t="shared" si="144"/>
        <v>4000</v>
      </c>
      <c r="AK84" s="14"/>
      <c r="AL84" s="14">
        <f t="shared" si="144"/>
        <v>0</v>
      </c>
      <c r="AM84" s="14">
        <f t="shared" si="144"/>
        <v>4000</v>
      </c>
    </row>
    <row r="85" spans="1:39" ht="15.75" x14ac:dyDescent="0.2">
      <c r="A85" s="132"/>
    </row>
    <row r="86" spans="1:39" ht="15.75" x14ac:dyDescent="0.2">
      <c r="A86" s="132"/>
    </row>
    <row r="87" spans="1:39" ht="15.75" x14ac:dyDescent="0.2">
      <c r="A87" s="132"/>
      <c r="AJ87" s="14">
        <f>AJ41-AJ51</f>
        <v>-1902.0645303110527</v>
      </c>
      <c r="AK87" s="14"/>
    </row>
    <row r="88" spans="1:39" x14ac:dyDescent="0.2">
      <c r="AJ88" s="145">
        <f>AJ87/AJ51</f>
        <v>-0.47551613257776321</v>
      </c>
      <c r="AK88" s="145"/>
    </row>
    <row r="90" spans="1:39" x14ac:dyDescent="0.2">
      <c r="L90" s="3">
        <v>2017</v>
      </c>
      <c r="N90" s="3">
        <v>1998</v>
      </c>
      <c r="O90" s="3">
        <f>L90-N90+1</f>
        <v>20</v>
      </c>
      <c r="T90" s="18" t="s">
        <v>152</v>
      </c>
      <c r="U90" s="18"/>
      <c r="V90" s="3">
        <f>COUNTIF(V32:V47,"&gt;=15000")</f>
        <v>1</v>
      </c>
    </row>
    <row r="91" spans="1:39" x14ac:dyDescent="0.2">
      <c r="V91" s="3">
        <f>COUNT(V32:V48)</f>
        <v>15</v>
      </c>
    </row>
    <row r="93" spans="1:39" x14ac:dyDescent="0.2">
      <c r="L93" s="66">
        <f>L41/L51</f>
        <v>0.8019381875327396</v>
      </c>
    </row>
  </sheetData>
  <mergeCells count="34">
    <mergeCell ref="CG4:CJ4"/>
    <mergeCell ref="DB4:DB5"/>
    <mergeCell ref="DC4:DC5"/>
    <mergeCell ref="CW5:CW6"/>
    <mergeCell ref="CX5:CX6"/>
    <mergeCell ref="AT56:AU56"/>
    <mergeCell ref="X4:AA4"/>
    <mergeCell ref="AC4:AE4"/>
    <mergeCell ref="AG4:AI4"/>
    <mergeCell ref="AJ4:AJ5"/>
    <mergeCell ref="BH4:BJ4"/>
    <mergeCell ref="BL4:BN4"/>
    <mergeCell ref="C3:L3"/>
    <mergeCell ref="P3:T3"/>
    <mergeCell ref="V3:AJ3"/>
    <mergeCell ref="AL3:AL5"/>
    <mergeCell ref="AM3:AM5"/>
    <mergeCell ref="C4:E4"/>
    <mergeCell ref="G4:J4"/>
    <mergeCell ref="L4:L5"/>
    <mergeCell ref="R4:T4"/>
    <mergeCell ref="V4:V5"/>
    <mergeCell ref="CE1:CE5"/>
    <mergeCell ref="BT1:BT5"/>
    <mergeCell ref="BU1:BU5"/>
    <mergeCell ref="BV1:BV5"/>
    <mergeCell ref="BW1:BW5"/>
    <mergeCell ref="BX1:BX5"/>
    <mergeCell ref="BY1:BY5"/>
    <mergeCell ref="BZ1:BZ5"/>
    <mergeCell ref="CA1:CA5"/>
    <mergeCell ref="CB1:CB5"/>
    <mergeCell ref="CC1:CC5"/>
    <mergeCell ref="CD1:CD5"/>
  </mergeCells>
  <conditionalFormatting sqref="CK7:CK46">
    <cfRule type="cellIs" dxfId="3" priority="1" operator="lessThan">
      <formula>15000</formula>
    </cfRule>
  </conditionalFormatting>
  <pageMargins left="0.7" right="0.7" top="0.75" bottom="0.75" header="0.3" footer="0.3"/>
  <pageSetup scale="54" orientation="landscape" r:id="rId1"/>
  <headerFooter>
    <oddHeader>&amp;R&amp;"Calibri"&amp;12&amp;K000000 Unclassified - Non-Classifié&amp;1#_x000D_</oddHeader>
  </headerFooter>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E8BC5-ED48-4A9A-8BC8-4E4DCE36CBFA}">
  <sheetPr>
    <tabColor theme="0" tint="-0.14999847407452621"/>
  </sheetPr>
  <dimension ref="A1:AC103"/>
  <sheetViews>
    <sheetView workbookViewId="0">
      <pane ySplit="4" topLeftCell="A8" activePane="bottomLeft" state="frozen"/>
      <selection activeCell="B34" sqref="B34"/>
      <selection pane="bottomLeft" activeCell="R36" sqref="R36"/>
    </sheetView>
  </sheetViews>
  <sheetFormatPr defaultColWidth="10.42578125" defaultRowHeight="12.75" x14ac:dyDescent="0.2"/>
  <cols>
    <col min="1" max="2" width="10.42578125" style="928"/>
    <col min="3" max="3" width="10.42578125" style="934"/>
    <col min="4" max="5" width="10.42578125" style="930"/>
    <col min="6" max="6" width="10.42578125" style="931"/>
    <col min="7" max="7" width="4.140625" style="928" customWidth="1"/>
    <col min="8" max="9" width="10.42578125" style="930"/>
    <col min="10" max="10" width="10.42578125" style="931"/>
    <col min="11" max="11" width="3.140625" style="928" customWidth="1"/>
    <col min="12" max="13" width="10.42578125" style="930"/>
    <col min="14" max="14" width="10.42578125" style="931"/>
    <col min="15" max="15" width="3.85546875" style="928" customWidth="1"/>
    <col min="16" max="17" width="10.42578125" style="930"/>
    <col min="18" max="18" width="10.42578125" style="931"/>
    <col min="19" max="19" width="3" style="928" customWidth="1"/>
    <col min="20" max="20" width="10.140625" style="932" bestFit="1" customWidth="1"/>
    <col min="21" max="22" width="10.42578125" style="928"/>
    <col min="23" max="23" width="10.85546875" style="928" customWidth="1"/>
    <col min="24" max="26" width="10.42578125" style="928"/>
    <col min="27" max="27" width="11.5703125" style="928" bestFit="1" customWidth="1"/>
    <col min="28" max="28" width="8.140625" style="928" bestFit="1" customWidth="1"/>
    <col min="29" max="16384" width="10.42578125" style="928"/>
  </cols>
  <sheetData>
    <row r="1" spans="1:29" x14ac:dyDescent="0.2">
      <c r="C1" s="929" t="s">
        <v>635</v>
      </c>
      <c r="W1" s="933" t="s">
        <v>636</v>
      </c>
    </row>
    <row r="2" spans="1:29" x14ac:dyDescent="0.2">
      <c r="A2" s="931" t="s">
        <v>659</v>
      </c>
    </row>
    <row r="3" spans="1:29" x14ac:dyDescent="0.2">
      <c r="A3" s="931" t="s">
        <v>637</v>
      </c>
      <c r="D3" s="990" t="s">
        <v>249</v>
      </c>
      <c r="E3" s="990"/>
      <c r="F3" s="990"/>
      <c r="H3" s="990" t="s">
        <v>637</v>
      </c>
      <c r="I3" s="990"/>
      <c r="J3" s="990"/>
      <c r="L3" s="991" t="s">
        <v>638</v>
      </c>
      <c r="M3" s="992"/>
      <c r="N3" s="993"/>
      <c r="P3" s="990" t="s">
        <v>639</v>
      </c>
      <c r="Q3" s="990"/>
      <c r="R3" s="990"/>
      <c r="T3" s="991" t="s">
        <v>640</v>
      </c>
      <c r="U3" s="993"/>
      <c r="W3" s="928" t="s">
        <v>641</v>
      </c>
      <c r="AA3" s="928" t="s">
        <v>642</v>
      </c>
    </row>
    <row r="4" spans="1:29" x14ac:dyDescent="0.2">
      <c r="A4" s="931" t="s">
        <v>660</v>
      </c>
      <c r="C4" s="935" t="s">
        <v>36</v>
      </c>
      <c r="D4" s="961" t="s">
        <v>496</v>
      </c>
      <c r="E4" s="931" t="s">
        <v>660</v>
      </c>
      <c r="F4" s="962" t="s">
        <v>284</v>
      </c>
      <c r="H4" s="936" t="s">
        <v>496</v>
      </c>
      <c r="I4" s="931" t="s">
        <v>660</v>
      </c>
      <c r="J4" s="937" t="s">
        <v>284</v>
      </c>
      <c r="L4" s="936" t="s">
        <v>496</v>
      </c>
      <c r="M4" s="931" t="s">
        <v>660</v>
      </c>
      <c r="N4" s="937" t="s">
        <v>284</v>
      </c>
      <c r="P4" s="936" t="s">
        <v>496</v>
      </c>
      <c r="Q4" s="931" t="s">
        <v>660</v>
      </c>
      <c r="R4" s="937" t="s">
        <v>284</v>
      </c>
      <c r="T4" s="938" t="s">
        <v>496</v>
      </c>
      <c r="U4" s="931" t="s">
        <v>660</v>
      </c>
      <c r="W4" s="937" t="s">
        <v>643</v>
      </c>
      <c r="X4" s="937" t="s">
        <v>644</v>
      </c>
      <c r="Y4" s="937" t="s">
        <v>606</v>
      </c>
      <c r="AA4" s="937" t="s">
        <v>643</v>
      </c>
      <c r="AB4" s="937" t="s">
        <v>644</v>
      </c>
      <c r="AC4" s="937" t="s">
        <v>606</v>
      </c>
    </row>
    <row r="5" spans="1:29" x14ac:dyDescent="0.2">
      <c r="A5" s="939">
        <f>E5+I5</f>
        <v>323</v>
      </c>
      <c r="C5" s="935">
        <v>2000</v>
      </c>
      <c r="D5" s="940">
        <v>823</v>
      </c>
      <c r="E5" s="940">
        <v>323</v>
      </c>
      <c r="F5" s="941">
        <f>E5/D5</f>
        <v>0.39246658566221143</v>
      </c>
      <c r="G5" s="942"/>
      <c r="H5" s="940">
        <v>3198</v>
      </c>
      <c r="I5" s="940"/>
      <c r="J5" s="943"/>
      <c r="K5" s="942"/>
      <c r="L5" s="940">
        <v>2657</v>
      </c>
      <c r="M5" s="940"/>
      <c r="N5" s="943"/>
      <c r="O5" s="942"/>
      <c r="P5" s="940">
        <v>2398</v>
      </c>
      <c r="Q5" s="940"/>
      <c r="R5" s="943"/>
      <c r="S5" s="942"/>
      <c r="T5" s="944">
        <f t="shared" ref="T5:U25" si="0">SUM(P5,L5,H5,D5)</f>
        <v>9076</v>
      </c>
      <c r="U5" s="945">
        <f t="shared" si="0"/>
        <v>323</v>
      </c>
      <c r="W5" s="938">
        <v>323</v>
      </c>
      <c r="X5" s="937"/>
      <c r="Y5" s="937"/>
      <c r="AA5" s="946"/>
      <c r="AB5" s="946"/>
      <c r="AC5" s="946"/>
    </row>
    <row r="6" spans="1:29" x14ac:dyDescent="0.2">
      <c r="A6" s="939">
        <f t="shared" ref="A6:A30" si="1">E6+I6</f>
        <v>494</v>
      </c>
      <c r="C6" s="935">
        <f>C5+1</f>
        <v>2001</v>
      </c>
      <c r="D6" s="940">
        <v>1309</v>
      </c>
      <c r="E6" s="940">
        <v>494</v>
      </c>
      <c r="F6" s="941">
        <f t="shared" ref="F6:F22" si="2">E6/D6</f>
        <v>0.37738731856378915</v>
      </c>
      <c r="G6" s="942"/>
      <c r="H6" s="940">
        <v>2855</v>
      </c>
      <c r="I6" s="940"/>
      <c r="J6" s="943"/>
      <c r="K6" s="942"/>
      <c r="L6" s="940">
        <v>2045</v>
      </c>
      <c r="M6" s="940"/>
      <c r="N6" s="943"/>
      <c r="O6" s="942"/>
      <c r="P6" s="940">
        <v>3581</v>
      </c>
      <c r="Q6" s="940"/>
      <c r="R6" s="943"/>
      <c r="S6" s="942"/>
      <c r="T6" s="944">
        <f t="shared" si="0"/>
        <v>9790</v>
      </c>
      <c r="U6" s="945">
        <f t="shared" si="0"/>
        <v>494</v>
      </c>
      <c r="W6" s="947">
        <v>494</v>
      </c>
      <c r="X6" s="937"/>
      <c r="Y6" s="937"/>
      <c r="AA6" s="946"/>
      <c r="AB6" s="946"/>
      <c r="AC6" s="946"/>
    </row>
    <row r="7" spans="1:29" x14ac:dyDescent="0.2">
      <c r="A7" s="939">
        <f t="shared" si="1"/>
        <v>251</v>
      </c>
      <c r="C7" s="935">
        <f t="shared" ref="C7:C27" si="3">C6+1</f>
        <v>2002</v>
      </c>
      <c r="D7" s="940">
        <v>763.8882595702994</v>
      </c>
      <c r="E7" s="940">
        <v>251</v>
      </c>
      <c r="F7" s="941">
        <f t="shared" si="2"/>
        <v>0.32858208887932366</v>
      </c>
      <c r="G7" s="942"/>
      <c r="H7" s="940">
        <v>1046</v>
      </c>
      <c r="I7" s="940"/>
      <c r="J7" s="943"/>
      <c r="K7" s="942"/>
      <c r="L7" s="940">
        <v>1746</v>
      </c>
      <c r="M7" s="940">
        <v>98</v>
      </c>
      <c r="N7" s="941">
        <f>M7/L7</f>
        <v>5.6128293241695305E-2</v>
      </c>
      <c r="O7" s="942"/>
      <c r="P7" s="940">
        <v>1870</v>
      </c>
      <c r="Q7" s="940">
        <v>98</v>
      </c>
      <c r="R7" s="941">
        <f>Q7/P7</f>
        <v>5.2406417112299465E-2</v>
      </c>
      <c r="S7" s="942"/>
      <c r="T7" s="944">
        <f t="shared" si="0"/>
        <v>5425.8882595702999</v>
      </c>
      <c r="U7" s="945">
        <f t="shared" si="0"/>
        <v>447</v>
      </c>
      <c r="W7" s="947">
        <v>251</v>
      </c>
      <c r="X7" s="937"/>
      <c r="Y7" s="937">
        <v>196</v>
      </c>
      <c r="AA7" s="946"/>
      <c r="AB7" s="946"/>
      <c r="AC7" s="946"/>
    </row>
    <row r="8" spans="1:29" x14ac:dyDescent="0.2">
      <c r="A8" s="939">
        <f t="shared" si="1"/>
        <v>241</v>
      </c>
      <c r="C8" s="935">
        <f t="shared" si="3"/>
        <v>2003</v>
      </c>
      <c r="D8" s="940">
        <v>999</v>
      </c>
      <c r="E8" s="940">
        <v>241</v>
      </c>
      <c r="F8" s="941">
        <f t="shared" si="2"/>
        <v>0.24124124124124124</v>
      </c>
      <c r="G8" s="942"/>
      <c r="H8" s="940">
        <v>1700</v>
      </c>
      <c r="I8" s="940"/>
      <c r="J8" s="943"/>
      <c r="K8" s="942"/>
      <c r="L8" s="940">
        <v>1710</v>
      </c>
      <c r="M8" s="940"/>
      <c r="N8" s="943"/>
      <c r="O8" s="942"/>
      <c r="P8" s="940">
        <v>2403</v>
      </c>
      <c r="Q8" s="940"/>
      <c r="R8" s="943"/>
      <c r="S8" s="942"/>
      <c r="T8" s="944">
        <f t="shared" si="0"/>
        <v>6812</v>
      </c>
      <c r="U8" s="945">
        <f t="shared" si="0"/>
        <v>241</v>
      </c>
      <c r="W8" s="947">
        <v>241</v>
      </c>
      <c r="X8" s="937"/>
      <c r="Y8" s="937"/>
      <c r="AA8" s="946"/>
      <c r="AB8" s="946"/>
      <c r="AC8" s="946"/>
    </row>
    <row r="9" spans="1:29" x14ac:dyDescent="0.2">
      <c r="A9" s="939">
        <f t="shared" si="1"/>
        <v>432</v>
      </c>
      <c r="C9" s="935">
        <f t="shared" si="3"/>
        <v>2004</v>
      </c>
      <c r="D9" s="940">
        <v>1380</v>
      </c>
      <c r="E9" s="940">
        <v>432</v>
      </c>
      <c r="F9" s="941">
        <f t="shared" si="2"/>
        <v>0.31304347826086959</v>
      </c>
      <c r="G9" s="942"/>
      <c r="H9" s="940">
        <v>1026</v>
      </c>
      <c r="I9" s="940"/>
      <c r="J9" s="943"/>
      <c r="K9" s="942"/>
      <c r="L9" s="940">
        <v>1250</v>
      </c>
      <c r="M9" s="940">
        <v>135</v>
      </c>
      <c r="N9" s="941">
        <f>M9/L9</f>
        <v>0.108</v>
      </c>
      <c r="O9" s="942"/>
      <c r="P9" s="940">
        <v>1926</v>
      </c>
      <c r="Q9" s="940">
        <v>135</v>
      </c>
      <c r="R9" s="941">
        <f>Q9/P9</f>
        <v>7.0093457943925228E-2</v>
      </c>
      <c r="S9" s="942"/>
      <c r="T9" s="944">
        <f t="shared" si="0"/>
        <v>5582</v>
      </c>
      <c r="U9" s="945">
        <f t="shared" si="0"/>
        <v>702</v>
      </c>
      <c r="W9" s="938">
        <v>432</v>
      </c>
      <c r="X9" s="937"/>
      <c r="Y9" s="937">
        <v>270</v>
      </c>
      <c r="AA9" s="946"/>
      <c r="AB9" s="946"/>
      <c r="AC9" s="946"/>
    </row>
    <row r="10" spans="1:29" x14ac:dyDescent="0.2">
      <c r="A10" s="939">
        <f t="shared" si="1"/>
        <v>235</v>
      </c>
      <c r="C10" s="935">
        <f t="shared" si="3"/>
        <v>2005</v>
      </c>
      <c r="D10" s="940">
        <v>281</v>
      </c>
      <c r="E10" s="940">
        <v>235</v>
      </c>
      <c r="F10" s="941">
        <f t="shared" si="2"/>
        <v>0.83629893238434161</v>
      </c>
      <c r="G10" s="942"/>
      <c r="H10" s="940">
        <v>1027</v>
      </c>
      <c r="I10" s="940"/>
      <c r="J10" s="943"/>
      <c r="K10" s="942"/>
      <c r="L10" s="940">
        <v>1413</v>
      </c>
      <c r="M10" s="940"/>
      <c r="N10" s="943"/>
      <c r="O10" s="942"/>
      <c r="P10" s="940">
        <v>1620</v>
      </c>
      <c r="Q10" s="940"/>
      <c r="R10" s="943"/>
      <c r="S10" s="942"/>
      <c r="T10" s="944">
        <f t="shared" si="0"/>
        <v>4341</v>
      </c>
      <c r="U10" s="945">
        <f t="shared" si="0"/>
        <v>235</v>
      </c>
      <c r="W10" s="938">
        <v>235</v>
      </c>
      <c r="X10" s="937"/>
      <c r="Y10" s="937"/>
      <c r="AA10" s="946"/>
      <c r="AB10" s="946"/>
      <c r="AC10" s="946"/>
    </row>
    <row r="11" spans="1:29" x14ac:dyDescent="0.2">
      <c r="A11" s="939">
        <f t="shared" si="1"/>
        <v>403</v>
      </c>
      <c r="C11" s="935">
        <f t="shared" si="3"/>
        <v>2006</v>
      </c>
      <c r="D11" s="940">
        <v>873</v>
      </c>
      <c r="E11" s="940">
        <v>403</v>
      </c>
      <c r="F11" s="941">
        <f t="shared" si="2"/>
        <v>0.46162657502863691</v>
      </c>
      <c r="G11" s="942"/>
      <c r="H11" s="940">
        <v>742</v>
      </c>
      <c r="I11" s="940"/>
      <c r="J11" s="943"/>
      <c r="K11" s="942"/>
      <c r="L11" s="940">
        <v>1132</v>
      </c>
      <c r="M11" s="940"/>
      <c r="N11" s="943"/>
      <c r="O11" s="942"/>
      <c r="P11" s="940">
        <v>1814</v>
      </c>
      <c r="Q11" s="940"/>
      <c r="R11" s="943"/>
      <c r="S11" s="942"/>
      <c r="T11" s="944">
        <f t="shared" si="0"/>
        <v>4561</v>
      </c>
      <c r="U11" s="945">
        <f t="shared" si="0"/>
        <v>403</v>
      </c>
      <c r="W11" s="938">
        <v>403</v>
      </c>
      <c r="X11" s="937"/>
      <c r="Y11" s="937"/>
      <c r="AA11" s="946">
        <v>22</v>
      </c>
      <c r="AB11" s="946"/>
      <c r="AC11" s="946"/>
    </row>
    <row r="12" spans="1:29" x14ac:dyDescent="0.2">
      <c r="A12" s="939">
        <f t="shared" si="1"/>
        <v>340</v>
      </c>
      <c r="C12" s="935">
        <f t="shared" si="3"/>
        <v>2007</v>
      </c>
      <c r="D12" s="940">
        <v>702</v>
      </c>
      <c r="E12" s="940">
        <v>340</v>
      </c>
      <c r="F12" s="941">
        <f t="shared" si="2"/>
        <v>0.48433048433048431</v>
      </c>
      <c r="G12" s="942"/>
      <c r="H12" s="940">
        <v>940</v>
      </c>
      <c r="I12" s="940"/>
      <c r="J12" s="943"/>
      <c r="K12" s="942"/>
      <c r="L12" s="940">
        <v>863</v>
      </c>
      <c r="M12" s="940"/>
      <c r="N12" s="943"/>
      <c r="O12" s="942"/>
      <c r="P12" s="940">
        <v>1795</v>
      </c>
      <c r="Q12" s="940"/>
      <c r="R12" s="943"/>
      <c r="S12" s="942"/>
      <c r="T12" s="944">
        <f t="shared" si="0"/>
        <v>4300</v>
      </c>
      <c r="U12" s="945">
        <f t="shared" si="0"/>
        <v>340</v>
      </c>
      <c r="W12" s="938">
        <v>340</v>
      </c>
      <c r="X12" s="937"/>
      <c r="Y12" s="937"/>
      <c r="AA12" s="946">
        <v>118</v>
      </c>
      <c r="AB12" s="946"/>
      <c r="AC12" s="946"/>
    </row>
    <row r="13" spans="1:29" x14ac:dyDescent="0.2">
      <c r="A13" s="939">
        <f t="shared" si="1"/>
        <v>618</v>
      </c>
      <c r="C13" s="935">
        <f t="shared" si="3"/>
        <v>2008</v>
      </c>
      <c r="D13" s="940">
        <v>936</v>
      </c>
      <c r="E13" s="940">
        <v>618</v>
      </c>
      <c r="F13" s="941">
        <f t="shared" si="2"/>
        <v>0.66025641025641024</v>
      </c>
      <c r="G13" s="942"/>
      <c r="H13" s="940">
        <v>1075</v>
      </c>
      <c r="I13" s="940"/>
      <c r="J13" s="943"/>
      <c r="K13" s="942"/>
      <c r="L13" s="940">
        <v>1283</v>
      </c>
      <c r="M13" s="940"/>
      <c r="N13" s="943"/>
      <c r="O13" s="942"/>
      <c r="P13" s="940">
        <v>1065</v>
      </c>
      <c r="Q13" s="940"/>
      <c r="R13" s="943"/>
      <c r="S13" s="942"/>
      <c r="T13" s="944">
        <f t="shared" si="0"/>
        <v>4359</v>
      </c>
      <c r="U13" s="945">
        <f t="shared" si="0"/>
        <v>618</v>
      </c>
      <c r="W13" s="938">
        <v>618</v>
      </c>
      <c r="X13" s="937"/>
      <c r="Y13" s="937"/>
      <c r="AA13" s="946">
        <v>393</v>
      </c>
      <c r="AB13" s="946"/>
      <c r="AC13" s="946"/>
    </row>
    <row r="14" spans="1:29" x14ac:dyDescent="0.2">
      <c r="A14" s="939">
        <f t="shared" si="1"/>
        <v>221</v>
      </c>
      <c r="C14" s="935">
        <f t="shared" si="3"/>
        <v>2009</v>
      </c>
      <c r="D14" s="940">
        <v>738</v>
      </c>
      <c r="E14" s="940">
        <v>221</v>
      </c>
      <c r="F14" s="941">
        <f t="shared" si="2"/>
        <v>0.29945799457994582</v>
      </c>
      <c r="G14" s="942"/>
      <c r="H14" s="940">
        <v>652</v>
      </c>
      <c r="I14" s="940"/>
      <c r="J14" s="943"/>
      <c r="K14" s="942"/>
      <c r="L14" s="940">
        <v>916</v>
      </c>
      <c r="M14" s="940"/>
      <c r="N14" s="943"/>
      <c r="O14" s="942"/>
      <c r="P14" s="940">
        <v>1472</v>
      </c>
      <c r="Q14" s="940"/>
      <c r="R14" s="943"/>
      <c r="S14" s="942"/>
      <c r="T14" s="944">
        <f t="shared" si="0"/>
        <v>3778</v>
      </c>
      <c r="U14" s="945">
        <f t="shared" si="0"/>
        <v>221</v>
      </c>
      <c r="W14" s="938">
        <v>221</v>
      </c>
      <c r="X14" s="937"/>
      <c r="Y14" s="937"/>
      <c r="AA14" s="946">
        <v>227</v>
      </c>
      <c r="AB14" s="946"/>
      <c r="AC14" s="946"/>
    </row>
    <row r="15" spans="1:29" x14ac:dyDescent="0.2">
      <c r="A15" s="939">
        <f t="shared" si="1"/>
        <v>92</v>
      </c>
      <c r="C15" s="935">
        <f t="shared" si="3"/>
        <v>2010</v>
      </c>
      <c r="D15" s="940">
        <v>439</v>
      </c>
      <c r="E15" s="940">
        <v>92</v>
      </c>
      <c r="F15" s="941">
        <f t="shared" si="2"/>
        <v>0.20956719817767655</v>
      </c>
      <c r="G15" s="942"/>
      <c r="H15" s="940">
        <v>694</v>
      </c>
      <c r="I15" s="940"/>
      <c r="J15" s="943"/>
      <c r="K15" s="942"/>
      <c r="L15" s="940">
        <v>1602</v>
      </c>
      <c r="M15" s="940"/>
      <c r="N15" s="943"/>
      <c r="O15" s="942"/>
      <c r="P15" s="940">
        <v>1520</v>
      </c>
      <c r="Q15" s="940"/>
      <c r="R15" s="943"/>
      <c r="S15" s="942"/>
      <c r="T15" s="944">
        <f t="shared" si="0"/>
        <v>4255</v>
      </c>
      <c r="U15" s="945">
        <f t="shared" si="0"/>
        <v>92</v>
      </c>
      <c r="W15" s="938">
        <v>92</v>
      </c>
      <c r="X15" s="937"/>
      <c r="Y15" s="938">
        <v>0</v>
      </c>
      <c r="AA15" s="946">
        <v>2</v>
      </c>
      <c r="AB15" s="946"/>
      <c r="AC15" s="946"/>
    </row>
    <row r="16" spans="1:29" x14ac:dyDescent="0.2">
      <c r="A16" s="939">
        <f t="shared" si="1"/>
        <v>71</v>
      </c>
      <c r="C16" s="935">
        <f t="shared" si="3"/>
        <v>2011</v>
      </c>
      <c r="D16" s="940">
        <v>528</v>
      </c>
      <c r="E16" s="940">
        <v>52</v>
      </c>
      <c r="F16" s="941">
        <f t="shared" si="2"/>
        <v>9.8484848484848481E-2</v>
      </c>
      <c r="G16" s="942"/>
      <c r="H16" s="940">
        <v>1052</v>
      </c>
      <c r="I16" s="940">
        <v>19</v>
      </c>
      <c r="J16" s="941">
        <f>I16/H16</f>
        <v>1.8060836501901139E-2</v>
      </c>
      <c r="K16" s="942"/>
      <c r="L16" s="940">
        <v>1359</v>
      </c>
      <c r="M16" s="940">
        <v>9.5</v>
      </c>
      <c r="N16" s="941">
        <f t="shared" ref="N16:N21" si="4">M16/L16</f>
        <v>6.990434142752024E-3</v>
      </c>
      <c r="O16" s="942"/>
      <c r="P16" s="940">
        <v>723</v>
      </c>
      <c r="Q16" s="940">
        <v>9.5</v>
      </c>
      <c r="R16" s="941">
        <f t="shared" ref="R16:R21" si="5">Q16/P16</f>
        <v>1.313969571230982E-2</v>
      </c>
      <c r="S16" s="942"/>
      <c r="T16" s="944">
        <f t="shared" si="0"/>
        <v>3662</v>
      </c>
      <c r="U16" s="945">
        <f t="shared" si="0"/>
        <v>90</v>
      </c>
      <c r="W16" s="938">
        <v>52</v>
      </c>
      <c r="X16" s="937">
        <v>19</v>
      </c>
      <c r="Y16" s="938">
        <v>19</v>
      </c>
      <c r="AA16" s="946">
        <v>156</v>
      </c>
      <c r="AB16" s="946">
        <v>6</v>
      </c>
      <c r="AC16" s="946">
        <v>8</v>
      </c>
    </row>
    <row r="17" spans="1:29" x14ac:dyDescent="0.2">
      <c r="A17" s="939">
        <f t="shared" si="1"/>
        <v>117</v>
      </c>
      <c r="C17" s="935">
        <f t="shared" si="3"/>
        <v>2012</v>
      </c>
      <c r="D17" s="940">
        <v>570</v>
      </c>
      <c r="E17" s="940">
        <v>117</v>
      </c>
      <c r="F17" s="941">
        <f t="shared" si="2"/>
        <v>0.20526315789473684</v>
      </c>
      <c r="G17" s="942"/>
      <c r="H17" s="940">
        <v>470</v>
      </c>
      <c r="I17" s="940"/>
      <c r="J17" s="943"/>
      <c r="K17" s="942"/>
      <c r="L17" s="940">
        <v>654</v>
      </c>
      <c r="M17" s="940">
        <v>37</v>
      </c>
      <c r="N17" s="941">
        <f t="shared" si="4"/>
        <v>5.657492354740061E-2</v>
      </c>
      <c r="O17" s="942"/>
      <c r="P17" s="940">
        <v>994</v>
      </c>
      <c r="Q17" s="940">
        <v>37</v>
      </c>
      <c r="R17" s="941">
        <f t="shared" si="5"/>
        <v>3.722334004024145E-2</v>
      </c>
      <c r="S17" s="942"/>
      <c r="T17" s="944">
        <f t="shared" si="0"/>
        <v>2688</v>
      </c>
      <c r="U17" s="945">
        <f t="shared" si="0"/>
        <v>191</v>
      </c>
      <c r="W17" s="938">
        <v>117</v>
      </c>
      <c r="X17" s="937"/>
      <c r="Y17" s="938">
        <v>74</v>
      </c>
      <c r="AA17" s="946"/>
      <c r="AB17" s="946"/>
      <c r="AC17" s="946"/>
    </row>
    <row r="18" spans="1:29" x14ac:dyDescent="0.2">
      <c r="A18" s="939">
        <f t="shared" si="1"/>
        <v>64</v>
      </c>
      <c r="C18" s="935">
        <f t="shared" si="3"/>
        <v>2013</v>
      </c>
      <c r="D18" s="940">
        <v>597</v>
      </c>
      <c r="E18" s="940">
        <v>64</v>
      </c>
      <c r="F18" s="941">
        <f t="shared" si="2"/>
        <v>0.10720268006700168</v>
      </c>
      <c r="G18" s="942"/>
      <c r="H18" s="940">
        <v>445</v>
      </c>
      <c r="I18" s="940"/>
      <c r="J18" s="943"/>
      <c r="K18" s="942"/>
      <c r="L18" s="940">
        <v>1113</v>
      </c>
      <c r="M18" s="940">
        <v>7.5</v>
      </c>
      <c r="N18" s="941">
        <f t="shared" si="4"/>
        <v>6.7385444743935314E-3</v>
      </c>
      <c r="O18" s="942"/>
      <c r="P18" s="940">
        <v>1696</v>
      </c>
      <c r="Q18" s="940">
        <v>7.5</v>
      </c>
      <c r="R18" s="941">
        <f t="shared" si="5"/>
        <v>4.4221698113207546E-3</v>
      </c>
      <c r="S18" s="942"/>
      <c r="T18" s="944">
        <f t="shared" si="0"/>
        <v>3851</v>
      </c>
      <c r="U18" s="945">
        <f t="shared" si="0"/>
        <v>79</v>
      </c>
      <c r="W18" s="938">
        <v>64</v>
      </c>
      <c r="X18" s="937"/>
      <c r="Y18" s="938">
        <v>15</v>
      </c>
      <c r="AA18" s="946"/>
      <c r="AB18" s="946"/>
      <c r="AC18" s="946"/>
    </row>
    <row r="19" spans="1:29" x14ac:dyDescent="0.2">
      <c r="A19" s="939">
        <f t="shared" si="1"/>
        <v>13</v>
      </c>
      <c r="C19" s="935">
        <f t="shared" si="3"/>
        <v>2014</v>
      </c>
      <c r="D19" s="948">
        <v>1081</v>
      </c>
      <c r="E19" s="948">
        <v>13</v>
      </c>
      <c r="F19" s="949">
        <f t="shared" si="2"/>
        <v>1.2025901942645698E-2</v>
      </c>
      <c r="G19" s="942"/>
      <c r="H19" s="940">
        <v>577</v>
      </c>
      <c r="I19" s="940"/>
      <c r="J19" s="943"/>
      <c r="K19" s="942"/>
      <c r="L19" s="940">
        <v>1152</v>
      </c>
      <c r="M19" s="940"/>
      <c r="N19" s="943"/>
      <c r="O19" s="942"/>
      <c r="P19" s="940">
        <v>1941</v>
      </c>
      <c r="Q19" s="940"/>
      <c r="R19" s="943"/>
      <c r="S19" s="942"/>
      <c r="T19" s="944">
        <f t="shared" si="0"/>
        <v>4751</v>
      </c>
      <c r="U19" s="945">
        <f t="shared" si="0"/>
        <v>13</v>
      </c>
      <c r="W19" s="938">
        <v>13</v>
      </c>
      <c r="X19" s="937"/>
      <c r="Y19" s="938">
        <v>0</v>
      </c>
      <c r="AA19" s="946"/>
      <c r="AB19" s="946"/>
      <c r="AC19" s="946"/>
    </row>
    <row r="20" spans="1:29" x14ac:dyDescent="0.2">
      <c r="A20" s="939">
        <f t="shared" si="1"/>
        <v>69</v>
      </c>
      <c r="C20" s="935">
        <f t="shared" si="3"/>
        <v>2015</v>
      </c>
      <c r="D20" s="948">
        <v>1135</v>
      </c>
      <c r="E20" s="948">
        <v>69</v>
      </c>
      <c r="F20" s="949">
        <f t="shared" si="2"/>
        <v>6.0792951541850222E-2</v>
      </c>
      <c r="G20" s="942"/>
      <c r="H20" s="940">
        <v>1186</v>
      </c>
      <c r="I20" s="940"/>
      <c r="J20" s="943"/>
      <c r="K20" s="942"/>
      <c r="L20" s="940">
        <v>1523</v>
      </c>
      <c r="M20" s="940">
        <v>0.5</v>
      </c>
      <c r="N20" s="941">
        <f t="shared" si="4"/>
        <v>3.2829940906106366E-4</v>
      </c>
      <c r="O20" s="942"/>
      <c r="P20" s="940">
        <v>2004</v>
      </c>
      <c r="Q20" s="940">
        <v>0.5</v>
      </c>
      <c r="R20" s="941">
        <f t="shared" si="5"/>
        <v>2.4950099800399199E-4</v>
      </c>
      <c r="S20" s="942"/>
      <c r="T20" s="944">
        <f t="shared" si="0"/>
        <v>5848</v>
      </c>
      <c r="U20" s="945">
        <f t="shared" si="0"/>
        <v>70</v>
      </c>
      <c r="W20" s="938">
        <v>69</v>
      </c>
      <c r="X20" s="937"/>
      <c r="Y20" s="938">
        <v>1</v>
      </c>
      <c r="AA20" s="946"/>
      <c r="AB20" s="946"/>
      <c r="AC20" s="946"/>
    </row>
    <row r="21" spans="1:29" x14ac:dyDescent="0.2">
      <c r="A21" s="939">
        <f t="shared" si="1"/>
        <v>36</v>
      </c>
      <c r="C21" s="935">
        <f t="shared" si="3"/>
        <v>2016</v>
      </c>
      <c r="D21" s="948">
        <v>1055</v>
      </c>
      <c r="E21" s="948">
        <v>36</v>
      </c>
      <c r="F21" s="949">
        <f t="shared" si="2"/>
        <v>3.4123222748815164E-2</v>
      </c>
      <c r="G21" s="942"/>
      <c r="H21" s="940">
        <v>1257</v>
      </c>
      <c r="I21" s="940"/>
      <c r="J21" s="943"/>
      <c r="K21" s="942"/>
      <c r="L21" s="940">
        <v>1412</v>
      </c>
      <c r="M21" s="940">
        <v>3</v>
      </c>
      <c r="N21" s="941">
        <f t="shared" si="4"/>
        <v>2.124645892351275E-3</v>
      </c>
      <c r="O21" s="942"/>
      <c r="P21" s="940">
        <v>1513</v>
      </c>
      <c r="Q21" s="940">
        <v>3</v>
      </c>
      <c r="R21" s="941">
        <f t="shared" si="5"/>
        <v>1.9828155981493722E-3</v>
      </c>
      <c r="S21" s="942"/>
      <c r="T21" s="944">
        <f t="shared" si="0"/>
        <v>5237</v>
      </c>
      <c r="U21" s="945">
        <f t="shared" si="0"/>
        <v>42</v>
      </c>
      <c r="W21" s="938">
        <v>36</v>
      </c>
      <c r="X21" s="937"/>
      <c r="Y21" s="938">
        <v>6</v>
      </c>
      <c r="AA21" s="946"/>
      <c r="AB21" s="946"/>
      <c r="AC21" s="946"/>
    </row>
    <row r="22" spans="1:29" x14ac:dyDescent="0.2">
      <c r="A22" s="939">
        <f t="shared" si="1"/>
        <v>14</v>
      </c>
      <c r="C22" s="935">
        <f t="shared" si="3"/>
        <v>2017</v>
      </c>
      <c r="D22" s="948">
        <v>1067</v>
      </c>
      <c r="E22" s="948">
        <v>14</v>
      </c>
      <c r="F22" s="949">
        <f t="shared" si="2"/>
        <v>1.3120899718837863E-2</v>
      </c>
      <c r="G22" s="942"/>
      <c r="H22" s="940">
        <v>748</v>
      </c>
      <c r="I22" s="940"/>
      <c r="J22" s="943"/>
      <c r="K22" s="942"/>
      <c r="L22" s="940">
        <v>739</v>
      </c>
      <c r="M22" s="940"/>
      <c r="N22" s="943"/>
      <c r="O22" s="942"/>
      <c r="P22" s="940">
        <v>1047</v>
      </c>
      <c r="Q22" s="940"/>
      <c r="R22" s="943"/>
      <c r="S22" s="942"/>
      <c r="T22" s="944">
        <f t="shared" si="0"/>
        <v>3601</v>
      </c>
      <c r="U22" s="945">
        <f t="shared" si="0"/>
        <v>14</v>
      </c>
      <c r="W22" s="938">
        <v>14</v>
      </c>
      <c r="X22" s="937"/>
      <c r="Y22" s="938"/>
      <c r="AA22" s="946"/>
      <c r="AB22" s="946"/>
      <c r="AC22" s="946"/>
    </row>
    <row r="23" spans="1:29" x14ac:dyDescent="0.2">
      <c r="A23" s="939">
        <f t="shared" si="1"/>
        <v>47</v>
      </c>
      <c r="C23" s="935">
        <f t="shared" si="3"/>
        <v>2018</v>
      </c>
      <c r="D23" s="940">
        <v>979.57345682856442</v>
      </c>
      <c r="E23" s="950">
        <v>29</v>
      </c>
      <c r="F23" s="951">
        <f>AVERAGE(F$19:F$22)</f>
        <v>3.001574398803724E-2</v>
      </c>
      <c r="G23" s="942"/>
      <c r="H23" s="940">
        <v>616</v>
      </c>
      <c r="I23" s="950">
        <v>18</v>
      </c>
      <c r="J23" s="951">
        <f>$F23</f>
        <v>3.001574398803724E-2</v>
      </c>
      <c r="K23" s="942"/>
      <c r="L23" s="940">
        <v>1367</v>
      </c>
      <c r="M23" s="950">
        <v>41</v>
      </c>
      <c r="N23" s="951">
        <f>$F23</f>
        <v>3.001574398803724E-2</v>
      </c>
      <c r="O23" s="942"/>
      <c r="P23" s="940">
        <v>1779</v>
      </c>
      <c r="Q23" s="950">
        <v>53</v>
      </c>
      <c r="R23" s="951">
        <f>$F23</f>
        <v>3.001574398803724E-2</v>
      </c>
      <c r="S23" s="942"/>
      <c r="T23" s="952">
        <f t="shared" si="0"/>
        <v>4741.5734568285643</v>
      </c>
      <c r="U23" s="953">
        <f t="shared" si="0"/>
        <v>141</v>
      </c>
      <c r="W23" s="938"/>
      <c r="X23" s="937"/>
      <c r="Y23" s="937"/>
      <c r="AA23" s="946"/>
      <c r="AB23" s="946"/>
      <c r="AC23" s="946"/>
    </row>
    <row r="24" spans="1:29" x14ac:dyDescent="0.2">
      <c r="A24" s="939">
        <f t="shared" si="1"/>
        <v>72</v>
      </c>
      <c r="C24" s="935">
        <f t="shared" si="3"/>
        <v>2019</v>
      </c>
      <c r="D24" s="940">
        <v>676.14863441476632</v>
      </c>
      <c r="E24" s="950">
        <v>20</v>
      </c>
      <c r="F24" s="951">
        <f>AVERAGE(F$19:F$22)</f>
        <v>3.001574398803724E-2</v>
      </c>
      <c r="G24" s="942"/>
      <c r="H24" s="940">
        <v>1720.8357523615989</v>
      </c>
      <c r="I24" s="950">
        <v>52</v>
      </c>
      <c r="J24" s="951">
        <f>$F24</f>
        <v>3.001574398803724E-2</v>
      </c>
      <c r="K24" s="942"/>
      <c r="L24" s="940">
        <v>1826</v>
      </c>
      <c r="M24" s="950">
        <v>55</v>
      </c>
      <c r="N24" s="951">
        <f>$F24</f>
        <v>3.001574398803724E-2</v>
      </c>
      <c r="O24" s="942"/>
      <c r="P24" s="940">
        <v>2223</v>
      </c>
      <c r="Q24" s="950">
        <v>67</v>
      </c>
      <c r="R24" s="951">
        <f>$F24</f>
        <v>3.001574398803724E-2</v>
      </c>
      <c r="S24" s="942"/>
      <c r="T24" s="952">
        <f t="shared" si="0"/>
        <v>6445.9843867763648</v>
      </c>
      <c r="U24" s="953">
        <f t="shared" si="0"/>
        <v>194</v>
      </c>
      <c r="W24" s="937"/>
      <c r="X24" s="937"/>
      <c r="Y24" s="937"/>
      <c r="AA24" s="946"/>
      <c r="AB24" s="946"/>
      <c r="AC24" s="946"/>
    </row>
    <row r="25" spans="1:29" x14ac:dyDescent="0.2">
      <c r="A25" s="939">
        <f t="shared" si="1"/>
        <v>59</v>
      </c>
      <c r="C25" s="935">
        <f t="shared" si="3"/>
        <v>2020</v>
      </c>
      <c r="D25" s="940">
        <v>718</v>
      </c>
      <c r="E25" s="950">
        <v>22</v>
      </c>
      <c r="F25" s="951">
        <f>AVERAGE(F$19:F$22)</f>
        <v>3.001574398803724E-2</v>
      </c>
      <c r="G25" s="942"/>
      <c r="H25" s="940">
        <v>1243</v>
      </c>
      <c r="I25" s="950">
        <v>37</v>
      </c>
      <c r="J25" s="951">
        <f>$F25</f>
        <v>3.001574398803724E-2</v>
      </c>
      <c r="K25" s="942"/>
      <c r="L25" s="940">
        <v>1511</v>
      </c>
      <c r="M25" s="950">
        <v>45</v>
      </c>
      <c r="N25" s="951">
        <f>$F25</f>
        <v>3.001574398803724E-2</v>
      </c>
      <c r="O25" s="942"/>
      <c r="P25" s="940">
        <v>1753</v>
      </c>
      <c r="Q25" s="950">
        <v>53</v>
      </c>
      <c r="R25" s="951">
        <f>$F25</f>
        <v>3.001574398803724E-2</v>
      </c>
      <c r="S25" s="942"/>
      <c r="T25" s="952">
        <f t="shared" si="0"/>
        <v>5225</v>
      </c>
      <c r="U25" s="953">
        <f t="shared" si="0"/>
        <v>157</v>
      </c>
      <c r="W25" s="937"/>
      <c r="X25" s="937"/>
      <c r="Y25" s="937"/>
      <c r="AA25" s="946"/>
      <c r="AB25" s="946"/>
      <c r="AC25" s="946"/>
    </row>
    <row r="26" spans="1:29" x14ac:dyDescent="0.2">
      <c r="A26" s="939">
        <f t="shared" si="1"/>
        <v>90</v>
      </c>
      <c r="C26" s="935">
        <v>2021</v>
      </c>
      <c r="D26" s="940">
        <v>533</v>
      </c>
      <c r="E26" s="950">
        <v>16</v>
      </c>
      <c r="F26" s="951">
        <v>3.001574398803724E-2</v>
      </c>
      <c r="G26" s="942"/>
      <c r="H26" s="940">
        <v>2457</v>
      </c>
      <c r="I26" s="950">
        <v>74</v>
      </c>
      <c r="J26" s="951">
        <v>3.001574398803724E-2</v>
      </c>
      <c r="K26" s="942"/>
      <c r="L26" s="940">
        <v>1331</v>
      </c>
      <c r="M26" s="950">
        <v>40</v>
      </c>
      <c r="N26" s="951">
        <v>3.001574398803724E-2</v>
      </c>
      <c r="O26" s="942"/>
      <c r="P26" s="940">
        <v>986</v>
      </c>
      <c r="Q26" s="950">
        <v>30</v>
      </c>
      <c r="R26" s="951">
        <v>3.001574398803724E-2</v>
      </c>
      <c r="S26" s="942"/>
      <c r="T26" s="952">
        <v>5307</v>
      </c>
      <c r="U26" s="953">
        <v>160</v>
      </c>
      <c r="W26" s="937"/>
      <c r="X26" s="937"/>
      <c r="Y26" s="937"/>
      <c r="AA26" s="946"/>
      <c r="AB26" s="946"/>
      <c r="AC26" s="946"/>
    </row>
    <row r="27" spans="1:29" x14ac:dyDescent="0.2">
      <c r="A27" s="939">
        <f t="shared" si="1"/>
        <v>60</v>
      </c>
      <c r="C27" s="935">
        <f t="shared" si="3"/>
        <v>2022</v>
      </c>
      <c r="D27" s="940">
        <v>479</v>
      </c>
      <c r="E27" s="950">
        <v>14</v>
      </c>
      <c r="F27" s="951">
        <v>3.001574398803724E-2</v>
      </c>
      <c r="G27" s="942"/>
      <c r="H27" s="940">
        <v>1516</v>
      </c>
      <c r="I27" s="950">
        <v>46</v>
      </c>
      <c r="J27" s="951">
        <v>3.001574398803724E-2</v>
      </c>
      <c r="K27" s="942"/>
      <c r="L27" s="940">
        <v>434</v>
      </c>
      <c r="M27" s="950">
        <v>13</v>
      </c>
      <c r="N27" s="951">
        <v>3.001574398803724E-2</v>
      </c>
      <c r="O27" s="942"/>
      <c r="P27" s="940">
        <v>1301</v>
      </c>
      <c r="Q27" s="950">
        <v>39</v>
      </c>
      <c r="R27" s="951">
        <v>3.001574398803724E-2</v>
      </c>
      <c r="S27" s="942"/>
      <c r="T27" s="952">
        <v>3730</v>
      </c>
      <c r="U27" s="953">
        <v>112</v>
      </c>
      <c r="W27" s="937"/>
      <c r="X27" s="937"/>
      <c r="Y27" s="937"/>
      <c r="AA27" s="946"/>
      <c r="AB27" s="946"/>
      <c r="AC27" s="946"/>
    </row>
    <row r="28" spans="1:29" x14ac:dyDescent="0.2">
      <c r="A28" s="939">
        <f t="shared" si="1"/>
        <v>26</v>
      </c>
      <c r="C28" s="935">
        <v>2023</v>
      </c>
      <c r="D28" s="940">
        <v>218</v>
      </c>
      <c r="E28" s="950">
        <v>7</v>
      </c>
      <c r="F28" s="951">
        <v>3.001574398803724E-2</v>
      </c>
      <c r="G28" s="942"/>
      <c r="H28" s="940">
        <v>618</v>
      </c>
      <c r="I28" s="950">
        <v>19</v>
      </c>
      <c r="J28" s="951">
        <v>3.001574398803724E-2</v>
      </c>
      <c r="K28" s="942"/>
      <c r="L28" s="940">
        <v>746</v>
      </c>
      <c r="M28" s="950">
        <v>22</v>
      </c>
      <c r="N28" s="951">
        <v>3.001574398803724E-2</v>
      </c>
      <c r="O28" s="942"/>
      <c r="P28" s="940">
        <v>1540</v>
      </c>
      <c r="Q28" s="950">
        <v>46</v>
      </c>
      <c r="R28" s="951">
        <v>3.001574398803724E-2</v>
      </c>
      <c r="S28" s="942"/>
      <c r="T28" s="952">
        <v>3122</v>
      </c>
      <c r="U28" s="953">
        <v>94</v>
      </c>
      <c r="W28" s="937"/>
      <c r="X28" s="937"/>
      <c r="Y28" s="937"/>
      <c r="AA28" s="946"/>
      <c r="AB28" s="946"/>
      <c r="AC28" s="946"/>
    </row>
    <row r="29" spans="1:29" x14ac:dyDescent="0.2">
      <c r="A29" s="939">
        <f t="shared" si="1"/>
        <v>52</v>
      </c>
      <c r="C29" s="935">
        <v>2024</v>
      </c>
      <c r="D29" s="940">
        <v>943</v>
      </c>
      <c r="E29" s="954">
        <f>ROUND(F29*D29,0)</f>
        <v>28</v>
      </c>
      <c r="F29" s="951">
        <f>AVERAGE(F$19:F$22)</f>
        <v>3.001574398803724E-2</v>
      </c>
      <c r="G29" s="942"/>
      <c r="H29" s="940">
        <v>815</v>
      </c>
      <c r="I29" s="954">
        <f>ROUND(J29*H29,0)</f>
        <v>24</v>
      </c>
      <c r="J29" s="951">
        <f>$F29</f>
        <v>3.001574398803724E-2</v>
      </c>
      <c r="K29" s="942"/>
      <c r="L29" s="940">
        <v>819</v>
      </c>
      <c r="M29" s="954">
        <f>ROUND(N29*L29,0)</f>
        <v>25</v>
      </c>
      <c r="N29" s="951">
        <f>$F29</f>
        <v>3.001574398803724E-2</v>
      </c>
      <c r="O29" s="942"/>
      <c r="P29" s="940">
        <v>1376</v>
      </c>
      <c r="Q29" s="954">
        <f>ROUND(R29*P29,0)</f>
        <v>41</v>
      </c>
      <c r="R29" s="951">
        <f>$F29</f>
        <v>3.001574398803724E-2</v>
      </c>
      <c r="S29" s="942"/>
      <c r="T29" s="952">
        <f>SUM(P29,L29,H29,D29)</f>
        <v>3953</v>
      </c>
      <c r="U29" s="955">
        <f>SUM(Q29,M29,I29,E29)</f>
        <v>118</v>
      </c>
      <c r="W29" s="937"/>
      <c r="X29" s="937"/>
      <c r="Y29" s="937"/>
      <c r="AA29" s="946"/>
      <c r="AB29" s="946"/>
      <c r="AC29" s="946"/>
    </row>
    <row r="30" spans="1:29" x14ac:dyDescent="0.2">
      <c r="A30" s="939">
        <f t="shared" si="1"/>
        <v>55</v>
      </c>
      <c r="C30" s="935">
        <v>2025</v>
      </c>
      <c r="D30" s="948">
        <f>[2]CH!AO23</f>
        <v>271.06101013742989</v>
      </c>
      <c r="E30" s="954">
        <f>ROUND(F30*D30,0)</f>
        <v>8</v>
      </c>
      <c r="F30" s="951">
        <f>AVERAGE(F$19:F$22)</f>
        <v>3.001574398803724E-2</v>
      </c>
      <c r="G30" s="942"/>
      <c r="H30" s="948">
        <f>[2]CH!AP23</f>
        <v>1568.8990632784248</v>
      </c>
      <c r="I30" s="954">
        <f>ROUND(J30*H30,0)</f>
        <v>47</v>
      </c>
      <c r="J30" s="951">
        <f>$F30</f>
        <v>3.001574398803724E-2</v>
      </c>
      <c r="K30" s="942"/>
      <c r="L30" s="948">
        <f>[2]CH!AQ23</f>
        <v>1241.3809523809523</v>
      </c>
      <c r="M30" s="954">
        <f>ROUND(N30*L30,0)</f>
        <v>37</v>
      </c>
      <c r="N30" s="951">
        <f>$F30</f>
        <v>3.001574398803724E-2</v>
      </c>
      <c r="O30" s="942"/>
      <c r="P30" s="948">
        <f>[2]CH!AR23</f>
        <v>1627.25</v>
      </c>
      <c r="Q30" s="954">
        <f>ROUND(R30*P30,0)</f>
        <v>49</v>
      </c>
      <c r="R30" s="951">
        <f>$F30</f>
        <v>3.001574398803724E-2</v>
      </c>
      <c r="S30" s="942"/>
      <c r="T30" s="952">
        <f>SUM(P30,L30,H30,D30)</f>
        <v>4708.5910257968062</v>
      </c>
      <c r="U30" s="955">
        <f>SUM(Q30,M30,I30,E30)</f>
        <v>141</v>
      </c>
      <c r="W30" s="937"/>
      <c r="X30" s="937"/>
      <c r="Y30" s="937"/>
      <c r="AA30" s="946"/>
      <c r="AB30" s="946"/>
      <c r="AC30" s="946"/>
    </row>
    <row r="32" spans="1:29" x14ac:dyDescent="0.2">
      <c r="C32" s="935" t="s">
        <v>645</v>
      </c>
      <c r="D32" s="936">
        <v>800</v>
      </c>
      <c r="E32" s="936">
        <v>200</v>
      </c>
      <c r="F32" s="941">
        <f>E32/D32</f>
        <v>0.25</v>
      </c>
      <c r="H32" s="936">
        <v>1200</v>
      </c>
      <c r="I32" s="936">
        <v>40</v>
      </c>
      <c r="J32" s="941">
        <f>I32/H32</f>
        <v>3.3333333333333333E-2</v>
      </c>
      <c r="L32" s="936">
        <v>1300</v>
      </c>
      <c r="M32" s="936">
        <v>40</v>
      </c>
      <c r="N32" s="941">
        <f>M32/L32</f>
        <v>3.0769230769230771E-2</v>
      </c>
      <c r="P32" s="936">
        <v>1700</v>
      </c>
      <c r="Q32" s="936">
        <v>40</v>
      </c>
      <c r="R32" s="941">
        <f>Q32/P32</f>
        <v>2.3529411764705882E-2</v>
      </c>
      <c r="T32" s="936">
        <f>ROUND(AVERAGE(T5:T31),-2)</f>
        <v>5000</v>
      </c>
      <c r="U32" s="936">
        <f>ROUND(AVERAGE(U5:U31),-1)</f>
        <v>220</v>
      </c>
      <c r="V32" s="941">
        <f>U32/T32</f>
        <v>4.3999999999999997E-2</v>
      </c>
    </row>
    <row r="38" spans="3:29" x14ac:dyDescent="0.2">
      <c r="C38" s="929" t="s">
        <v>646</v>
      </c>
      <c r="W38" s="933" t="s">
        <v>636</v>
      </c>
    </row>
    <row r="40" spans="3:29" x14ac:dyDescent="0.2">
      <c r="D40" s="990" t="s">
        <v>249</v>
      </c>
      <c r="E40" s="990"/>
      <c r="F40" s="990"/>
      <c r="H40" s="990" t="s">
        <v>637</v>
      </c>
      <c r="I40" s="990"/>
      <c r="J40" s="990"/>
      <c r="L40" s="991" t="s">
        <v>638</v>
      </c>
      <c r="M40" s="992"/>
      <c r="N40" s="993"/>
      <c r="P40" s="990" t="s">
        <v>639</v>
      </c>
      <c r="Q40" s="990"/>
      <c r="R40" s="990"/>
      <c r="T40" s="991" t="s">
        <v>640</v>
      </c>
      <c r="U40" s="993"/>
      <c r="W40" s="928" t="s">
        <v>641</v>
      </c>
      <c r="AA40" s="928" t="s">
        <v>642</v>
      </c>
    </row>
    <row r="41" spans="3:29" x14ac:dyDescent="0.2">
      <c r="C41" s="935" t="s">
        <v>36</v>
      </c>
      <c r="D41" s="961" t="s">
        <v>496</v>
      </c>
      <c r="E41" s="931" t="s">
        <v>660</v>
      </c>
      <c r="F41" s="962" t="s">
        <v>284</v>
      </c>
      <c r="H41" s="936" t="s">
        <v>496</v>
      </c>
      <c r="I41" s="931" t="s">
        <v>660</v>
      </c>
      <c r="J41" s="937" t="s">
        <v>284</v>
      </c>
      <c r="L41" s="936" t="s">
        <v>496</v>
      </c>
      <c r="M41" s="931" t="s">
        <v>660</v>
      </c>
      <c r="N41" s="937" t="s">
        <v>284</v>
      </c>
      <c r="P41" s="936" t="s">
        <v>496</v>
      </c>
      <c r="Q41" s="931" t="s">
        <v>660</v>
      </c>
      <c r="R41" s="937" t="s">
        <v>284</v>
      </c>
      <c r="T41" s="938" t="s">
        <v>496</v>
      </c>
      <c r="U41" s="931" t="s">
        <v>660</v>
      </c>
      <c r="W41" s="937" t="s">
        <v>643</v>
      </c>
      <c r="X41" s="937" t="s">
        <v>644</v>
      </c>
      <c r="Y41" s="937" t="s">
        <v>606</v>
      </c>
      <c r="AA41" s="937" t="s">
        <v>643</v>
      </c>
      <c r="AB41" s="937" t="s">
        <v>644</v>
      </c>
      <c r="AC41" s="937" t="s">
        <v>606</v>
      </c>
    </row>
    <row r="42" spans="3:29" x14ac:dyDescent="0.2">
      <c r="C42" s="935">
        <v>2000</v>
      </c>
      <c r="D42" s="940">
        <v>241</v>
      </c>
      <c r="E42" s="940">
        <v>182</v>
      </c>
      <c r="F42" s="941">
        <f>E42/D42</f>
        <v>0.75518672199170123</v>
      </c>
      <c r="G42" s="942"/>
      <c r="H42" s="940">
        <v>568</v>
      </c>
      <c r="I42" s="940"/>
      <c r="J42" s="943"/>
      <c r="K42" s="942"/>
      <c r="L42" s="940">
        <v>322</v>
      </c>
      <c r="M42" s="940"/>
      <c r="N42" s="943"/>
      <c r="O42" s="942"/>
      <c r="P42" s="940">
        <v>240</v>
      </c>
      <c r="Q42" s="940"/>
      <c r="R42" s="943"/>
      <c r="S42" s="942"/>
      <c r="T42" s="944">
        <f t="shared" ref="T42:U62" si="6">SUM(P42,L42,H42,D42)</f>
        <v>1371</v>
      </c>
      <c r="U42" s="945">
        <f t="shared" si="6"/>
        <v>182</v>
      </c>
      <c r="W42" s="938">
        <v>182</v>
      </c>
      <c r="X42" s="937"/>
      <c r="Y42" s="937"/>
      <c r="AA42" s="946"/>
      <c r="AB42" s="946"/>
      <c r="AC42" s="946"/>
    </row>
    <row r="43" spans="3:29" x14ac:dyDescent="0.2">
      <c r="C43" s="935">
        <f>C42+1</f>
        <v>2001</v>
      </c>
      <c r="D43" s="940">
        <v>442</v>
      </c>
      <c r="E43" s="940">
        <v>308</v>
      </c>
      <c r="F43" s="941">
        <f t="shared" ref="F43:F53" si="7">E43/D43</f>
        <v>0.69683257918552033</v>
      </c>
      <c r="G43" s="942"/>
      <c r="H43" s="940">
        <v>1032</v>
      </c>
      <c r="I43" s="940"/>
      <c r="J43" s="943"/>
      <c r="K43" s="942"/>
      <c r="L43" s="940">
        <v>288</v>
      </c>
      <c r="M43" s="940"/>
      <c r="N43" s="943"/>
      <c r="O43" s="942"/>
      <c r="P43" s="940">
        <v>876</v>
      </c>
      <c r="Q43" s="940"/>
      <c r="R43" s="943"/>
      <c r="S43" s="942"/>
      <c r="T43" s="944">
        <f t="shared" si="6"/>
        <v>2638</v>
      </c>
      <c r="U43" s="945">
        <f t="shared" si="6"/>
        <v>308</v>
      </c>
      <c r="W43" s="937">
        <v>308</v>
      </c>
      <c r="X43" s="937"/>
      <c r="Y43" s="937"/>
      <c r="AA43" s="946"/>
      <c r="AB43" s="946"/>
      <c r="AC43" s="946"/>
    </row>
    <row r="44" spans="3:29" x14ac:dyDescent="0.2">
      <c r="C44" s="935">
        <f t="shared" ref="C44:C61" si="8">C43+1</f>
        <v>2002</v>
      </c>
      <c r="D44" s="940">
        <v>181.94521233974359</v>
      </c>
      <c r="E44" s="940">
        <v>26</v>
      </c>
      <c r="F44" s="941">
        <f t="shared" si="7"/>
        <v>0.14290016024961727</v>
      </c>
      <c r="G44" s="942"/>
      <c r="H44" s="940">
        <v>317</v>
      </c>
      <c r="I44" s="940"/>
      <c r="J44" s="943"/>
      <c r="K44" s="942"/>
      <c r="L44" s="940">
        <v>940</v>
      </c>
      <c r="M44" s="940"/>
      <c r="N44" s="943"/>
      <c r="O44" s="942"/>
      <c r="P44" s="940">
        <v>776</v>
      </c>
      <c r="Q44" s="940"/>
      <c r="R44" s="943"/>
      <c r="S44" s="942"/>
      <c r="T44" s="944">
        <f t="shared" si="6"/>
        <v>2214.9452123397436</v>
      </c>
      <c r="U44" s="945">
        <f t="shared" si="6"/>
        <v>26</v>
      </c>
      <c r="W44" s="937">
        <v>26</v>
      </c>
      <c r="X44" s="937"/>
      <c r="Y44" s="937"/>
      <c r="AA44" s="946"/>
      <c r="AB44" s="946"/>
      <c r="AC44" s="946"/>
    </row>
    <row r="45" spans="3:29" x14ac:dyDescent="0.2">
      <c r="C45" s="935">
        <f t="shared" si="8"/>
        <v>2003</v>
      </c>
      <c r="D45" s="940">
        <v>190</v>
      </c>
      <c r="E45" s="940">
        <v>31</v>
      </c>
      <c r="F45" s="941">
        <f t="shared" si="7"/>
        <v>0.16315789473684211</v>
      </c>
      <c r="G45" s="942"/>
      <c r="H45" s="940">
        <v>469</v>
      </c>
      <c r="I45" s="940"/>
      <c r="J45" s="943"/>
      <c r="K45" s="942"/>
      <c r="L45" s="940">
        <v>179</v>
      </c>
      <c r="M45" s="940"/>
      <c r="N45" s="943"/>
      <c r="O45" s="942"/>
      <c r="P45" s="940">
        <v>372</v>
      </c>
      <c r="Q45" s="940"/>
      <c r="R45" s="943"/>
      <c r="S45" s="942"/>
      <c r="T45" s="944">
        <f t="shared" si="6"/>
        <v>1210</v>
      </c>
      <c r="U45" s="945">
        <f t="shared" si="6"/>
        <v>31</v>
      </c>
      <c r="W45" s="937">
        <v>31</v>
      </c>
      <c r="X45" s="937"/>
      <c r="Y45" s="937"/>
      <c r="AA45" s="946"/>
      <c r="AB45" s="946"/>
      <c r="AC45" s="946"/>
    </row>
    <row r="46" spans="3:29" x14ac:dyDescent="0.2">
      <c r="C46" s="935">
        <f t="shared" si="8"/>
        <v>2004</v>
      </c>
      <c r="D46" s="940">
        <v>295</v>
      </c>
      <c r="E46" s="940">
        <v>19</v>
      </c>
      <c r="F46" s="941">
        <f t="shared" si="7"/>
        <v>6.4406779661016947E-2</v>
      </c>
      <c r="G46" s="942"/>
      <c r="H46" s="940">
        <v>1186</v>
      </c>
      <c r="I46" s="940"/>
      <c r="J46" s="943"/>
      <c r="K46" s="942"/>
      <c r="L46" s="940">
        <v>527</v>
      </c>
      <c r="M46" s="940"/>
      <c r="N46" s="943"/>
      <c r="O46" s="942"/>
      <c r="P46" s="940">
        <v>1158</v>
      </c>
      <c r="Q46" s="940"/>
      <c r="R46" s="943"/>
      <c r="S46" s="942"/>
      <c r="T46" s="944">
        <f t="shared" si="6"/>
        <v>3166</v>
      </c>
      <c r="U46" s="945">
        <f t="shared" si="6"/>
        <v>19</v>
      </c>
      <c r="W46" s="938">
        <v>19</v>
      </c>
      <c r="X46" s="937"/>
      <c r="Y46" s="937"/>
      <c r="AA46" s="946"/>
      <c r="AB46" s="946"/>
      <c r="AC46" s="946"/>
    </row>
    <row r="47" spans="3:29" x14ac:dyDescent="0.2">
      <c r="C47" s="935">
        <f t="shared" si="8"/>
        <v>2005</v>
      </c>
      <c r="D47" s="940">
        <v>55</v>
      </c>
      <c r="E47" s="940"/>
      <c r="F47" s="941">
        <f t="shared" si="7"/>
        <v>0</v>
      </c>
      <c r="G47" s="942"/>
      <c r="H47" s="940">
        <v>829</v>
      </c>
      <c r="I47" s="940"/>
      <c r="J47" s="943"/>
      <c r="K47" s="942"/>
      <c r="L47" s="940">
        <v>462</v>
      </c>
      <c r="M47" s="940"/>
      <c r="N47" s="943"/>
      <c r="O47" s="942"/>
      <c r="P47" s="940">
        <v>270</v>
      </c>
      <c r="Q47" s="940"/>
      <c r="R47" s="943"/>
      <c r="S47" s="942"/>
      <c r="T47" s="944">
        <f t="shared" si="6"/>
        <v>1616</v>
      </c>
      <c r="U47" s="945">
        <f t="shared" si="6"/>
        <v>0</v>
      </c>
      <c r="W47" s="938"/>
      <c r="X47" s="937"/>
      <c r="Y47" s="937"/>
      <c r="AA47" s="946"/>
      <c r="AB47" s="946"/>
      <c r="AC47" s="946"/>
    </row>
    <row r="48" spans="3:29" x14ac:dyDescent="0.2">
      <c r="C48" s="935">
        <f t="shared" si="8"/>
        <v>2006</v>
      </c>
      <c r="D48" s="940">
        <v>94</v>
      </c>
      <c r="E48" s="940"/>
      <c r="F48" s="941">
        <f t="shared" si="7"/>
        <v>0</v>
      </c>
      <c r="G48" s="942"/>
      <c r="H48" s="940">
        <v>756</v>
      </c>
      <c r="I48" s="940"/>
      <c r="J48" s="943"/>
      <c r="K48" s="942"/>
      <c r="L48" s="940">
        <v>992</v>
      </c>
      <c r="M48" s="940"/>
      <c r="N48" s="943"/>
      <c r="O48" s="942"/>
      <c r="P48" s="940">
        <v>762</v>
      </c>
      <c r="Q48" s="940"/>
      <c r="R48" s="943"/>
      <c r="S48" s="942"/>
      <c r="T48" s="944">
        <f t="shared" si="6"/>
        <v>2604</v>
      </c>
      <c r="U48" s="945">
        <f t="shared" si="6"/>
        <v>0</v>
      </c>
      <c r="W48" s="938"/>
      <c r="X48" s="937"/>
      <c r="Y48" s="937"/>
      <c r="AA48" s="946"/>
      <c r="AB48" s="946"/>
      <c r="AC48" s="946"/>
    </row>
    <row r="49" spans="3:29" x14ac:dyDescent="0.2">
      <c r="C49" s="935">
        <f t="shared" si="8"/>
        <v>2007</v>
      </c>
      <c r="D49" s="948">
        <v>161</v>
      </c>
      <c r="E49" s="948">
        <v>32</v>
      </c>
      <c r="F49" s="949">
        <f t="shared" si="7"/>
        <v>0.19875776397515527</v>
      </c>
      <c r="G49" s="942"/>
      <c r="H49" s="940">
        <v>893</v>
      </c>
      <c r="I49" s="940"/>
      <c r="J49" s="943"/>
      <c r="K49" s="942"/>
      <c r="L49" s="940">
        <v>1218</v>
      </c>
      <c r="M49" s="940"/>
      <c r="N49" s="943"/>
      <c r="O49" s="942"/>
      <c r="P49" s="940">
        <v>831</v>
      </c>
      <c r="Q49" s="940"/>
      <c r="R49" s="943"/>
      <c r="S49" s="942"/>
      <c r="T49" s="944">
        <f t="shared" si="6"/>
        <v>3103</v>
      </c>
      <c r="U49" s="945">
        <f t="shared" si="6"/>
        <v>32</v>
      </c>
      <c r="W49" s="938">
        <v>32</v>
      </c>
      <c r="X49" s="937"/>
      <c r="Y49" s="937"/>
      <c r="AA49" s="946"/>
      <c r="AB49" s="946"/>
      <c r="AC49" s="946"/>
    </row>
    <row r="50" spans="3:29" x14ac:dyDescent="0.2">
      <c r="C50" s="935">
        <f t="shared" si="8"/>
        <v>2008</v>
      </c>
      <c r="D50" s="948">
        <v>607</v>
      </c>
      <c r="E50" s="948">
        <v>37</v>
      </c>
      <c r="F50" s="949">
        <f t="shared" si="7"/>
        <v>6.0955518945634266E-2</v>
      </c>
      <c r="G50" s="942"/>
      <c r="H50" s="940">
        <v>513</v>
      </c>
      <c r="I50" s="940"/>
      <c r="J50" s="943"/>
      <c r="K50" s="942"/>
      <c r="L50" s="940">
        <v>789</v>
      </c>
      <c r="M50" s="940"/>
      <c r="N50" s="943"/>
      <c r="O50" s="942"/>
      <c r="P50" s="940">
        <v>671</v>
      </c>
      <c r="Q50" s="940"/>
      <c r="R50" s="943"/>
      <c r="S50" s="942"/>
      <c r="T50" s="944">
        <f t="shared" si="6"/>
        <v>2580</v>
      </c>
      <c r="U50" s="945">
        <f t="shared" si="6"/>
        <v>37</v>
      </c>
      <c r="W50" s="938">
        <v>37</v>
      </c>
      <c r="X50" s="937"/>
      <c r="Y50" s="937"/>
      <c r="AA50" s="946"/>
      <c r="AB50" s="946"/>
      <c r="AC50" s="946"/>
    </row>
    <row r="51" spans="3:29" x14ac:dyDescent="0.2">
      <c r="C51" s="935">
        <f t="shared" si="8"/>
        <v>2009</v>
      </c>
      <c r="D51" s="948">
        <v>801</v>
      </c>
      <c r="E51" s="948">
        <v>17</v>
      </c>
      <c r="F51" s="949">
        <f t="shared" si="7"/>
        <v>2.1223470661672909E-2</v>
      </c>
      <c r="G51" s="942"/>
      <c r="H51" s="940">
        <v>444</v>
      </c>
      <c r="I51" s="940"/>
      <c r="J51" s="943"/>
      <c r="K51" s="942"/>
      <c r="L51" s="940">
        <v>1071</v>
      </c>
      <c r="M51" s="940"/>
      <c r="N51" s="943"/>
      <c r="O51" s="942"/>
      <c r="P51" s="940">
        <v>1071</v>
      </c>
      <c r="Q51" s="940"/>
      <c r="R51" s="943"/>
      <c r="S51" s="942"/>
      <c r="T51" s="944">
        <f t="shared" si="6"/>
        <v>3387</v>
      </c>
      <c r="U51" s="945">
        <f t="shared" si="6"/>
        <v>17</v>
      </c>
      <c r="W51" s="938">
        <v>17</v>
      </c>
      <c r="X51" s="937"/>
      <c r="Y51" s="937"/>
      <c r="AA51" s="946"/>
      <c r="AB51" s="946"/>
      <c r="AC51" s="946"/>
    </row>
    <row r="52" spans="3:29" x14ac:dyDescent="0.2">
      <c r="C52" s="935">
        <f t="shared" si="8"/>
        <v>2010</v>
      </c>
      <c r="D52" s="948">
        <v>407</v>
      </c>
      <c r="E52" s="948">
        <v>90</v>
      </c>
      <c r="F52" s="949">
        <f t="shared" si="7"/>
        <v>0.22113022113022113</v>
      </c>
      <c r="G52" s="942"/>
      <c r="H52" s="940">
        <v>674</v>
      </c>
      <c r="I52" s="940"/>
      <c r="J52" s="943"/>
      <c r="K52" s="942"/>
      <c r="L52" s="940">
        <v>773</v>
      </c>
      <c r="M52" s="940">
        <v>21.5</v>
      </c>
      <c r="N52" s="941">
        <f>M52/L52</f>
        <v>2.7813712807244501E-2</v>
      </c>
      <c r="O52" s="942"/>
      <c r="P52" s="940">
        <v>476</v>
      </c>
      <c r="Q52" s="940">
        <v>21.5</v>
      </c>
      <c r="R52" s="941">
        <f>Q52/P52</f>
        <v>4.5168067226890755E-2</v>
      </c>
      <c r="S52" s="942"/>
      <c r="T52" s="944">
        <f t="shared" si="6"/>
        <v>2330</v>
      </c>
      <c r="U52" s="945">
        <f t="shared" si="6"/>
        <v>133</v>
      </c>
      <c r="W52" s="938">
        <v>90</v>
      </c>
      <c r="X52" s="937"/>
      <c r="Y52" s="938">
        <v>43</v>
      </c>
      <c r="AA52" s="946"/>
      <c r="AB52" s="946"/>
      <c r="AC52" s="946"/>
    </row>
    <row r="53" spans="3:29" x14ac:dyDescent="0.2">
      <c r="C53" s="935">
        <f t="shared" si="8"/>
        <v>2011</v>
      </c>
      <c r="D53" s="948">
        <v>701</v>
      </c>
      <c r="E53" s="948">
        <v>540</v>
      </c>
      <c r="F53" s="949">
        <f t="shared" si="7"/>
        <v>0.77032810271041374</v>
      </c>
      <c r="G53" s="942"/>
      <c r="H53" s="940">
        <v>180</v>
      </c>
      <c r="I53" s="940"/>
      <c r="J53" s="941"/>
      <c r="K53" s="942"/>
      <c r="L53" s="940">
        <v>322</v>
      </c>
      <c r="M53" s="940">
        <v>59.5</v>
      </c>
      <c r="N53" s="941">
        <f>M53/L53</f>
        <v>0.18478260869565216</v>
      </c>
      <c r="O53" s="942"/>
      <c r="P53" s="940">
        <v>298</v>
      </c>
      <c r="Q53" s="940">
        <v>59.5</v>
      </c>
      <c r="R53" s="941">
        <f>Q53/P53</f>
        <v>0.19966442953020133</v>
      </c>
      <c r="S53" s="942"/>
      <c r="T53" s="944">
        <f t="shared" si="6"/>
        <v>1501</v>
      </c>
      <c r="U53" s="945">
        <f t="shared" si="6"/>
        <v>659</v>
      </c>
      <c r="W53" s="938">
        <v>540</v>
      </c>
      <c r="X53" s="937"/>
      <c r="Y53" s="938">
        <v>119</v>
      </c>
      <c r="AA53" s="946">
        <v>689</v>
      </c>
      <c r="AB53" s="946"/>
      <c r="AC53" s="946"/>
    </row>
    <row r="54" spans="3:29" x14ac:dyDescent="0.2">
      <c r="C54" s="935">
        <f t="shared" si="8"/>
        <v>2012</v>
      </c>
      <c r="D54" s="940">
        <v>616</v>
      </c>
      <c r="E54" s="950">
        <v>157</v>
      </c>
      <c r="F54" s="956">
        <f>AVERAGE(F$49:F$53)</f>
        <v>0.25447901548461943</v>
      </c>
      <c r="G54" s="942"/>
      <c r="H54" s="940">
        <v>254</v>
      </c>
      <c r="I54" s="950">
        <v>65</v>
      </c>
      <c r="J54" s="951">
        <f t="shared" ref="J54:J62" si="9">$F54</f>
        <v>0.25447901548461943</v>
      </c>
      <c r="K54" s="942"/>
      <c r="L54" s="940">
        <v>869</v>
      </c>
      <c r="M54" s="950">
        <v>221</v>
      </c>
      <c r="N54" s="951">
        <f t="shared" ref="N54:N62" si="10">$F54</f>
        <v>0.25447901548461943</v>
      </c>
      <c r="O54" s="942"/>
      <c r="P54" s="940">
        <v>731</v>
      </c>
      <c r="Q54" s="950">
        <v>186</v>
      </c>
      <c r="R54" s="951">
        <f t="shared" ref="R54:R62" si="11">$F54</f>
        <v>0.25447901548461943</v>
      </c>
      <c r="S54" s="942"/>
      <c r="T54" s="944">
        <f t="shared" si="6"/>
        <v>2470</v>
      </c>
      <c r="U54" s="945">
        <f t="shared" si="6"/>
        <v>629</v>
      </c>
      <c r="W54" s="938"/>
      <c r="X54" s="937"/>
      <c r="Y54" s="938"/>
      <c r="AA54" s="946"/>
      <c r="AB54" s="946"/>
      <c r="AC54" s="946"/>
    </row>
    <row r="55" spans="3:29" x14ac:dyDescent="0.2">
      <c r="C55" s="935">
        <f t="shared" si="8"/>
        <v>2013</v>
      </c>
      <c r="D55" s="940">
        <v>479</v>
      </c>
      <c r="E55" s="950">
        <v>122</v>
      </c>
      <c r="F55" s="956">
        <f t="shared" ref="F55:F67" si="12">AVERAGE(F$49:F$53)</f>
        <v>0.25447901548461943</v>
      </c>
      <c r="G55" s="942"/>
      <c r="H55" s="940">
        <v>310</v>
      </c>
      <c r="I55" s="950">
        <v>79</v>
      </c>
      <c r="J55" s="951">
        <f t="shared" si="9"/>
        <v>0.25447901548461943</v>
      </c>
      <c r="K55" s="942"/>
      <c r="L55" s="940">
        <v>1083</v>
      </c>
      <c r="M55" s="950">
        <v>276</v>
      </c>
      <c r="N55" s="951">
        <f t="shared" si="10"/>
        <v>0.25447901548461943</v>
      </c>
      <c r="O55" s="942"/>
      <c r="P55" s="940">
        <v>1423</v>
      </c>
      <c r="Q55" s="950">
        <v>362</v>
      </c>
      <c r="R55" s="951">
        <f t="shared" si="11"/>
        <v>0.25447901548461943</v>
      </c>
      <c r="S55" s="942"/>
      <c r="T55" s="944">
        <f t="shared" si="6"/>
        <v>3295</v>
      </c>
      <c r="U55" s="945">
        <f t="shared" si="6"/>
        <v>839</v>
      </c>
      <c r="W55" s="938"/>
      <c r="X55" s="937"/>
      <c r="Y55" s="938"/>
      <c r="AA55" s="946"/>
      <c r="AB55" s="946"/>
      <c r="AC55" s="946"/>
    </row>
    <row r="56" spans="3:29" x14ac:dyDescent="0.2">
      <c r="C56" s="935">
        <f t="shared" si="8"/>
        <v>2014</v>
      </c>
      <c r="D56" s="940">
        <v>594</v>
      </c>
      <c r="E56" s="950">
        <v>151</v>
      </c>
      <c r="F56" s="956">
        <f t="shared" si="12"/>
        <v>0.25447901548461943</v>
      </c>
      <c r="G56" s="942"/>
      <c r="H56" s="940">
        <v>868</v>
      </c>
      <c r="I56" s="950">
        <v>221</v>
      </c>
      <c r="J56" s="951">
        <f t="shared" si="9"/>
        <v>0.25447901548461943</v>
      </c>
      <c r="K56" s="942"/>
      <c r="L56" s="940">
        <v>288</v>
      </c>
      <c r="M56" s="950">
        <v>73</v>
      </c>
      <c r="N56" s="951">
        <f t="shared" si="10"/>
        <v>0.25447901548461943</v>
      </c>
      <c r="O56" s="942"/>
      <c r="P56" s="940">
        <v>474</v>
      </c>
      <c r="Q56" s="950">
        <v>121</v>
      </c>
      <c r="R56" s="951">
        <f t="shared" si="11"/>
        <v>0.25447901548461943</v>
      </c>
      <c r="S56" s="942"/>
      <c r="T56" s="944">
        <f t="shared" si="6"/>
        <v>2224</v>
      </c>
      <c r="U56" s="945">
        <f t="shared" si="6"/>
        <v>566</v>
      </c>
      <c r="W56" s="938"/>
      <c r="X56" s="937"/>
      <c r="Y56" s="938"/>
      <c r="AA56" s="946"/>
      <c r="AB56" s="946"/>
      <c r="AC56" s="946"/>
    </row>
    <row r="57" spans="3:29" x14ac:dyDescent="0.2">
      <c r="C57" s="935">
        <f t="shared" si="8"/>
        <v>2015</v>
      </c>
      <c r="D57" s="940">
        <v>745</v>
      </c>
      <c r="E57" s="950">
        <v>190</v>
      </c>
      <c r="F57" s="956">
        <f t="shared" si="12"/>
        <v>0.25447901548461943</v>
      </c>
      <c r="G57" s="942"/>
      <c r="H57" s="940">
        <v>126</v>
      </c>
      <c r="I57" s="950">
        <v>32</v>
      </c>
      <c r="J57" s="951">
        <f t="shared" si="9"/>
        <v>0.25447901548461943</v>
      </c>
      <c r="K57" s="942"/>
      <c r="L57" s="940">
        <v>455</v>
      </c>
      <c r="M57" s="950">
        <v>116</v>
      </c>
      <c r="N57" s="951">
        <f t="shared" si="10"/>
        <v>0.25447901548461943</v>
      </c>
      <c r="O57" s="942"/>
      <c r="P57" s="940">
        <v>366</v>
      </c>
      <c r="Q57" s="950">
        <v>93</v>
      </c>
      <c r="R57" s="951">
        <f t="shared" si="11"/>
        <v>0.25447901548461943</v>
      </c>
      <c r="S57" s="942"/>
      <c r="T57" s="944">
        <f t="shared" si="6"/>
        <v>1692</v>
      </c>
      <c r="U57" s="945">
        <f t="shared" si="6"/>
        <v>431</v>
      </c>
      <c r="W57" s="938"/>
      <c r="X57" s="937"/>
      <c r="Y57" s="938"/>
      <c r="AA57" s="946"/>
      <c r="AB57" s="946"/>
      <c r="AC57" s="946"/>
    </row>
    <row r="58" spans="3:29" x14ac:dyDescent="0.2">
      <c r="C58" s="935">
        <f t="shared" si="8"/>
        <v>2016</v>
      </c>
      <c r="D58" s="940">
        <v>643</v>
      </c>
      <c r="E58" s="950">
        <v>164</v>
      </c>
      <c r="F58" s="956">
        <f t="shared" si="12"/>
        <v>0.25447901548461943</v>
      </c>
      <c r="G58" s="942"/>
      <c r="H58" s="940">
        <v>389</v>
      </c>
      <c r="I58" s="950">
        <v>99</v>
      </c>
      <c r="J58" s="951">
        <f t="shared" si="9"/>
        <v>0.25447901548461943</v>
      </c>
      <c r="K58" s="942"/>
      <c r="L58" s="940">
        <v>345</v>
      </c>
      <c r="M58" s="950">
        <v>88</v>
      </c>
      <c r="N58" s="951">
        <f t="shared" si="10"/>
        <v>0.25447901548461943</v>
      </c>
      <c r="O58" s="942"/>
      <c r="P58" s="940">
        <v>715</v>
      </c>
      <c r="Q58" s="950">
        <v>182</v>
      </c>
      <c r="R58" s="951">
        <f t="shared" si="11"/>
        <v>0.25447901548461943</v>
      </c>
      <c r="S58" s="942"/>
      <c r="T58" s="944">
        <f t="shared" si="6"/>
        <v>2092</v>
      </c>
      <c r="U58" s="945">
        <f t="shared" si="6"/>
        <v>533</v>
      </c>
      <c r="W58" s="938"/>
      <c r="X58" s="937"/>
      <c r="Y58" s="938"/>
      <c r="AA58" s="946"/>
      <c r="AB58" s="946"/>
      <c r="AC58" s="946"/>
    </row>
    <row r="59" spans="3:29" x14ac:dyDescent="0.2">
      <c r="C59" s="935">
        <f t="shared" si="8"/>
        <v>2017</v>
      </c>
      <c r="D59" s="940">
        <v>1665</v>
      </c>
      <c r="E59" s="950">
        <v>424</v>
      </c>
      <c r="F59" s="956">
        <f t="shared" si="12"/>
        <v>0.25447901548461943</v>
      </c>
      <c r="G59" s="942"/>
      <c r="H59" s="940">
        <v>137</v>
      </c>
      <c r="I59" s="950">
        <v>35</v>
      </c>
      <c r="J59" s="951">
        <f t="shared" si="9"/>
        <v>0.25447901548461943</v>
      </c>
      <c r="K59" s="942"/>
      <c r="L59" s="940">
        <v>123</v>
      </c>
      <c r="M59" s="950">
        <v>31</v>
      </c>
      <c r="N59" s="951">
        <f t="shared" si="10"/>
        <v>0.25447901548461943</v>
      </c>
      <c r="O59" s="942"/>
      <c r="P59" s="940">
        <v>1166</v>
      </c>
      <c r="Q59" s="950">
        <v>297</v>
      </c>
      <c r="R59" s="951">
        <f t="shared" si="11"/>
        <v>0.25447901548461943</v>
      </c>
      <c r="S59" s="942"/>
      <c r="T59" s="944">
        <f t="shared" si="6"/>
        <v>3091</v>
      </c>
      <c r="U59" s="945">
        <f t="shared" si="6"/>
        <v>787</v>
      </c>
      <c r="W59" s="938"/>
      <c r="X59" s="937"/>
      <c r="Y59" s="938"/>
      <c r="AA59" s="946"/>
      <c r="AB59" s="946"/>
      <c r="AC59" s="946"/>
    </row>
    <row r="60" spans="3:29" x14ac:dyDescent="0.2">
      <c r="C60" s="935">
        <f t="shared" si="8"/>
        <v>2018</v>
      </c>
      <c r="D60" s="940">
        <v>905</v>
      </c>
      <c r="E60" s="950">
        <v>230</v>
      </c>
      <c r="F60" s="956">
        <f t="shared" si="12"/>
        <v>0.25447901548461943</v>
      </c>
      <c r="G60" s="942"/>
      <c r="H60" s="940">
        <v>373</v>
      </c>
      <c r="I60" s="950">
        <v>95</v>
      </c>
      <c r="J60" s="951">
        <f t="shared" si="9"/>
        <v>0.25447901548461943</v>
      </c>
      <c r="K60" s="942"/>
      <c r="L60" s="940">
        <v>688</v>
      </c>
      <c r="M60" s="950">
        <v>175</v>
      </c>
      <c r="N60" s="951">
        <f t="shared" si="10"/>
        <v>0.25447901548461943</v>
      </c>
      <c r="O60" s="942"/>
      <c r="P60" s="940">
        <v>716</v>
      </c>
      <c r="Q60" s="950">
        <v>182</v>
      </c>
      <c r="R60" s="951">
        <f t="shared" si="11"/>
        <v>0.25447901548461943</v>
      </c>
      <c r="S60" s="942"/>
      <c r="T60" s="944">
        <f t="shared" si="6"/>
        <v>2682</v>
      </c>
      <c r="U60" s="945">
        <f t="shared" si="6"/>
        <v>682</v>
      </c>
      <c r="W60" s="938"/>
      <c r="X60" s="937"/>
      <c r="Y60" s="937"/>
      <c r="AA60" s="946"/>
      <c r="AB60" s="946"/>
      <c r="AC60" s="946"/>
    </row>
    <row r="61" spans="3:29" x14ac:dyDescent="0.2">
      <c r="C61" s="935">
        <f t="shared" si="8"/>
        <v>2019</v>
      </c>
      <c r="D61" s="940">
        <v>435.79284872654756</v>
      </c>
      <c r="E61" s="950">
        <v>111</v>
      </c>
      <c r="F61" s="956">
        <f t="shared" si="12"/>
        <v>0.25447901548461943</v>
      </c>
      <c r="G61" s="942"/>
      <c r="H61" s="940">
        <v>687.42509079696117</v>
      </c>
      <c r="I61" s="950">
        <v>175</v>
      </c>
      <c r="J61" s="951">
        <f t="shared" si="9"/>
        <v>0.25447901548461943</v>
      </c>
      <c r="K61" s="942"/>
      <c r="L61" s="940">
        <v>291</v>
      </c>
      <c r="M61" s="950">
        <v>74</v>
      </c>
      <c r="N61" s="951">
        <f t="shared" si="10"/>
        <v>0.25447901548461943</v>
      </c>
      <c r="O61" s="942"/>
      <c r="P61" s="940">
        <v>855</v>
      </c>
      <c r="Q61" s="950">
        <v>218</v>
      </c>
      <c r="R61" s="951">
        <f t="shared" si="11"/>
        <v>0.25447901548461943</v>
      </c>
      <c r="S61" s="942"/>
      <c r="T61" s="944">
        <f t="shared" si="6"/>
        <v>2269.2179395235089</v>
      </c>
      <c r="U61" s="945">
        <f t="shared" si="6"/>
        <v>578</v>
      </c>
      <c r="W61" s="937"/>
      <c r="X61" s="937"/>
      <c r="Y61" s="937"/>
      <c r="AA61" s="946"/>
      <c r="AB61" s="946"/>
      <c r="AC61" s="946"/>
    </row>
    <row r="62" spans="3:29" x14ac:dyDescent="0.2">
      <c r="C62" s="935">
        <f>C61+1</f>
        <v>2020</v>
      </c>
      <c r="D62" s="940">
        <v>281</v>
      </c>
      <c r="E62" s="950">
        <v>72</v>
      </c>
      <c r="F62" s="956">
        <f t="shared" si="12"/>
        <v>0.25447901548461943</v>
      </c>
      <c r="G62" s="942"/>
      <c r="H62" s="940">
        <v>219</v>
      </c>
      <c r="I62" s="950">
        <v>56</v>
      </c>
      <c r="J62" s="951">
        <f t="shared" si="9"/>
        <v>0.25447901548461943</v>
      </c>
      <c r="K62" s="942"/>
      <c r="L62" s="940">
        <v>79</v>
      </c>
      <c r="M62" s="950">
        <v>20</v>
      </c>
      <c r="N62" s="951">
        <f t="shared" si="10"/>
        <v>0.25447901548461943</v>
      </c>
      <c r="O62" s="942"/>
      <c r="P62" s="940">
        <v>265</v>
      </c>
      <c r="Q62" s="950">
        <v>67</v>
      </c>
      <c r="R62" s="951">
        <f t="shared" si="11"/>
        <v>0.25447901548461943</v>
      </c>
      <c r="S62" s="942"/>
      <c r="T62" s="944">
        <f t="shared" si="6"/>
        <v>844</v>
      </c>
      <c r="U62" s="945">
        <f t="shared" si="6"/>
        <v>215</v>
      </c>
      <c r="W62" s="937"/>
      <c r="X62" s="937"/>
      <c r="Y62" s="937"/>
      <c r="AA62" s="946"/>
      <c r="AB62" s="946"/>
      <c r="AC62" s="946"/>
    </row>
    <row r="63" spans="3:29" x14ac:dyDescent="0.2">
      <c r="C63" s="935">
        <v>2021</v>
      </c>
      <c r="D63" s="940">
        <v>58</v>
      </c>
      <c r="E63" s="950">
        <v>15</v>
      </c>
      <c r="F63" s="956">
        <v>0.25447901548461943</v>
      </c>
      <c r="G63" s="942"/>
      <c r="H63" s="940">
        <v>406</v>
      </c>
      <c r="I63" s="950">
        <v>103</v>
      </c>
      <c r="J63" s="951">
        <v>0.25447901548461943</v>
      </c>
      <c r="K63" s="942"/>
      <c r="L63" s="940">
        <v>300</v>
      </c>
      <c r="M63" s="950">
        <v>76</v>
      </c>
      <c r="N63" s="951">
        <v>0.25447901548461943</v>
      </c>
      <c r="O63" s="942"/>
      <c r="P63" s="940">
        <v>601</v>
      </c>
      <c r="Q63" s="950">
        <v>153</v>
      </c>
      <c r="R63" s="951">
        <v>0.25447901548461943</v>
      </c>
      <c r="S63" s="942"/>
      <c r="T63" s="944">
        <v>1365</v>
      </c>
      <c r="U63" s="945">
        <v>347</v>
      </c>
      <c r="W63" s="937"/>
      <c r="X63" s="937"/>
      <c r="Y63" s="937"/>
      <c r="AA63" s="946"/>
      <c r="AB63" s="946"/>
      <c r="AC63" s="946"/>
    </row>
    <row r="64" spans="3:29" x14ac:dyDescent="0.2">
      <c r="C64" s="935">
        <f>C63+1</f>
        <v>2022</v>
      </c>
      <c r="D64" s="940">
        <v>668</v>
      </c>
      <c r="E64" s="950">
        <v>170</v>
      </c>
      <c r="F64" s="956">
        <v>0.25447901548461943</v>
      </c>
      <c r="G64" s="942"/>
      <c r="H64" s="940">
        <v>185</v>
      </c>
      <c r="I64" s="950">
        <v>47</v>
      </c>
      <c r="J64" s="951">
        <v>0.25447901548461943</v>
      </c>
      <c r="K64" s="942"/>
      <c r="L64" s="940">
        <v>173</v>
      </c>
      <c r="M64" s="950">
        <v>44</v>
      </c>
      <c r="N64" s="951">
        <v>0.25447901548461943</v>
      </c>
      <c r="O64" s="942"/>
      <c r="P64" s="940">
        <v>403</v>
      </c>
      <c r="Q64" s="950">
        <v>103</v>
      </c>
      <c r="R64" s="951">
        <v>0.25447901548461943</v>
      </c>
      <c r="S64" s="942"/>
      <c r="T64" s="944">
        <v>1429</v>
      </c>
      <c r="U64" s="945">
        <v>364</v>
      </c>
      <c r="W64" s="937"/>
      <c r="X64" s="937"/>
      <c r="Y64" s="937"/>
      <c r="AA64" s="946"/>
      <c r="AB64" s="946"/>
      <c r="AC64" s="946"/>
    </row>
    <row r="65" spans="3:29" x14ac:dyDescent="0.2">
      <c r="C65" s="935">
        <v>2023</v>
      </c>
      <c r="D65" s="940">
        <v>234</v>
      </c>
      <c r="E65" s="950">
        <v>60</v>
      </c>
      <c r="F65" s="951">
        <v>0.25447901548461943</v>
      </c>
      <c r="G65" s="942"/>
      <c r="H65" s="940">
        <v>95</v>
      </c>
      <c r="I65" s="950">
        <v>24</v>
      </c>
      <c r="J65" s="951">
        <v>0.25447901548461943</v>
      </c>
      <c r="K65" s="942"/>
      <c r="L65" s="940">
        <v>293</v>
      </c>
      <c r="M65" s="950">
        <v>75</v>
      </c>
      <c r="N65" s="951">
        <v>0.25447901548461943</v>
      </c>
      <c r="O65" s="942"/>
      <c r="P65" s="940">
        <v>427</v>
      </c>
      <c r="Q65" s="950">
        <v>109</v>
      </c>
      <c r="R65" s="951">
        <v>0.25447901548461943</v>
      </c>
      <c r="S65" s="942"/>
      <c r="T65" s="944">
        <v>1049</v>
      </c>
      <c r="U65" s="945">
        <v>268</v>
      </c>
      <c r="W65" s="937"/>
      <c r="X65" s="937"/>
      <c r="Y65" s="937"/>
      <c r="AA65" s="946"/>
      <c r="AB65" s="946"/>
      <c r="AC65" s="946"/>
    </row>
    <row r="66" spans="3:29" x14ac:dyDescent="0.2">
      <c r="C66" s="935">
        <v>2024</v>
      </c>
      <c r="D66" s="940">
        <v>154</v>
      </c>
      <c r="E66" s="950">
        <v>39</v>
      </c>
      <c r="F66" s="951">
        <f t="shared" si="12"/>
        <v>0.25447901548461943</v>
      </c>
      <c r="G66" s="942"/>
      <c r="H66" s="940">
        <v>135</v>
      </c>
      <c r="I66" s="950">
        <v>34</v>
      </c>
      <c r="J66" s="951">
        <f>$F66</f>
        <v>0.25447901548461943</v>
      </c>
      <c r="K66" s="942"/>
      <c r="L66" s="940">
        <v>261</v>
      </c>
      <c r="M66" s="950">
        <v>66</v>
      </c>
      <c r="N66" s="951">
        <f>$F66</f>
        <v>0.25447901548461943</v>
      </c>
      <c r="O66" s="942"/>
      <c r="P66" s="940">
        <v>0</v>
      </c>
      <c r="Q66" s="950">
        <v>0</v>
      </c>
      <c r="R66" s="951">
        <f>$F66</f>
        <v>0.25447901548461943</v>
      </c>
      <c r="S66" s="942"/>
      <c r="T66" s="944">
        <f>SUM(P66,L66,H66,D66)</f>
        <v>550</v>
      </c>
      <c r="U66" s="945">
        <f>SUM(Q66,M66,I66,E66)</f>
        <v>139</v>
      </c>
      <c r="W66" s="937"/>
      <c r="X66" s="937"/>
      <c r="Y66" s="937"/>
      <c r="AA66" s="946"/>
      <c r="AB66" s="946"/>
      <c r="AC66" s="946"/>
    </row>
    <row r="67" spans="3:29" x14ac:dyDescent="0.2">
      <c r="C67" s="935">
        <v>2025</v>
      </c>
      <c r="D67" s="948">
        <f>[2]CO!AN23-'[2]Catch Estimates25'!U93</f>
        <v>141.12372129141352</v>
      </c>
      <c r="E67" s="954">
        <f>ROUND(F67*D67,0)</f>
        <v>36</v>
      </c>
      <c r="F67" s="951">
        <f t="shared" si="12"/>
        <v>0.25447901548461943</v>
      </c>
      <c r="G67" s="942"/>
      <c r="H67" s="948">
        <f>[2]CO!AO23-'[2]Catch Estimates25'!P93</f>
        <v>310.72695401275064</v>
      </c>
      <c r="I67" s="954">
        <f>ROUND(J67*H67,0)</f>
        <v>79</v>
      </c>
      <c r="J67" s="951">
        <f>$F67</f>
        <v>0.25447901548461943</v>
      </c>
      <c r="K67" s="942"/>
      <c r="L67" s="948">
        <f>[2]CO!AP23-'[2]Catch Estimates25'!K93</f>
        <v>395.38095238095275</v>
      </c>
      <c r="M67" s="954">
        <f>ROUND(N67*L67,0)</f>
        <v>101</v>
      </c>
      <c r="N67" s="951">
        <f>$F67</f>
        <v>0.25447901548461943</v>
      </c>
      <c r="O67" s="942"/>
      <c r="P67" s="948">
        <f>[2]CO!AQ23-'[2]Catch Estimates25'!F93</f>
        <v>370.97619047619082</v>
      </c>
      <c r="Q67" s="954">
        <f>ROUND(R67*P67,0)</f>
        <v>94</v>
      </c>
      <c r="R67" s="951">
        <f>$F67</f>
        <v>0.25447901548461943</v>
      </c>
      <c r="S67" s="942"/>
      <c r="T67" s="948">
        <f>SUM(P67,L67,H67,D67)</f>
        <v>1218.2078181613078</v>
      </c>
      <c r="U67" s="957">
        <f>SUM(Q67,M67,I67,E67)</f>
        <v>310</v>
      </c>
      <c r="W67" s="937"/>
      <c r="X67" s="937"/>
      <c r="Y67" s="937"/>
      <c r="AA67" s="946"/>
      <c r="AB67" s="946"/>
      <c r="AC67" s="946"/>
    </row>
    <row r="69" spans="3:29" x14ac:dyDescent="0.2">
      <c r="C69" s="935" t="s">
        <v>645</v>
      </c>
      <c r="D69" s="936">
        <v>500</v>
      </c>
      <c r="E69" s="936">
        <v>100</v>
      </c>
      <c r="F69" s="941">
        <f>E69/D69</f>
        <v>0.2</v>
      </c>
      <c r="H69" s="936">
        <v>500</v>
      </c>
      <c r="I69" s="936">
        <v>90</v>
      </c>
      <c r="J69" s="941">
        <f>I69/H69</f>
        <v>0.18</v>
      </c>
      <c r="L69" s="936">
        <v>500</v>
      </c>
      <c r="M69" s="936">
        <v>100</v>
      </c>
      <c r="N69" s="941">
        <f>M69/L69</f>
        <v>0.2</v>
      </c>
      <c r="P69" s="936">
        <v>600</v>
      </c>
      <c r="Q69" s="936">
        <v>150</v>
      </c>
      <c r="R69" s="941">
        <f>Q69/P69</f>
        <v>0.25</v>
      </c>
      <c r="T69" s="936">
        <f>ROUND(AVERAGE(T42:T68),-2)</f>
        <v>2100</v>
      </c>
      <c r="U69" s="936">
        <f>ROUND(AVERAGE(U42:U68),-1)</f>
        <v>310</v>
      </c>
      <c r="V69" s="941">
        <f>U69/T69</f>
        <v>0.14761904761904762</v>
      </c>
    </row>
    <row r="70" spans="3:29" x14ac:dyDescent="0.2">
      <c r="C70" s="934" t="s">
        <v>647</v>
      </c>
    </row>
    <row r="72" spans="3:29" x14ac:dyDescent="0.2">
      <c r="C72" s="929" t="s">
        <v>648</v>
      </c>
      <c r="W72" s="933" t="s">
        <v>636</v>
      </c>
    </row>
    <row r="74" spans="3:29" x14ac:dyDescent="0.2">
      <c r="D74" s="990" t="s">
        <v>249</v>
      </c>
      <c r="E74" s="990"/>
      <c r="F74" s="990"/>
      <c r="H74" s="990" t="s">
        <v>637</v>
      </c>
      <c r="I74" s="990"/>
      <c r="J74" s="990"/>
      <c r="L74" s="991" t="s">
        <v>638</v>
      </c>
      <c r="M74" s="992"/>
      <c r="N74" s="993"/>
      <c r="P74" s="990" t="s">
        <v>639</v>
      </c>
      <c r="Q74" s="990"/>
      <c r="R74" s="990"/>
      <c r="T74" s="991" t="s">
        <v>640</v>
      </c>
      <c r="U74" s="993"/>
      <c r="W74" s="928" t="s">
        <v>641</v>
      </c>
      <c r="AA74" s="928" t="s">
        <v>642</v>
      </c>
    </row>
    <row r="75" spans="3:29" x14ac:dyDescent="0.2">
      <c r="C75" s="935" t="s">
        <v>36</v>
      </c>
      <c r="D75" s="961" t="s">
        <v>496</v>
      </c>
      <c r="E75" s="931" t="s">
        <v>660</v>
      </c>
      <c r="F75" s="962" t="s">
        <v>284</v>
      </c>
      <c r="H75" s="936" t="s">
        <v>496</v>
      </c>
      <c r="I75" s="931" t="s">
        <v>660</v>
      </c>
      <c r="J75" s="937" t="s">
        <v>284</v>
      </c>
      <c r="L75" s="936" t="s">
        <v>496</v>
      </c>
      <c r="M75" s="931" t="s">
        <v>660</v>
      </c>
      <c r="N75" s="937" t="s">
        <v>284</v>
      </c>
      <c r="P75" s="936" t="s">
        <v>496</v>
      </c>
      <c r="Q75" s="931" t="s">
        <v>660</v>
      </c>
      <c r="R75" s="937" t="s">
        <v>284</v>
      </c>
      <c r="T75" s="938" t="s">
        <v>496</v>
      </c>
      <c r="U75" s="931" t="s">
        <v>660</v>
      </c>
      <c r="W75" s="937" t="s">
        <v>643</v>
      </c>
      <c r="X75" s="937" t="s">
        <v>644</v>
      </c>
      <c r="Y75" s="937" t="s">
        <v>606</v>
      </c>
      <c r="AA75" s="937" t="s">
        <v>643</v>
      </c>
      <c r="AB75" s="937" t="s">
        <v>644</v>
      </c>
      <c r="AC75" s="937" t="s">
        <v>606</v>
      </c>
    </row>
    <row r="76" spans="3:29" x14ac:dyDescent="0.2">
      <c r="C76" s="958">
        <v>2000</v>
      </c>
      <c r="D76" s="940">
        <v>74</v>
      </c>
      <c r="E76" s="940"/>
      <c r="F76" s="941"/>
      <c r="G76" s="942"/>
      <c r="H76" s="940">
        <v>230</v>
      </c>
      <c r="I76" s="940"/>
      <c r="J76" s="943"/>
      <c r="K76" s="942"/>
      <c r="L76" s="940">
        <v>77</v>
      </c>
      <c r="M76" s="940"/>
      <c r="N76" s="943"/>
      <c r="O76" s="942"/>
      <c r="P76" s="940">
        <v>114</v>
      </c>
      <c r="Q76" s="940"/>
      <c r="R76" s="943"/>
      <c r="S76" s="942"/>
      <c r="T76" s="944">
        <f t="shared" ref="T76:U96" si="13">SUM(P76,L76,H76,D76)</f>
        <v>495</v>
      </c>
      <c r="U76" s="945"/>
      <c r="W76" s="938"/>
      <c r="X76" s="937"/>
      <c r="Y76" s="937"/>
      <c r="AA76" s="946"/>
      <c r="AB76" s="946"/>
      <c r="AC76" s="946"/>
    </row>
    <row r="77" spans="3:29" x14ac:dyDescent="0.2">
      <c r="C77" s="958">
        <f>C76+1</f>
        <v>2001</v>
      </c>
      <c r="D77" s="940">
        <v>25</v>
      </c>
      <c r="E77" s="940"/>
      <c r="F77" s="941"/>
      <c r="G77" s="942"/>
      <c r="H77" s="940">
        <v>95</v>
      </c>
      <c r="I77" s="940"/>
      <c r="J77" s="943"/>
      <c r="K77" s="942"/>
      <c r="L77" s="940">
        <v>84</v>
      </c>
      <c r="M77" s="940"/>
      <c r="N77" s="943"/>
      <c r="O77" s="942"/>
      <c r="P77" s="940">
        <v>199</v>
      </c>
      <c r="Q77" s="940"/>
      <c r="R77" s="943"/>
      <c r="S77" s="942"/>
      <c r="T77" s="944">
        <f t="shared" si="13"/>
        <v>403</v>
      </c>
      <c r="U77" s="945"/>
      <c r="W77" s="937"/>
      <c r="X77" s="937"/>
      <c r="Y77" s="937"/>
      <c r="AA77" s="946"/>
      <c r="AB77" s="946"/>
      <c r="AC77" s="946"/>
    </row>
    <row r="78" spans="3:29" x14ac:dyDescent="0.2">
      <c r="C78" s="958">
        <f t="shared" ref="C78:C96" si="14">C77+1</f>
        <v>2002</v>
      </c>
      <c r="D78" s="940">
        <v>26</v>
      </c>
      <c r="E78" s="940"/>
      <c r="F78" s="941"/>
      <c r="G78" s="942"/>
      <c r="H78" s="940">
        <v>74</v>
      </c>
      <c r="I78" s="940"/>
      <c r="J78" s="943"/>
      <c r="K78" s="942"/>
      <c r="L78" s="940">
        <v>192</v>
      </c>
      <c r="M78" s="940"/>
      <c r="N78" s="943"/>
      <c r="O78" s="942"/>
      <c r="P78" s="940">
        <v>265</v>
      </c>
      <c r="Q78" s="940"/>
      <c r="R78" s="943"/>
      <c r="S78" s="942"/>
      <c r="T78" s="944">
        <f t="shared" si="13"/>
        <v>557</v>
      </c>
      <c r="U78" s="945"/>
      <c r="W78" s="937"/>
      <c r="X78" s="937"/>
      <c r="Y78" s="937"/>
      <c r="AA78" s="946"/>
      <c r="AB78" s="946"/>
      <c r="AC78" s="946"/>
    </row>
    <row r="79" spans="3:29" x14ac:dyDescent="0.2">
      <c r="C79" s="958">
        <f t="shared" si="14"/>
        <v>2003</v>
      </c>
      <c r="D79" s="940">
        <v>10</v>
      </c>
      <c r="E79" s="940"/>
      <c r="F79" s="941"/>
      <c r="G79" s="942"/>
      <c r="H79" s="940">
        <v>58</v>
      </c>
      <c r="I79" s="940"/>
      <c r="J79" s="943"/>
      <c r="K79" s="942"/>
      <c r="L79" s="940">
        <v>130</v>
      </c>
      <c r="M79" s="940"/>
      <c r="N79" s="943"/>
      <c r="O79" s="942"/>
      <c r="P79" s="940">
        <v>244</v>
      </c>
      <c r="Q79" s="940"/>
      <c r="R79" s="943"/>
      <c r="S79" s="942"/>
      <c r="T79" s="944">
        <f t="shared" si="13"/>
        <v>442</v>
      </c>
      <c r="U79" s="945"/>
      <c r="W79" s="937"/>
      <c r="X79" s="937"/>
      <c r="Y79" s="937"/>
      <c r="AA79" s="946"/>
      <c r="AB79" s="946"/>
      <c r="AC79" s="946"/>
    </row>
    <row r="80" spans="3:29" x14ac:dyDescent="0.2">
      <c r="C80" s="958">
        <f t="shared" si="14"/>
        <v>2004</v>
      </c>
      <c r="D80" s="940">
        <v>48</v>
      </c>
      <c r="E80" s="940"/>
      <c r="F80" s="941"/>
      <c r="G80" s="942"/>
      <c r="H80" s="940">
        <v>97</v>
      </c>
      <c r="I80" s="940"/>
      <c r="J80" s="943"/>
      <c r="K80" s="942"/>
      <c r="L80" s="940">
        <v>104</v>
      </c>
      <c r="M80" s="940"/>
      <c r="N80" s="943"/>
      <c r="O80" s="942"/>
      <c r="P80" s="940">
        <v>263</v>
      </c>
      <c r="Q80" s="940"/>
      <c r="R80" s="943"/>
      <c r="S80" s="942"/>
      <c r="T80" s="944">
        <f t="shared" si="13"/>
        <v>512</v>
      </c>
      <c r="U80" s="945"/>
      <c r="W80" s="938"/>
      <c r="X80" s="937"/>
      <c r="Y80" s="937"/>
      <c r="AA80" s="946"/>
      <c r="AB80" s="946"/>
      <c r="AC80" s="946"/>
    </row>
    <row r="81" spans="3:29" x14ac:dyDescent="0.2">
      <c r="C81" s="958">
        <f t="shared" si="14"/>
        <v>2005</v>
      </c>
      <c r="D81" s="940">
        <v>3</v>
      </c>
      <c r="E81" s="940"/>
      <c r="F81" s="941"/>
      <c r="G81" s="942"/>
      <c r="H81" s="940">
        <v>23</v>
      </c>
      <c r="I81" s="940"/>
      <c r="J81" s="943"/>
      <c r="K81" s="942"/>
      <c r="L81" s="940">
        <v>21</v>
      </c>
      <c r="M81" s="940"/>
      <c r="N81" s="943"/>
      <c r="O81" s="942"/>
      <c r="P81" s="940">
        <v>36</v>
      </c>
      <c r="Q81" s="940"/>
      <c r="R81" s="943"/>
      <c r="S81" s="942"/>
      <c r="T81" s="944">
        <f t="shared" si="13"/>
        <v>83</v>
      </c>
      <c r="U81" s="945"/>
      <c r="W81" s="938"/>
      <c r="X81" s="937"/>
      <c r="Y81" s="937"/>
      <c r="AA81" s="946"/>
      <c r="AB81" s="946"/>
      <c r="AC81" s="946"/>
    </row>
    <row r="82" spans="3:29" x14ac:dyDescent="0.2">
      <c r="C82" s="958">
        <f t="shared" si="14"/>
        <v>2006</v>
      </c>
      <c r="D82" s="940">
        <v>29</v>
      </c>
      <c r="E82" s="940">
        <v>1</v>
      </c>
      <c r="F82" s="949">
        <f>E82/D82</f>
        <v>3.4482758620689655E-2</v>
      </c>
      <c r="G82" s="942"/>
      <c r="H82" s="940">
        <v>9</v>
      </c>
      <c r="I82" s="940"/>
      <c r="J82" s="943"/>
      <c r="K82" s="942"/>
      <c r="L82" s="940">
        <v>12</v>
      </c>
      <c r="M82" s="940"/>
      <c r="N82" s="943"/>
      <c r="O82" s="942"/>
      <c r="P82" s="940">
        <v>38</v>
      </c>
      <c r="Q82" s="940"/>
      <c r="R82" s="943"/>
      <c r="S82" s="942"/>
      <c r="T82" s="944">
        <f t="shared" si="13"/>
        <v>88</v>
      </c>
      <c r="U82" s="945">
        <f t="shared" si="13"/>
        <v>1</v>
      </c>
      <c r="W82" s="938">
        <v>1</v>
      </c>
      <c r="X82" s="937"/>
      <c r="Y82" s="937"/>
      <c r="AA82" s="946">
        <v>2</v>
      </c>
      <c r="AB82" s="946"/>
      <c r="AC82" s="946"/>
    </row>
    <row r="83" spans="3:29" x14ac:dyDescent="0.2">
      <c r="C83" s="958">
        <f t="shared" si="14"/>
        <v>2007</v>
      </c>
      <c r="D83" s="940">
        <v>8</v>
      </c>
      <c r="E83" s="940"/>
      <c r="F83" s="941"/>
      <c r="G83" s="942"/>
      <c r="H83" s="940">
        <v>36</v>
      </c>
      <c r="I83" s="940"/>
      <c r="J83" s="943"/>
      <c r="K83" s="942"/>
      <c r="L83" s="940">
        <v>21</v>
      </c>
      <c r="M83" s="940"/>
      <c r="N83" s="943"/>
      <c r="O83" s="942"/>
      <c r="P83" s="940">
        <v>31</v>
      </c>
      <c r="Q83" s="940"/>
      <c r="R83" s="943"/>
      <c r="S83" s="942"/>
      <c r="T83" s="944">
        <f t="shared" si="13"/>
        <v>96</v>
      </c>
      <c r="U83" s="945"/>
      <c r="W83" s="938"/>
      <c r="X83" s="937"/>
      <c r="Y83" s="937"/>
      <c r="AA83" s="946">
        <v>26</v>
      </c>
      <c r="AB83" s="946"/>
      <c r="AC83" s="946"/>
    </row>
    <row r="84" spans="3:29" x14ac:dyDescent="0.2">
      <c r="C84" s="958">
        <f t="shared" si="14"/>
        <v>2008</v>
      </c>
      <c r="D84" s="940">
        <v>42</v>
      </c>
      <c r="E84" s="940">
        <v>2</v>
      </c>
      <c r="F84" s="949">
        <f>E84/D84</f>
        <v>4.7619047619047616E-2</v>
      </c>
      <c r="G84" s="942"/>
      <c r="H84" s="940">
        <v>42</v>
      </c>
      <c r="I84" s="940"/>
      <c r="J84" s="943"/>
      <c r="K84" s="942"/>
      <c r="L84" s="940">
        <v>40</v>
      </c>
      <c r="M84" s="940"/>
      <c r="N84" s="943"/>
      <c r="O84" s="942"/>
      <c r="P84" s="940">
        <v>99</v>
      </c>
      <c r="Q84" s="940"/>
      <c r="R84" s="943"/>
      <c r="S84" s="942"/>
      <c r="T84" s="944">
        <f t="shared" si="13"/>
        <v>223</v>
      </c>
      <c r="U84" s="945">
        <f t="shared" si="13"/>
        <v>2</v>
      </c>
      <c r="W84" s="938">
        <v>2</v>
      </c>
      <c r="X84" s="937"/>
      <c r="Y84" s="937"/>
      <c r="AA84" s="946">
        <v>43</v>
      </c>
      <c r="AB84" s="946"/>
      <c r="AC84" s="946"/>
    </row>
    <row r="85" spans="3:29" x14ac:dyDescent="0.2">
      <c r="C85" s="958">
        <f t="shared" si="14"/>
        <v>2009</v>
      </c>
      <c r="D85" s="940">
        <v>30</v>
      </c>
      <c r="E85" s="940">
        <v>13</v>
      </c>
      <c r="F85" s="949">
        <f>E85/D85</f>
        <v>0.43333333333333335</v>
      </c>
      <c r="G85" s="942"/>
      <c r="H85" s="940">
        <v>38</v>
      </c>
      <c r="I85" s="940"/>
      <c r="J85" s="943"/>
      <c r="K85" s="942"/>
      <c r="L85" s="940">
        <v>38</v>
      </c>
      <c r="M85" s="940"/>
      <c r="N85" s="943"/>
      <c r="O85" s="942"/>
      <c r="P85" s="940">
        <v>127</v>
      </c>
      <c r="Q85" s="940"/>
      <c r="R85" s="943"/>
      <c r="S85" s="942"/>
      <c r="T85" s="944">
        <f t="shared" si="13"/>
        <v>233</v>
      </c>
      <c r="U85" s="945">
        <f t="shared" si="13"/>
        <v>13</v>
      </c>
      <c r="W85" s="938">
        <v>13</v>
      </c>
      <c r="X85" s="937"/>
      <c r="Y85" s="937"/>
      <c r="AA85" s="946">
        <v>1</v>
      </c>
      <c r="AB85" s="946"/>
      <c r="AC85" s="946"/>
    </row>
    <row r="86" spans="3:29" x14ac:dyDescent="0.2">
      <c r="C86" s="958">
        <f t="shared" si="14"/>
        <v>2010</v>
      </c>
      <c r="D86" s="940">
        <v>273</v>
      </c>
      <c r="E86" s="940">
        <v>6</v>
      </c>
      <c r="F86" s="949">
        <f>E86/D86</f>
        <v>2.197802197802198E-2</v>
      </c>
      <c r="G86" s="942"/>
      <c r="H86" s="940">
        <v>46</v>
      </c>
      <c r="I86" s="940"/>
      <c r="J86" s="943"/>
      <c r="K86" s="942"/>
      <c r="L86" s="940">
        <v>141</v>
      </c>
      <c r="M86" s="940"/>
      <c r="N86" s="941"/>
      <c r="O86" s="942"/>
      <c r="P86" s="940">
        <v>214</v>
      </c>
      <c r="Q86" s="940"/>
      <c r="R86" s="941"/>
      <c r="S86" s="942"/>
      <c r="T86" s="944">
        <f t="shared" si="13"/>
        <v>674</v>
      </c>
      <c r="U86" s="945">
        <f t="shared" si="13"/>
        <v>6</v>
      </c>
      <c r="W86" s="938">
        <v>6</v>
      </c>
      <c r="X86" s="937"/>
      <c r="Y86" s="938"/>
      <c r="AA86" s="946">
        <v>0</v>
      </c>
      <c r="AB86" s="946"/>
      <c r="AC86" s="946"/>
    </row>
    <row r="87" spans="3:29" x14ac:dyDescent="0.2">
      <c r="C87" s="958">
        <f t="shared" si="14"/>
        <v>2011</v>
      </c>
      <c r="D87" s="940">
        <v>23</v>
      </c>
      <c r="E87" s="950">
        <v>3</v>
      </c>
      <c r="F87" s="956">
        <f>AVERAGE(F$82,F$84:F$86)</f>
        <v>0.13435329038777316</v>
      </c>
      <c r="G87" s="942"/>
      <c r="H87" s="940">
        <v>23</v>
      </c>
      <c r="I87" s="950">
        <v>3</v>
      </c>
      <c r="J87" s="951">
        <f t="shared" ref="J87:J96" si="15">$F87</f>
        <v>0.13435329038777316</v>
      </c>
      <c r="K87" s="942"/>
      <c r="L87" s="940">
        <v>51</v>
      </c>
      <c r="M87" s="950">
        <v>7</v>
      </c>
      <c r="N87" s="951">
        <f t="shared" ref="N87:N96" si="16">$F87</f>
        <v>0.13435329038777316</v>
      </c>
      <c r="O87" s="942"/>
      <c r="P87" s="940">
        <v>76</v>
      </c>
      <c r="Q87" s="950">
        <v>10</v>
      </c>
      <c r="R87" s="951">
        <f t="shared" ref="R87:R96" si="17">$F87</f>
        <v>0.13435329038777316</v>
      </c>
      <c r="S87" s="942"/>
      <c r="T87" s="952">
        <f t="shared" si="13"/>
        <v>173</v>
      </c>
      <c r="U87" s="953">
        <f t="shared" si="13"/>
        <v>23</v>
      </c>
      <c r="W87" s="938"/>
      <c r="X87" s="937"/>
      <c r="Y87" s="938"/>
      <c r="AA87" s="946"/>
      <c r="AB87" s="946">
        <v>1</v>
      </c>
      <c r="AC87" s="946"/>
    </row>
    <row r="88" spans="3:29" x14ac:dyDescent="0.2">
      <c r="C88" s="958">
        <f t="shared" si="14"/>
        <v>2012</v>
      </c>
      <c r="D88" s="940">
        <v>117</v>
      </c>
      <c r="E88" s="950">
        <v>16</v>
      </c>
      <c r="F88" s="956">
        <f t="shared" ref="F88:F101" si="18">AVERAGE(F$82,F$84:F$86)</f>
        <v>0.13435329038777316</v>
      </c>
      <c r="G88" s="942"/>
      <c r="H88" s="940">
        <v>41</v>
      </c>
      <c r="I88" s="950">
        <v>6</v>
      </c>
      <c r="J88" s="951">
        <f t="shared" si="15"/>
        <v>0.13435329038777316</v>
      </c>
      <c r="K88" s="942"/>
      <c r="L88" s="940">
        <v>92</v>
      </c>
      <c r="M88" s="950">
        <v>12</v>
      </c>
      <c r="N88" s="951">
        <f t="shared" si="16"/>
        <v>0.13435329038777316</v>
      </c>
      <c r="O88" s="942"/>
      <c r="P88" s="940">
        <v>293</v>
      </c>
      <c r="Q88" s="950">
        <v>39</v>
      </c>
      <c r="R88" s="951">
        <f t="shared" si="17"/>
        <v>0.13435329038777316</v>
      </c>
      <c r="S88" s="942"/>
      <c r="T88" s="952">
        <f t="shared" si="13"/>
        <v>543</v>
      </c>
      <c r="U88" s="953">
        <f t="shared" si="13"/>
        <v>73</v>
      </c>
      <c r="W88" s="938"/>
      <c r="X88" s="937"/>
      <c r="Y88" s="938"/>
      <c r="AA88" s="946"/>
      <c r="AB88" s="946"/>
      <c r="AC88" s="946"/>
    </row>
    <row r="89" spans="3:29" x14ac:dyDescent="0.2">
      <c r="C89" s="958">
        <f t="shared" si="14"/>
        <v>2013</v>
      </c>
      <c r="D89" s="940">
        <v>36</v>
      </c>
      <c r="E89" s="950">
        <v>5</v>
      </c>
      <c r="F89" s="956">
        <f t="shared" si="18"/>
        <v>0.13435329038777316</v>
      </c>
      <c r="G89" s="942"/>
      <c r="H89" s="940">
        <v>45</v>
      </c>
      <c r="I89" s="950">
        <v>6</v>
      </c>
      <c r="J89" s="951">
        <f t="shared" si="15"/>
        <v>0.13435329038777316</v>
      </c>
      <c r="K89" s="942"/>
      <c r="L89" s="940">
        <v>127</v>
      </c>
      <c r="M89" s="950">
        <v>17</v>
      </c>
      <c r="N89" s="951">
        <f t="shared" si="16"/>
        <v>0.13435329038777316</v>
      </c>
      <c r="O89" s="942"/>
      <c r="P89" s="940">
        <v>225</v>
      </c>
      <c r="Q89" s="950">
        <v>30</v>
      </c>
      <c r="R89" s="951">
        <f t="shared" si="17"/>
        <v>0.13435329038777316</v>
      </c>
      <c r="S89" s="942"/>
      <c r="T89" s="952">
        <f t="shared" si="13"/>
        <v>433</v>
      </c>
      <c r="U89" s="953">
        <f t="shared" si="13"/>
        <v>58</v>
      </c>
      <c r="W89" s="938"/>
      <c r="X89" s="937"/>
      <c r="Y89" s="938"/>
      <c r="AA89" s="946"/>
      <c r="AB89" s="946"/>
      <c r="AC89" s="946"/>
    </row>
    <row r="90" spans="3:29" x14ac:dyDescent="0.2">
      <c r="C90" s="958">
        <f t="shared" si="14"/>
        <v>2014</v>
      </c>
      <c r="D90" s="940">
        <v>62</v>
      </c>
      <c r="E90" s="950">
        <v>8</v>
      </c>
      <c r="F90" s="956">
        <f t="shared" si="18"/>
        <v>0.13435329038777316</v>
      </c>
      <c r="G90" s="942"/>
      <c r="H90" s="940">
        <v>109</v>
      </c>
      <c r="I90" s="950">
        <v>15</v>
      </c>
      <c r="J90" s="951">
        <f t="shared" si="15"/>
        <v>0.13435329038777316</v>
      </c>
      <c r="K90" s="942"/>
      <c r="L90" s="940">
        <v>148</v>
      </c>
      <c r="M90" s="950">
        <v>20</v>
      </c>
      <c r="N90" s="951">
        <f t="shared" si="16"/>
        <v>0.13435329038777316</v>
      </c>
      <c r="O90" s="942"/>
      <c r="P90" s="940">
        <v>149</v>
      </c>
      <c r="Q90" s="950">
        <v>20</v>
      </c>
      <c r="R90" s="951">
        <f t="shared" si="17"/>
        <v>0.13435329038777316</v>
      </c>
      <c r="S90" s="942"/>
      <c r="T90" s="952">
        <f t="shared" si="13"/>
        <v>468</v>
      </c>
      <c r="U90" s="953">
        <f t="shared" si="13"/>
        <v>63</v>
      </c>
      <c r="W90" s="938"/>
      <c r="X90" s="937"/>
      <c r="Y90" s="938"/>
      <c r="AA90" s="946"/>
      <c r="AB90" s="946"/>
      <c r="AC90" s="946"/>
    </row>
    <row r="91" spans="3:29" x14ac:dyDescent="0.2">
      <c r="C91" s="958">
        <f t="shared" si="14"/>
        <v>2015</v>
      </c>
      <c r="D91" s="940">
        <v>122</v>
      </c>
      <c r="E91" s="950">
        <v>16</v>
      </c>
      <c r="F91" s="956">
        <f t="shared" si="18"/>
        <v>0.13435329038777316</v>
      </c>
      <c r="G91" s="942"/>
      <c r="H91" s="940">
        <v>45</v>
      </c>
      <c r="I91" s="950">
        <v>6</v>
      </c>
      <c r="J91" s="951">
        <f t="shared" si="15"/>
        <v>0.13435329038777316</v>
      </c>
      <c r="K91" s="942"/>
      <c r="L91" s="940">
        <v>91</v>
      </c>
      <c r="M91" s="950">
        <v>12</v>
      </c>
      <c r="N91" s="951">
        <f t="shared" si="16"/>
        <v>0.13435329038777316</v>
      </c>
      <c r="O91" s="942"/>
      <c r="P91" s="940">
        <v>166</v>
      </c>
      <c r="Q91" s="950">
        <v>22</v>
      </c>
      <c r="R91" s="951">
        <f t="shared" si="17"/>
        <v>0.13435329038777316</v>
      </c>
      <c r="S91" s="942"/>
      <c r="T91" s="952">
        <f t="shared" si="13"/>
        <v>424</v>
      </c>
      <c r="U91" s="953">
        <f t="shared" si="13"/>
        <v>56</v>
      </c>
      <c r="W91" s="938"/>
      <c r="X91" s="937"/>
      <c r="Y91" s="938"/>
      <c r="AA91" s="946"/>
      <c r="AB91" s="946"/>
      <c r="AC91" s="946"/>
    </row>
    <row r="92" spans="3:29" x14ac:dyDescent="0.2">
      <c r="C92" s="958">
        <f t="shared" si="14"/>
        <v>2016</v>
      </c>
      <c r="D92" s="940">
        <v>45</v>
      </c>
      <c r="E92" s="950">
        <v>6</v>
      </c>
      <c r="F92" s="956">
        <f t="shared" si="18"/>
        <v>0.13435329038777316</v>
      </c>
      <c r="G92" s="942"/>
      <c r="H92" s="940">
        <v>127</v>
      </c>
      <c r="I92" s="950">
        <v>17</v>
      </c>
      <c r="J92" s="951">
        <f t="shared" si="15"/>
        <v>0.13435329038777316</v>
      </c>
      <c r="K92" s="942"/>
      <c r="L92" s="940">
        <v>206</v>
      </c>
      <c r="M92" s="950">
        <v>28</v>
      </c>
      <c r="N92" s="951">
        <f t="shared" si="16"/>
        <v>0.13435329038777316</v>
      </c>
      <c r="O92" s="942"/>
      <c r="P92" s="940">
        <v>157</v>
      </c>
      <c r="Q92" s="950">
        <v>21</v>
      </c>
      <c r="R92" s="951">
        <f t="shared" si="17"/>
        <v>0.13435329038777316</v>
      </c>
      <c r="S92" s="942"/>
      <c r="T92" s="952">
        <f t="shared" si="13"/>
        <v>535</v>
      </c>
      <c r="U92" s="953">
        <f t="shared" si="13"/>
        <v>72</v>
      </c>
      <c r="W92" s="938"/>
      <c r="X92" s="937"/>
      <c r="Y92" s="938"/>
      <c r="AA92" s="946"/>
      <c r="AB92" s="946"/>
      <c r="AC92" s="946"/>
    </row>
    <row r="93" spans="3:29" x14ac:dyDescent="0.2">
      <c r="C93" s="958">
        <f t="shared" si="14"/>
        <v>2017</v>
      </c>
      <c r="D93" s="940">
        <v>78</v>
      </c>
      <c r="E93" s="950">
        <v>10</v>
      </c>
      <c r="F93" s="956">
        <f t="shared" si="18"/>
        <v>0.13435329038777316</v>
      </c>
      <c r="G93" s="942"/>
      <c r="H93" s="940">
        <v>20</v>
      </c>
      <c r="I93" s="950">
        <v>3</v>
      </c>
      <c r="J93" s="951">
        <f t="shared" si="15"/>
        <v>0.13435329038777316</v>
      </c>
      <c r="K93" s="942"/>
      <c r="L93" s="940">
        <v>67</v>
      </c>
      <c r="M93" s="950">
        <v>9</v>
      </c>
      <c r="N93" s="951">
        <f t="shared" si="16"/>
        <v>0.13435329038777316</v>
      </c>
      <c r="O93" s="942"/>
      <c r="P93" s="940">
        <v>68</v>
      </c>
      <c r="Q93" s="950">
        <v>9</v>
      </c>
      <c r="R93" s="951">
        <f t="shared" si="17"/>
        <v>0.13435329038777316</v>
      </c>
      <c r="S93" s="942"/>
      <c r="T93" s="952">
        <f t="shared" si="13"/>
        <v>233</v>
      </c>
      <c r="U93" s="953">
        <f t="shared" si="13"/>
        <v>31</v>
      </c>
      <c r="W93" s="938"/>
      <c r="X93" s="937"/>
      <c r="Y93" s="938"/>
      <c r="AA93" s="946"/>
      <c r="AB93" s="946"/>
      <c r="AC93" s="946"/>
    </row>
    <row r="94" spans="3:29" x14ac:dyDescent="0.2">
      <c r="C94" s="958">
        <f t="shared" si="14"/>
        <v>2018</v>
      </c>
      <c r="D94" s="940">
        <v>33</v>
      </c>
      <c r="E94" s="950">
        <v>4</v>
      </c>
      <c r="F94" s="956">
        <f t="shared" si="18"/>
        <v>0.13435329038777316</v>
      </c>
      <c r="G94" s="942"/>
      <c r="H94" s="940">
        <v>32</v>
      </c>
      <c r="I94" s="950">
        <v>4</v>
      </c>
      <c r="J94" s="951">
        <f t="shared" si="15"/>
        <v>0.13435329038777316</v>
      </c>
      <c r="K94" s="942"/>
      <c r="L94" s="940">
        <v>137</v>
      </c>
      <c r="M94" s="950">
        <v>18</v>
      </c>
      <c r="N94" s="951">
        <f t="shared" si="16"/>
        <v>0.13435329038777316</v>
      </c>
      <c r="O94" s="942"/>
      <c r="P94" s="940">
        <v>207</v>
      </c>
      <c r="Q94" s="950">
        <v>28</v>
      </c>
      <c r="R94" s="951">
        <f t="shared" si="17"/>
        <v>0.13435329038777316</v>
      </c>
      <c r="S94" s="942"/>
      <c r="T94" s="952">
        <f t="shared" si="13"/>
        <v>409</v>
      </c>
      <c r="U94" s="953">
        <f t="shared" si="13"/>
        <v>54</v>
      </c>
      <c r="W94" s="938"/>
      <c r="X94" s="937"/>
      <c r="Y94" s="937"/>
      <c r="AA94" s="946"/>
      <c r="AB94" s="946"/>
      <c r="AC94" s="946"/>
    </row>
    <row r="95" spans="3:29" x14ac:dyDescent="0.2">
      <c r="C95" s="958">
        <f t="shared" si="14"/>
        <v>2019</v>
      </c>
      <c r="D95" s="940">
        <v>31</v>
      </c>
      <c r="E95" s="950">
        <v>4</v>
      </c>
      <c r="F95" s="956">
        <f t="shared" si="18"/>
        <v>0.13435329038777316</v>
      </c>
      <c r="G95" s="942"/>
      <c r="H95" s="940">
        <v>21</v>
      </c>
      <c r="I95" s="950">
        <v>3</v>
      </c>
      <c r="J95" s="951">
        <f t="shared" si="15"/>
        <v>0.13435329038777316</v>
      </c>
      <c r="K95" s="942"/>
      <c r="L95" s="940">
        <v>25</v>
      </c>
      <c r="M95" s="950">
        <v>3</v>
      </c>
      <c r="N95" s="951">
        <f t="shared" si="16"/>
        <v>0.13435329038777316</v>
      </c>
      <c r="O95" s="942"/>
      <c r="P95" s="940">
        <v>18</v>
      </c>
      <c r="Q95" s="950">
        <v>2</v>
      </c>
      <c r="R95" s="951">
        <f t="shared" si="17"/>
        <v>0.13435329038777316</v>
      </c>
      <c r="S95" s="942"/>
      <c r="T95" s="952">
        <f t="shared" si="13"/>
        <v>95</v>
      </c>
      <c r="U95" s="953">
        <f t="shared" si="13"/>
        <v>12</v>
      </c>
      <c r="W95" s="937"/>
      <c r="X95" s="937"/>
      <c r="Y95" s="937"/>
      <c r="AA95" s="946"/>
      <c r="AB95" s="946"/>
      <c r="AC95" s="946"/>
    </row>
    <row r="96" spans="3:29" x14ac:dyDescent="0.2">
      <c r="C96" s="958">
        <f t="shared" si="14"/>
        <v>2020</v>
      </c>
      <c r="D96" s="940">
        <v>24</v>
      </c>
      <c r="E96" s="950">
        <v>3</v>
      </c>
      <c r="F96" s="956">
        <f t="shared" si="18"/>
        <v>0.13435329038777316</v>
      </c>
      <c r="G96" s="942"/>
      <c r="H96" s="940">
        <v>19</v>
      </c>
      <c r="I96" s="950">
        <v>3</v>
      </c>
      <c r="J96" s="951">
        <f t="shared" si="15"/>
        <v>0.13435329038777316</v>
      </c>
      <c r="K96" s="942"/>
      <c r="L96" s="940">
        <v>17</v>
      </c>
      <c r="M96" s="950">
        <v>2</v>
      </c>
      <c r="N96" s="951">
        <f t="shared" si="16"/>
        <v>0.13435329038777316</v>
      </c>
      <c r="O96" s="942"/>
      <c r="P96" s="940">
        <v>36</v>
      </c>
      <c r="Q96" s="950">
        <v>5</v>
      </c>
      <c r="R96" s="951">
        <f t="shared" si="17"/>
        <v>0.13435329038777316</v>
      </c>
      <c r="S96" s="942"/>
      <c r="T96" s="952">
        <f t="shared" si="13"/>
        <v>96</v>
      </c>
      <c r="U96" s="953">
        <f t="shared" si="13"/>
        <v>13</v>
      </c>
      <c r="W96" s="937"/>
      <c r="X96" s="937"/>
      <c r="Y96" s="937"/>
      <c r="AA96" s="946"/>
      <c r="AB96" s="946"/>
      <c r="AC96" s="946"/>
    </row>
    <row r="97" spans="3:29" x14ac:dyDescent="0.2">
      <c r="C97" s="958">
        <v>2021</v>
      </c>
      <c r="D97" s="940">
        <v>6</v>
      </c>
      <c r="E97" s="950">
        <v>1</v>
      </c>
      <c r="F97" s="956">
        <v>0.13435329038777316</v>
      </c>
      <c r="G97" s="942"/>
      <c r="H97" s="940">
        <v>7</v>
      </c>
      <c r="I97" s="950">
        <v>1</v>
      </c>
      <c r="J97" s="951">
        <v>0.13435329038777316</v>
      </c>
      <c r="K97" s="942"/>
      <c r="L97" s="940">
        <v>15</v>
      </c>
      <c r="M97" s="950">
        <v>2</v>
      </c>
      <c r="N97" s="951">
        <v>0.13435329038777316</v>
      </c>
      <c r="O97" s="942"/>
      <c r="P97" s="940">
        <v>6</v>
      </c>
      <c r="Q97" s="950">
        <v>1</v>
      </c>
      <c r="R97" s="951">
        <v>0.13435329038777316</v>
      </c>
      <c r="S97" s="942"/>
      <c r="T97" s="952">
        <v>34</v>
      </c>
      <c r="U97" s="953">
        <v>5</v>
      </c>
      <c r="W97" s="937"/>
      <c r="X97" s="937"/>
      <c r="Y97" s="937"/>
      <c r="AA97" s="946"/>
      <c r="AB97" s="946"/>
      <c r="AC97" s="946"/>
    </row>
    <row r="98" spans="3:29" x14ac:dyDescent="0.2">
      <c r="C98" s="958">
        <v>2022</v>
      </c>
      <c r="D98" s="940">
        <v>38</v>
      </c>
      <c r="E98" s="950">
        <v>5</v>
      </c>
      <c r="F98" s="956">
        <v>0.13435329038777316</v>
      </c>
      <c r="G98" s="942"/>
      <c r="H98" s="940">
        <v>3</v>
      </c>
      <c r="I98" s="950">
        <v>0</v>
      </c>
      <c r="J98" s="951">
        <v>0.13435329038777316</v>
      </c>
      <c r="K98" s="942"/>
      <c r="L98" s="940">
        <v>22</v>
      </c>
      <c r="M98" s="950">
        <v>3</v>
      </c>
      <c r="N98" s="951">
        <v>0.13435329038777316</v>
      </c>
      <c r="O98" s="942"/>
      <c r="P98" s="940">
        <v>16</v>
      </c>
      <c r="Q98" s="950">
        <v>2</v>
      </c>
      <c r="R98" s="951">
        <v>0.13435329038777316</v>
      </c>
      <c r="S98" s="942"/>
      <c r="T98" s="952">
        <v>79</v>
      </c>
      <c r="U98" s="953">
        <v>10</v>
      </c>
      <c r="W98" s="937"/>
      <c r="X98" s="937"/>
      <c r="Y98" s="937"/>
      <c r="AA98" s="946"/>
      <c r="AB98" s="946"/>
      <c r="AC98" s="946"/>
    </row>
    <row r="99" spans="3:29" x14ac:dyDescent="0.2">
      <c r="C99" s="958">
        <v>2023</v>
      </c>
      <c r="D99" s="940">
        <v>6</v>
      </c>
      <c r="E99" s="950">
        <v>1</v>
      </c>
      <c r="F99" s="956">
        <v>0.13435329038777316</v>
      </c>
      <c r="G99" s="942"/>
      <c r="H99" s="940">
        <v>0</v>
      </c>
      <c r="I99" s="950">
        <v>0</v>
      </c>
      <c r="J99" s="951">
        <v>0.13435329038777316</v>
      </c>
      <c r="K99" s="942"/>
      <c r="L99" s="940">
        <v>5</v>
      </c>
      <c r="M99" s="950">
        <v>1</v>
      </c>
      <c r="N99" s="951">
        <v>0.13435329038777316</v>
      </c>
      <c r="O99" s="942"/>
      <c r="P99" s="940">
        <v>14</v>
      </c>
      <c r="Q99" s="950">
        <v>2</v>
      </c>
      <c r="R99" s="951">
        <v>0.13435329038777316</v>
      </c>
      <c r="S99" s="942"/>
      <c r="T99" s="952">
        <v>25</v>
      </c>
      <c r="U99" s="953">
        <v>4</v>
      </c>
      <c r="W99" s="937"/>
      <c r="X99" s="937"/>
      <c r="Y99" s="937"/>
      <c r="AA99" s="946"/>
      <c r="AB99" s="946"/>
      <c r="AC99" s="946"/>
    </row>
    <row r="100" spans="3:29" x14ac:dyDescent="0.2">
      <c r="C100" s="958">
        <v>2024</v>
      </c>
      <c r="D100" s="940">
        <v>27</v>
      </c>
      <c r="E100" s="950">
        <v>4</v>
      </c>
      <c r="F100" s="956">
        <f t="shared" si="18"/>
        <v>0.13435329038777316</v>
      </c>
      <c r="G100" s="942"/>
      <c r="H100" s="940">
        <v>43</v>
      </c>
      <c r="I100" s="950">
        <v>6</v>
      </c>
      <c r="J100" s="951">
        <f>$F100</f>
        <v>0.13435329038777316</v>
      </c>
      <c r="K100" s="942"/>
      <c r="L100" s="940">
        <v>150</v>
      </c>
      <c r="M100" s="950">
        <v>20</v>
      </c>
      <c r="N100" s="951">
        <f>$F100</f>
        <v>0.13435329038777316</v>
      </c>
      <c r="O100" s="942"/>
      <c r="P100" s="940">
        <v>134</v>
      </c>
      <c r="Q100" s="950">
        <v>18</v>
      </c>
      <c r="R100" s="951">
        <f>$F100</f>
        <v>0.13435329038777316</v>
      </c>
      <c r="S100" s="942"/>
      <c r="T100" s="952">
        <f>SUM(P100,L100,H100,D100)</f>
        <v>354</v>
      </c>
      <c r="U100" s="953">
        <f>SUM(Q100,M100,I100,E100)</f>
        <v>48</v>
      </c>
      <c r="W100" s="937"/>
      <c r="X100" s="937"/>
      <c r="Y100" s="937"/>
      <c r="AA100" s="946"/>
      <c r="AB100" s="946"/>
      <c r="AC100" s="946"/>
    </row>
    <row r="101" spans="3:29" x14ac:dyDescent="0.2">
      <c r="C101" s="958">
        <v>2025</v>
      </c>
      <c r="D101" s="948">
        <f>[2]ST!AO23</f>
        <v>52</v>
      </c>
      <c r="E101" s="954">
        <f>ROUND(F101*D101,0)</f>
        <v>7</v>
      </c>
      <c r="F101" s="951">
        <f t="shared" si="18"/>
        <v>0.13435329038777316</v>
      </c>
      <c r="G101" s="942"/>
      <c r="H101" s="948">
        <f>[2]ST!AP23</f>
        <v>51.023809523809526</v>
      </c>
      <c r="I101" s="954">
        <f>ROUND(J101*H101,0)</f>
        <v>7</v>
      </c>
      <c r="J101" s="951">
        <f>$F101</f>
        <v>0.13435329038777316</v>
      </c>
      <c r="K101" s="942"/>
      <c r="L101" s="948">
        <f>[2]ST!AQ23</f>
        <v>230.57142857142856</v>
      </c>
      <c r="M101" s="954">
        <f>ROUND(N101*L101,0)</f>
        <v>31</v>
      </c>
      <c r="N101" s="951">
        <f>$F101</f>
        <v>0.13435329038777316</v>
      </c>
      <c r="O101" s="942"/>
      <c r="P101" s="948">
        <f>[2]ST!AR23</f>
        <v>156.45238095238096</v>
      </c>
      <c r="Q101" s="954">
        <f>ROUND(R101*P101,0)</f>
        <v>21</v>
      </c>
      <c r="R101" s="951">
        <f>$F101</f>
        <v>0.13435329038777316</v>
      </c>
      <c r="S101" s="942"/>
      <c r="T101" s="948">
        <f>SUM(P101,L101,H101,D101)</f>
        <v>490.04761904761904</v>
      </c>
      <c r="U101" s="957">
        <f>SUM(Q101,M101,I101,E101)</f>
        <v>66</v>
      </c>
      <c r="W101" s="937"/>
      <c r="X101" s="937"/>
      <c r="Y101" s="937"/>
      <c r="AA101" s="946"/>
      <c r="AB101" s="946"/>
      <c r="AC101" s="946"/>
    </row>
    <row r="103" spans="3:29" x14ac:dyDescent="0.2">
      <c r="C103" s="935" t="s">
        <v>645</v>
      </c>
      <c r="D103" s="936">
        <v>50</v>
      </c>
      <c r="E103" s="936">
        <v>6</v>
      </c>
      <c r="F103" s="941">
        <f>E103/D103</f>
        <v>0.12</v>
      </c>
      <c r="H103" s="936">
        <v>50</v>
      </c>
      <c r="I103" s="936">
        <v>6</v>
      </c>
      <c r="J103" s="941">
        <f>I103/H103</f>
        <v>0.12</v>
      </c>
      <c r="L103" s="936">
        <v>80</v>
      </c>
      <c r="M103" s="936">
        <v>12</v>
      </c>
      <c r="N103" s="941">
        <f>M103/L103</f>
        <v>0.15</v>
      </c>
      <c r="P103" s="936">
        <v>130</v>
      </c>
      <c r="Q103" s="936">
        <v>16</v>
      </c>
      <c r="R103" s="941">
        <f>Q103/P103</f>
        <v>0.12307692307692308</v>
      </c>
      <c r="T103" s="936">
        <f>ROUND(AVERAGE(T76:T102),-1)</f>
        <v>320</v>
      </c>
      <c r="U103" s="936">
        <f>ROUND(AVERAGE(U76:U102),0)</f>
        <v>32</v>
      </c>
      <c r="V103" s="941">
        <f>U103/T103</f>
        <v>0.1</v>
      </c>
    </row>
  </sheetData>
  <mergeCells count="15">
    <mergeCell ref="D40:F40"/>
    <mergeCell ref="H40:J40"/>
    <mergeCell ref="L40:N40"/>
    <mergeCell ref="P40:R40"/>
    <mergeCell ref="T40:U40"/>
    <mergeCell ref="D3:F3"/>
    <mergeCell ref="H3:J3"/>
    <mergeCell ref="L3:N3"/>
    <mergeCell ref="P3:R3"/>
    <mergeCell ref="T3:U3"/>
    <mergeCell ref="D74:F74"/>
    <mergeCell ref="H74:J74"/>
    <mergeCell ref="L74:N74"/>
    <mergeCell ref="P74:R74"/>
    <mergeCell ref="T74:U74"/>
  </mergeCells>
  <pageMargins left="0.7" right="0.7" top="0.75" bottom="0.75" header="0.3" footer="0.3"/>
  <headerFooter>
    <oddHeader>&amp;R&amp;"Calibri"&amp;12&amp;K000000 Unclassified - Non-Classifié&amp;1#_x000D_</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35DEC-ED06-416E-8AF1-33D95E1E264E}">
  <sheetPr>
    <tabColor rgb="FFFFFF00"/>
  </sheetPr>
  <dimension ref="A1:CR65"/>
  <sheetViews>
    <sheetView showGridLines="0" workbookViewId="0">
      <pane xSplit="2" ySplit="6" topLeftCell="C25" activePane="bottomRight" state="frozen"/>
      <selection activeCell="C49" sqref="C49:E49"/>
      <selection pane="topRight" activeCell="C49" sqref="C49:E49"/>
      <selection pane="bottomLeft" activeCell="C49" sqref="C49:E49"/>
      <selection pane="bottomRight" activeCell="T29" sqref="T29"/>
    </sheetView>
  </sheetViews>
  <sheetFormatPr defaultColWidth="9.42578125" defaultRowHeight="15" x14ac:dyDescent="0.25"/>
  <cols>
    <col min="1" max="1" width="5.5703125" style="148" customWidth="1"/>
    <col min="2" max="2" width="0.85546875" style="148" customWidth="1"/>
    <col min="3" max="3" width="9.42578125" style="148"/>
    <col min="4" max="4" width="1" style="148" customWidth="1"/>
    <col min="5" max="5" width="4.42578125" style="148" customWidth="1"/>
    <col min="6" max="6" width="5.85546875" style="148" bestFit="1" customWidth="1"/>
    <col min="7" max="7" width="6.85546875" style="148" bestFit="1" customWidth="1"/>
    <col min="8" max="8" width="6.85546875" style="148" customWidth="1"/>
    <col min="9" max="9" width="0.85546875" style="148" customWidth="1"/>
    <col min="10" max="10" width="9.42578125" style="148"/>
    <col min="11" max="11" width="7.42578125" style="148" bestFit="1" customWidth="1"/>
    <col min="12" max="14" width="7.42578125" style="148" hidden="1" customWidth="1"/>
    <col min="15" max="15" width="1" style="148" customWidth="1"/>
    <col min="16" max="16" width="7.7109375" style="148" customWidth="1"/>
    <col min="17" max="17" width="1.85546875" style="148" customWidth="1"/>
    <col min="18" max="18" width="6.85546875" style="148" customWidth="1"/>
    <col min="19" max="19" width="6.85546875" style="148" bestFit="1" customWidth="1"/>
    <col min="20" max="20" width="9.42578125" style="148"/>
    <col min="21" max="21" width="1" style="148" customWidth="1"/>
    <col min="22" max="22" width="7.7109375" style="148" bestFit="1" customWidth="1"/>
    <col min="23" max="23" width="0.85546875" style="148" customWidth="1"/>
    <col min="24" max="24" width="4.5703125" style="148" customWidth="1"/>
    <col min="25" max="25" width="5.85546875" style="148" bestFit="1" customWidth="1"/>
    <col min="26" max="27" width="6.85546875" style="148" bestFit="1" customWidth="1"/>
    <col min="28" max="28" width="1" style="148" customWidth="1"/>
    <col min="29" max="29" width="7" style="148" customWidth="1"/>
    <col min="30" max="30" width="7.42578125" style="148" customWidth="1"/>
    <col min="31" max="31" width="8.85546875" style="148" customWidth="1"/>
    <col min="32" max="32" width="1" style="148" customWidth="1"/>
    <col min="33" max="33" width="9.42578125" style="148"/>
    <col min="34" max="34" width="8.42578125" style="148" customWidth="1"/>
    <col min="35" max="35" width="6.85546875" style="148" bestFit="1" customWidth="1"/>
    <col min="36" max="42" width="11.140625" style="148" customWidth="1"/>
    <col min="43" max="43" width="11.140625" style="163" customWidth="1"/>
    <col min="44" max="44" width="9.42578125" style="148"/>
    <col min="45" max="45" width="4.85546875" style="148" bestFit="1" customWidth="1"/>
    <col min="46" max="46" width="13.140625" style="148" customWidth="1"/>
    <col min="47" max="47" width="9.42578125" style="148"/>
    <col min="48" max="48" width="13.140625" style="148" customWidth="1"/>
    <col min="49" max="62" width="9.42578125" style="148"/>
    <col min="63" max="63" width="3.85546875" style="148" customWidth="1"/>
    <col min="64" max="67" width="9.42578125" style="148"/>
    <col min="68" max="68" width="1.85546875" style="148" customWidth="1"/>
    <col min="69" max="69" width="9.42578125" style="148"/>
    <col min="70" max="70" width="4.42578125" style="148" customWidth="1"/>
    <col min="71" max="73" width="9.42578125" style="148"/>
    <col min="74" max="74" width="3.42578125" style="148" customWidth="1"/>
    <col min="75" max="77" width="9.42578125" style="148"/>
    <col min="78" max="78" width="3.42578125" style="148" customWidth="1"/>
    <col min="79" max="79" width="9.42578125" style="148"/>
    <col min="80" max="80" width="3.42578125" style="148" customWidth="1"/>
    <col min="81" max="84" width="9.42578125" style="148"/>
    <col min="85" max="85" width="3.140625" style="148" customWidth="1"/>
    <col min="86" max="88" width="9.42578125" style="148"/>
    <col min="89" max="89" width="4.140625" style="148" hidden="1" customWidth="1"/>
    <col min="90" max="90" width="8.42578125" style="148" hidden="1" customWidth="1"/>
    <col min="91" max="91" width="8.5703125" style="148" hidden="1" customWidth="1"/>
    <col min="92" max="92" width="8.140625" style="148" hidden="1" customWidth="1"/>
    <col min="93" max="16384" width="9.42578125" style="148"/>
  </cols>
  <sheetData>
    <row r="1" spans="1:96" ht="15.75" customHeight="1" x14ac:dyDescent="0.25">
      <c r="A1" s="147"/>
      <c r="B1" s="147"/>
      <c r="C1" s="148" t="s">
        <v>153</v>
      </c>
      <c r="E1" s="149"/>
      <c r="F1" s="149"/>
      <c r="G1" s="149"/>
      <c r="H1" s="149"/>
      <c r="I1" s="149"/>
      <c r="J1" s="149"/>
      <c r="K1" s="149"/>
      <c r="L1" s="149"/>
      <c r="M1" s="149"/>
      <c r="N1" s="149"/>
      <c r="O1" s="149"/>
      <c r="P1" s="149"/>
      <c r="Q1" s="149"/>
      <c r="R1" s="149"/>
      <c r="S1" s="149"/>
      <c r="T1" s="149"/>
      <c r="U1" s="149"/>
      <c r="V1" s="149"/>
      <c r="W1" s="149"/>
      <c r="X1" s="149"/>
      <c r="Y1" s="149"/>
      <c r="Z1" s="149"/>
      <c r="AA1" s="149"/>
      <c r="AB1" s="149"/>
      <c r="AD1" s="150"/>
      <c r="AE1" s="150"/>
      <c r="AF1" s="150"/>
      <c r="AG1" s="150"/>
      <c r="AJ1" s="151"/>
      <c r="AK1" s="151"/>
      <c r="AL1" s="151"/>
      <c r="AM1" s="150" t="s">
        <v>154</v>
      </c>
      <c r="AN1" s="151"/>
      <c r="AO1" s="151"/>
      <c r="AP1" s="151"/>
      <c r="AQ1" s="152"/>
      <c r="AR1" s="151"/>
      <c r="AS1" s="151"/>
      <c r="BI1" s="148" t="s">
        <v>155</v>
      </c>
    </row>
    <row r="2" spans="1:96" ht="15.75" customHeight="1" x14ac:dyDescent="0.25">
      <c r="A2" s="153" t="s">
        <v>156</v>
      </c>
      <c r="B2" s="154"/>
      <c r="C2" s="155"/>
      <c r="D2" s="156"/>
      <c r="E2" s="156"/>
      <c r="F2" s="156"/>
      <c r="G2" s="156"/>
      <c r="H2" s="156"/>
      <c r="I2" s="156"/>
      <c r="J2" s="156"/>
      <c r="K2" s="156"/>
      <c r="L2" s="156"/>
      <c r="M2" s="156"/>
      <c r="N2" s="156"/>
      <c r="O2" s="156"/>
      <c r="P2" s="156"/>
      <c r="Q2" s="156"/>
      <c r="R2" s="156"/>
      <c r="S2" s="149"/>
      <c r="T2" s="149"/>
      <c r="U2" s="149"/>
      <c r="V2" s="149"/>
      <c r="W2" s="149"/>
      <c r="X2" s="149"/>
      <c r="Y2" s="149"/>
      <c r="Z2" s="149"/>
      <c r="AA2" s="149"/>
      <c r="AB2" s="149"/>
      <c r="AD2" s="150"/>
      <c r="AE2" s="150"/>
      <c r="AF2" s="150"/>
      <c r="AG2" s="157"/>
      <c r="AH2" s="158"/>
      <c r="AI2" s="158"/>
      <c r="AJ2" s="159"/>
      <c r="AK2" s="159"/>
      <c r="AL2" s="159"/>
      <c r="AM2" s="159"/>
      <c r="AN2" s="159"/>
      <c r="AO2" s="159"/>
      <c r="AP2" s="159"/>
      <c r="AQ2" s="160"/>
      <c r="AR2" s="159"/>
      <c r="AS2" s="159"/>
    </row>
    <row r="3" spans="1:96" x14ac:dyDescent="0.25">
      <c r="B3" s="161"/>
      <c r="C3" s="161"/>
      <c r="D3" s="161"/>
      <c r="E3" s="161"/>
      <c r="F3" s="161"/>
      <c r="G3" s="161"/>
      <c r="H3" s="161"/>
      <c r="I3" s="161"/>
      <c r="J3" s="161"/>
      <c r="K3" s="161"/>
      <c r="L3" s="161"/>
      <c r="M3" s="161"/>
      <c r="N3" s="161"/>
      <c r="O3" s="161"/>
      <c r="P3" s="161"/>
      <c r="Q3" s="161"/>
      <c r="R3" s="161"/>
      <c r="S3" s="161"/>
      <c r="T3" s="161"/>
      <c r="U3" s="161"/>
      <c r="V3" s="161"/>
      <c r="W3" s="161"/>
      <c r="X3" s="161"/>
      <c r="Y3" s="161"/>
      <c r="Z3" s="161"/>
      <c r="AA3" s="161"/>
      <c r="AB3" s="161"/>
      <c r="AC3" s="161"/>
      <c r="AD3" s="161"/>
      <c r="AE3" s="161"/>
      <c r="AF3" s="162"/>
      <c r="AG3" s="162"/>
      <c r="AH3" s="161"/>
      <c r="AI3" s="161"/>
    </row>
    <row r="4" spans="1:96" x14ac:dyDescent="0.25">
      <c r="A4" s="164"/>
      <c r="B4" s="164"/>
      <c r="C4" s="996" t="s">
        <v>18</v>
      </c>
      <c r="D4" s="996"/>
      <c r="E4" s="996"/>
      <c r="F4" s="996"/>
      <c r="G4" s="996"/>
      <c r="H4" s="996"/>
      <c r="I4" s="996"/>
      <c r="J4" s="996"/>
      <c r="K4" s="996"/>
      <c r="L4" s="165"/>
      <c r="M4" s="165"/>
      <c r="N4" s="165"/>
      <c r="O4" s="164"/>
      <c r="P4" s="996" t="s">
        <v>19</v>
      </c>
      <c r="Q4" s="996"/>
      <c r="R4" s="996"/>
      <c r="S4" s="996"/>
      <c r="T4" s="996"/>
      <c r="U4" s="164"/>
      <c r="V4" s="996" t="s">
        <v>20</v>
      </c>
      <c r="W4" s="996"/>
      <c r="X4" s="996"/>
      <c r="Y4" s="996"/>
      <c r="Z4" s="996"/>
      <c r="AA4" s="996"/>
      <c r="AB4" s="996"/>
      <c r="AC4" s="996"/>
      <c r="AD4" s="996"/>
      <c r="AE4" s="996"/>
      <c r="AF4" s="166"/>
      <c r="AG4" s="166"/>
      <c r="AH4" s="997" t="s">
        <v>157</v>
      </c>
      <c r="AI4" s="997" t="s">
        <v>158</v>
      </c>
      <c r="AJ4" s="1000" t="s">
        <v>159</v>
      </c>
      <c r="AK4" s="168"/>
      <c r="AL4" s="168"/>
      <c r="AM4" s="168"/>
      <c r="AN4" s="168"/>
      <c r="AO4" s="168"/>
      <c r="AP4" s="168" t="s">
        <v>160</v>
      </c>
      <c r="AQ4" s="169"/>
      <c r="AY4" s="148" t="s">
        <v>161</v>
      </c>
      <c r="BI4" s="170"/>
      <c r="BJ4" s="170" t="s">
        <v>18</v>
      </c>
      <c r="BK4" s="170"/>
      <c r="BL4" s="170"/>
      <c r="BM4" s="170"/>
      <c r="BN4" s="170"/>
      <c r="BO4" s="170"/>
      <c r="BP4" s="170"/>
      <c r="BQ4" s="170"/>
      <c r="BR4" s="170"/>
      <c r="BS4" s="170"/>
      <c r="BT4" s="170"/>
      <c r="BU4" s="170" t="s">
        <v>19</v>
      </c>
      <c r="BV4" s="170"/>
      <c r="BW4" s="170"/>
      <c r="BX4" s="170"/>
      <c r="BY4" s="170"/>
      <c r="BZ4" s="170"/>
      <c r="CA4" s="170" t="s">
        <v>20</v>
      </c>
      <c r="CB4" s="170"/>
      <c r="CC4" s="170"/>
      <c r="CD4" s="170"/>
      <c r="CE4" s="170"/>
      <c r="CF4" s="170"/>
      <c r="CG4" s="170"/>
      <c r="CH4" s="170"/>
      <c r="CI4" s="170"/>
      <c r="CJ4" s="170"/>
      <c r="CK4" s="170"/>
      <c r="CL4" s="170"/>
      <c r="CM4" s="170"/>
      <c r="CN4" s="170"/>
      <c r="CO4" s="170"/>
      <c r="CP4" s="170" t="s">
        <v>162</v>
      </c>
      <c r="CQ4" s="170" t="s">
        <v>163</v>
      </c>
    </row>
    <row r="5" spans="1:96" ht="20.25" customHeight="1" x14ac:dyDescent="0.25">
      <c r="A5" s="171"/>
      <c r="B5" s="171"/>
      <c r="C5" s="1003" t="s">
        <v>164</v>
      </c>
      <c r="D5" s="171"/>
      <c r="E5" s="1005" t="s">
        <v>165</v>
      </c>
      <c r="F5" s="1005"/>
      <c r="G5" s="1005"/>
      <c r="H5" s="1005"/>
      <c r="I5" s="171"/>
      <c r="J5" s="1003" t="s">
        <v>166</v>
      </c>
      <c r="K5" s="997" t="s">
        <v>167</v>
      </c>
      <c r="L5" s="173"/>
      <c r="M5" s="173"/>
      <c r="N5" s="173"/>
      <c r="O5" s="171"/>
      <c r="P5" s="171"/>
      <c r="Q5" s="171"/>
      <c r="R5" s="996" t="s">
        <v>165</v>
      </c>
      <c r="S5" s="996"/>
      <c r="T5" s="996"/>
      <c r="U5" s="171"/>
      <c r="V5" s="997" t="s">
        <v>164</v>
      </c>
      <c r="W5" s="171"/>
      <c r="X5" s="996" t="s">
        <v>165</v>
      </c>
      <c r="Y5" s="996"/>
      <c r="Z5" s="996"/>
      <c r="AA5" s="996"/>
      <c r="AB5" s="171"/>
      <c r="AC5" s="996" t="s">
        <v>168</v>
      </c>
      <c r="AD5" s="996"/>
      <c r="AE5" s="996"/>
      <c r="AF5" s="171"/>
      <c r="AG5" s="998" t="s">
        <v>169</v>
      </c>
      <c r="AH5" s="998"/>
      <c r="AI5" s="998"/>
      <c r="AJ5" s="1001"/>
      <c r="AK5" s="168"/>
      <c r="AL5" s="168"/>
      <c r="AM5" s="168"/>
      <c r="AN5" s="168"/>
      <c r="AO5" s="168"/>
      <c r="AP5" s="168" t="s">
        <v>38</v>
      </c>
      <c r="AQ5" s="169"/>
      <c r="AY5" s="148" t="s">
        <v>170</v>
      </c>
      <c r="BD5" s="148" t="s">
        <v>171</v>
      </c>
      <c r="BI5" s="170"/>
      <c r="BJ5" s="170" t="s">
        <v>172</v>
      </c>
      <c r="BK5" s="170"/>
      <c r="BL5" s="170" t="s">
        <v>25</v>
      </c>
      <c r="BM5" s="170"/>
      <c r="BN5" s="170"/>
      <c r="BO5" s="170"/>
      <c r="BP5" s="170"/>
      <c r="BQ5" s="170" t="s">
        <v>173</v>
      </c>
      <c r="BR5" s="170"/>
      <c r="BS5" s="170"/>
      <c r="BT5" s="170"/>
      <c r="BU5" s="170"/>
      <c r="BV5" s="170"/>
      <c r="BW5" s="170" t="s">
        <v>25</v>
      </c>
      <c r="BX5" s="170"/>
      <c r="BY5" s="170"/>
      <c r="BZ5" s="170"/>
      <c r="CA5" s="170" t="s">
        <v>174</v>
      </c>
      <c r="CB5" s="170"/>
      <c r="CC5" s="170" t="s">
        <v>25</v>
      </c>
      <c r="CD5" s="170"/>
      <c r="CE5" s="170"/>
      <c r="CF5" s="170"/>
      <c r="CG5" s="170"/>
      <c r="CH5" s="170" t="s">
        <v>175</v>
      </c>
      <c r="CI5" s="170"/>
      <c r="CJ5" s="170"/>
      <c r="CK5" s="170"/>
      <c r="CL5" s="170" t="s">
        <v>29</v>
      </c>
      <c r="CM5" s="170"/>
      <c r="CN5" s="170"/>
      <c r="CO5" s="170" t="s">
        <v>176</v>
      </c>
      <c r="CP5" s="170"/>
      <c r="CQ5" s="170"/>
    </row>
    <row r="6" spans="1:96" ht="20.25" customHeight="1" x14ac:dyDescent="0.25">
      <c r="A6" s="172" t="s">
        <v>36</v>
      </c>
      <c r="B6" s="172"/>
      <c r="C6" s="1004"/>
      <c r="D6" s="174"/>
      <c r="E6" s="174" t="s">
        <v>177</v>
      </c>
      <c r="F6" s="174" t="s">
        <v>49</v>
      </c>
      <c r="G6" s="172" t="s">
        <v>51</v>
      </c>
      <c r="H6" s="172" t="s">
        <v>43</v>
      </c>
      <c r="I6" s="172"/>
      <c r="J6" s="1004"/>
      <c r="K6" s="999"/>
      <c r="L6" s="174" t="s">
        <v>178</v>
      </c>
      <c r="M6" s="174" t="s">
        <v>179</v>
      </c>
      <c r="N6" s="174" t="s">
        <v>180</v>
      </c>
      <c r="O6" s="174"/>
      <c r="P6" s="172" t="s">
        <v>164</v>
      </c>
      <c r="Q6" s="172"/>
      <c r="R6" s="174" t="s">
        <v>49</v>
      </c>
      <c r="S6" s="172" t="s">
        <v>51</v>
      </c>
      <c r="T6" s="172" t="s">
        <v>43</v>
      </c>
      <c r="U6" s="172"/>
      <c r="V6" s="999"/>
      <c r="W6" s="172"/>
      <c r="X6" s="174" t="s">
        <v>177</v>
      </c>
      <c r="Y6" s="174" t="s">
        <v>49</v>
      </c>
      <c r="Z6" s="172" t="s">
        <v>51</v>
      </c>
      <c r="AA6" s="172" t="s">
        <v>43</v>
      </c>
      <c r="AB6" s="172"/>
      <c r="AC6" s="172" t="s">
        <v>48</v>
      </c>
      <c r="AD6" s="172" t="s">
        <v>49</v>
      </c>
      <c r="AE6" s="172" t="s">
        <v>43</v>
      </c>
      <c r="AF6" s="172"/>
      <c r="AG6" s="999"/>
      <c r="AH6" s="999"/>
      <c r="AI6" s="999"/>
      <c r="AJ6" s="1002"/>
      <c r="AK6" s="168"/>
      <c r="AL6" s="168" t="s">
        <v>181</v>
      </c>
      <c r="AM6" s="168" t="s">
        <v>182</v>
      </c>
      <c r="AN6" s="175" t="s">
        <v>56</v>
      </c>
      <c r="AO6" s="168"/>
      <c r="AP6" s="176" t="s">
        <v>164</v>
      </c>
      <c r="AQ6" s="169" t="s">
        <v>183</v>
      </c>
      <c r="AR6" s="163" t="s">
        <v>56</v>
      </c>
      <c r="AS6" s="163" t="s">
        <v>184</v>
      </c>
      <c r="AT6" s="163" t="s">
        <v>185</v>
      </c>
      <c r="AU6" s="163" t="s">
        <v>186</v>
      </c>
      <c r="AV6" s="163" t="s">
        <v>187</v>
      </c>
      <c r="AW6" s="163"/>
      <c r="AY6" s="148" t="s">
        <v>124</v>
      </c>
      <c r="AZ6" s="148" t="s">
        <v>105</v>
      </c>
      <c r="BA6" s="148" t="s">
        <v>62</v>
      </c>
      <c r="BB6" s="148" t="s">
        <v>63</v>
      </c>
      <c r="BD6" s="148" t="s">
        <v>124</v>
      </c>
      <c r="BE6" s="148" t="s">
        <v>105</v>
      </c>
      <c r="BF6" s="148" t="s">
        <v>62</v>
      </c>
      <c r="BG6" s="148" t="s">
        <v>63</v>
      </c>
      <c r="BI6" s="170" t="s">
        <v>36</v>
      </c>
      <c r="BJ6" s="170"/>
      <c r="BK6" s="170"/>
      <c r="BL6" s="170" t="s">
        <v>188</v>
      </c>
      <c r="BM6" s="170" t="s">
        <v>189</v>
      </c>
      <c r="BN6" s="170" t="s">
        <v>190</v>
      </c>
      <c r="BO6" s="170" t="s">
        <v>43</v>
      </c>
      <c r="BP6" s="170"/>
      <c r="BQ6" s="170"/>
      <c r="BR6" s="170"/>
      <c r="BS6" s="170" t="s">
        <v>191</v>
      </c>
      <c r="BT6" s="170" t="s">
        <v>46</v>
      </c>
      <c r="BU6" s="170" t="s">
        <v>192</v>
      </c>
      <c r="BV6" s="170"/>
      <c r="BW6" s="170" t="s">
        <v>189</v>
      </c>
      <c r="BX6" s="170" t="s">
        <v>190</v>
      </c>
      <c r="BY6" s="170" t="s">
        <v>43</v>
      </c>
      <c r="BZ6" s="170"/>
      <c r="CA6" s="170"/>
      <c r="CB6" s="170"/>
      <c r="CC6" s="170" t="s">
        <v>188</v>
      </c>
      <c r="CD6" s="170" t="s">
        <v>189</v>
      </c>
      <c r="CE6" s="170" t="s">
        <v>190</v>
      </c>
      <c r="CF6" s="170" t="s">
        <v>43</v>
      </c>
      <c r="CG6" s="170"/>
      <c r="CH6" s="170" t="s">
        <v>48</v>
      </c>
      <c r="CI6" s="170" t="s">
        <v>49</v>
      </c>
      <c r="CJ6" s="170" t="s">
        <v>43</v>
      </c>
      <c r="CK6" s="170"/>
      <c r="CL6" s="170" t="s">
        <v>50</v>
      </c>
      <c r="CM6" s="170" t="s">
        <v>49</v>
      </c>
      <c r="CN6" s="170" t="s">
        <v>51</v>
      </c>
      <c r="CO6" s="170"/>
      <c r="CP6" s="170"/>
      <c r="CQ6" s="170"/>
    </row>
    <row r="7" spans="1:96" x14ac:dyDescent="0.25">
      <c r="A7" s="995">
        <v>1992</v>
      </c>
      <c r="B7" s="995"/>
      <c r="C7" s="178">
        <f>'A6-Chin (NEW2+Khutz)'!C13</f>
        <v>16808</v>
      </c>
      <c r="D7" s="179"/>
      <c r="E7" s="180">
        <f>'A6-Chin (NEW2+Khutz)'!G13</f>
        <v>612</v>
      </c>
      <c r="F7" s="180">
        <f>'A6-Chin (NEW2+Khutz)'!H13</f>
        <v>1339</v>
      </c>
      <c r="G7" s="180">
        <f>'A6-Chin (NEW2+Khutz)'!I13</f>
        <v>1308.1727757851456</v>
      </c>
      <c r="H7" s="180">
        <f>SUM(E7:G7)</f>
        <v>3259.1727757851459</v>
      </c>
      <c r="I7" s="179"/>
      <c r="J7" s="178">
        <f>'A6-Chin (NEW2+Khutz)'!L13</f>
        <v>20067.172775785148</v>
      </c>
      <c r="K7" s="181">
        <f t="shared" ref="K7:K39" si="0">H7/J7 * 100</f>
        <v>16.241315167814552</v>
      </c>
      <c r="L7" s="182">
        <v>0.18777770989835516</v>
      </c>
      <c r="M7" s="182">
        <v>0.4108404469834927</v>
      </c>
      <c r="N7" s="182">
        <v>0.40138184311815206</v>
      </c>
      <c r="O7" s="182"/>
      <c r="P7" s="180">
        <f>'A6-Chin (NEW2+Khutz)'!P13</f>
        <v>2053.3284350514323</v>
      </c>
      <c r="Q7" s="179"/>
      <c r="R7" s="183" t="str">
        <f>'A6-Chin (NEW2+Khutz)'!R13</f>
        <v>UNK</v>
      </c>
      <c r="S7" s="180">
        <f>'A6-Chin (NEW2+Khutz)'!S13</f>
        <v>5750.8272242148541</v>
      </c>
      <c r="T7" s="180">
        <f t="shared" ref="T7:T39" si="1">SUM(R7:S7)</f>
        <v>5750.8272242148541</v>
      </c>
      <c r="U7" s="179"/>
      <c r="V7" s="180">
        <f t="shared" ref="V7:V39" si="2">SUM(P7,C7)</f>
        <v>18861.328435051433</v>
      </c>
      <c r="W7" s="179"/>
      <c r="X7" s="180">
        <f>E7</f>
        <v>612</v>
      </c>
      <c r="Y7" s="180">
        <f>SUM(R7,F7)</f>
        <v>1339</v>
      </c>
      <c r="Z7" s="180">
        <f>SUM(S7,G7)</f>
        <v>7059</v>
      </c>
      <c r="AA7" s="180">
        <f>SUM(X7:Z7)</f>
        <v>9010</v>
      </c>
      <c r="AB7" s="179"/>
      <c r="AC7" s="180">
        <f>'A6-Chin (NEW2+Khutz)'!AC13</f>
        <v>5464.5208808217485</v>
      </c>
      <c r="AD7" s="180">
        <f>'A6-Chin (NEW2+Khutz)'!AD13</f>
        <v>3207.1457858449157</v>
      </c>
      <c r="AE7" s="180">
        <f>SUM(AC7:AD7)</f>
        <v>8671.6666666666642</v>
      </c>
      <c r="AF7" s="180"/>
      <c r="AG7" s="180">
        <f>SUM(V7,AA7,AE7)</f>
        <v>36542.995101718101</v>
      </c>
      <c r="AH7" s="180">
        <f>'A6-Chin (NEW2+Khutz)'!AK13</f>
        <v>1700</v>
      </c>
      <c r="AI7" s="180">
        <f>SUM(AG7:AH7)</f>
        <v>38242.995101718101</v>
      </c>
      <c r="AJ7" s="184">
        <f t="shared" ref="AJ7:AJ38" si="3">SUM(AH7,AE7,AA7)/AI7*100</f>
        <v>50.680305282354645</v>
      </c>
      <c r="AK7" s="185"/>
      <c r="AL7" s="148">
        <f>RANK(C7,$C$7:$C$38,1)</f>
        <v>17</v>
      </c>
      <c r="AM7" s="186">
        <v>0.16241315167814552</v>
      </c>
      <c r="AN7" s="187">
        <v>0.5237406074835449</v>
      </c>
      <c r="AO7" s="186"/>
      <c r="AP7" s="188"/>
      <c r="AQ7" s="189">
        <f>AI7-'A6-Chin (NEW2+Khutz)'!AL13</f>
        <v>0</v>
      </c>
      <c r="AR7" s="163"/>
      <c r="AS7" s="163"/>
      <c r="AT7" s="190">
        <f t="shared" ref="AT7:AT32" si="4">G7/$H7</f>
        <v>0.40138184311815206</v>
      </c>
      <c r="AU7" s="190">
        <f t="shared" ref="AU7:AU32" si="5">F7/$H7</f>
        <v>0.4108404469834927</v>
      </c>
      <c r="AV7" s="190">
        <f t="shared" ref="AV7:AV32" si="6">E7/$H7</f>
        <v>0.18777770989835516</v>
      </c>
      <c r="AW7" s="163"/>
      <c r="AY7" s="191">
        <v>16808</v>
      </c>
      <c r="AZ7" s="191">
        <v>20067.172775785148</v>
      </c>
      <c r="BA7" s="191">
        <v>35397.166666666664</v>
      </c>
      <c r="BB7" s="191">
        <v>37197.166666666664</v>
      </c>
      <c r="BD7" s="191">
        <f>C7-AY7</f>
        <v>0</v>
      </c>
      <c r="BE7" s="191">
        <f>J7-AZ7</f>
        <v>0</v>
      </c>
      <c r="BF7" s="191">
        <f>AG7-BA7</f>
        <v>1145.8284350514368</v>
      </c>
      <c r="BG7" s="191">
        <f>AI7-BB7</f>
        <v>1045.8284350514368</v>
      </c>
      <c r="BI7" s="192">
        <v>1992</v>
      </c>
      <c r="BJ7" s="56">
        <v>16808</v>
      </c>
      <c r="BK7" s="47"/>
      <c r="BL7" s="56">
        <v>612</v>
      </c>
      <c r="BM7" s="56">
        <v>1339</v>
      </c>
      <c r="BN7" s="56">
        <v>1308.1727757851456</v>
      </c>
      <c r="BO7" s="56">
        <v>3259.1727757851459</v>
      </c>
      <c r="BP7" s="47"/>
      <c r="BQ7" s="56">
        <v>20067.172775785148</v>
      </c>
      <c r="BR7" s="47"/>
      <c r="BS7" s="56">
        <v>605</v>
      </c>
      <c r="BT7" s="193">
        <v>1.5</v>
      </c>
      <c r="BU7" s="56">
        <v>907.5</v>
      </c>
      <c r="BV7" s="47"/>
      <c r="BW7" s="47">
        <v>0</v>
      </c>
      <c r="BX7" s="56">
        <v>5750.8272242148541</v>
      </c>
      <c r="BY7" s="56">
        <v>5750.8272242148541</v>
      </c>
      <c r="BZ7" s="47"/>
      <c r="CA7" s="56">
        <v>17715.5</v>
      </c>
      <c r="CB7" s="47"/>
      <c r="CC7" s="56">
        <v>612</v>
      </c>
      <c r="CD7" s="56">
        <v>1339</v>
      </c>
      <c r="CE7" s="56">
        <v>7059</v>
      </c>
      <c r="CF7" s="56">
        <v>9010</v>
      </c>
      <c r="CG7" s="47"/>
      <c r="CH7" s="56">
        <v>5464.5208808217485</v>
      </c>
      <c r="CI7" s="56">
        <v>3207.1457858449157</v>
      </c>
      <c r="CJ7" s="56">
        <v>8671.6666666666642</v>
      </c>
      <c r="CK7" s="47"/>
      <c r="CL7" s="47"/>
      <c r="CM7" s="47"/>
      <c r="CN7" s="47"/>
      <c r="CO7" s="56">
        <v>35397.166666666664</v>
      </c>
      <c r="CP7" s="47">
        <v>700</v>
      </c>
      <c r="CQ7" s="56">
        <v>36097.166666666664</v>
      </c>
      <c r="CR7" s="191">
        <f>CQ7-AI7</f>
        <v>-2145.8284350514368</v>
      </c>
    </row>
    <row r="8" spans="1:96" x14ac:dyDescent="0.25">
      <c r="A8" s="995">
        <v>1993</v>
      </c>
      <c r="B8" s="995"/>
      <c r="C8" s="178">
        <f>'A6-Chin (NEW2+Khutz)'!C14</f>
        <v>24814</v>
      </c>
      <c r="D8" s="179"/>
      <c r="E8" s="180">
        <f>'A6-Chin (NEW2+Khutz)'!G14</f>
        <v>600</v>
      </c>
      <c r="F8" s="180">
        <f>'A6-Chin (NEW2+Khutz)'!H14</f>
        <v>983</v>
      </c>
      <c r="G8" s="180">
        <f>'A6-Chin (NEW2+Khutz)'!I14</f>
        <v>1526.1184498294112</v>
      </c>
      <c r="H8" s="180">
        <f t="shared" ref="H8:H40" si="7">SUM(E8:G8)</f>
        <v>3109.1184498294115</v>
      </c>
      <c r="I8" s="179"/>
      <c r="J8" s="178">
        <f>'A6-Chin (NEW2+Khutz)'!L14</f>
        <v>27923.11844982941</v>
      </c>
      <c r="K8" s="181">
        <f t="shared" si="0"/>
        <v>11.134567420955111</v>
      </c>
      <c r="L8" s="182">
        <v>0.19298074669137172</v>
      </c>
      <c r="M8" s="182">
        <v>0.31616678999603071</v>
      </c>
      <c r="N8" s="182">
        <v>0.49085246331259752</v>
      </c>
      <c r="O8" s="182"/>
      <c r="P8" s="180">
        <f>'A6-Chin (NEW2+Khutz)'!P14</f>
        <v>2293.2596022920402</v>
      </c>
      <c r="Q8" s="179"/>
      <c r="R8" s="183" t="str">
        <f>'A6-Chin (NEW2+Khutz)'!R14</f>
        <v>UNK</v>
      </c>
      <c r="S8" s="180">
        <f>'A6-Chin (NEW2+Khutz)'!S14</f>
        <v>4059.8815501705885</v>
      </c>
      <c r="T8" s="180">
        <f t="shared" si="1"/>
        <v>4059.8815501705885</v>
      </c>
      <c r="U8" s="179"/>
      <c r="V8" s="180">
        <f t="shared" si="2"/>
        <v>27107.259602292041</v>
      </c>
      <c r="W8" s="179"/>
      <c r="X8" s="180">
        <f t="shared" ref="X8:X40" si="8">E8</f>
        <v>600</v>
      </c>
      <c r="Y8" s="180">
        <f t="shared" ref="Y8:Z40" si="9">SUM(R8,F8)</f>
        <v>983</v>
      </c>
      <c r="Z8" s="180">
        <f t="shared" si="9"/>
        <v>5586</v>
      </c>
      <c r="AA8" s="180">
        <f t="shared" ref="AA8:AA40" si="10">SUM(X8:Z8)</f>
        <v>7169</v>
      </c>
      <c r="AB8" s="179"/>
      <c r="AC8" s="180">
        <f>'A6-Chin (NEW2+Khutz)'!AC14</f>
        <v>7809.3391238589656</v>
      </c>
      <c r="AD8" s="180">
        <f>'A6-Chin (NEW2+Khutz)'!AD14</f>
        <v>4583.3275428076986</v>
      </c>
      <c r="AE8" s="180">
        <f t="shared" ref="AE8:AE40" si="11">SUM(AC8:AD8)</f>
        <v>12392.666666666664</v>
      </c>
      <c r="AF8" s="180"/>
      <c r="AG8" s="180">
        <f t="shared" ref="AG8:AG40" si="12">SUM(V8,AA8,AE8)</f>
        <v>46668.926268958705</v>
      </c>
      <c r="AH8" s="180">
        <f>'A6-Chin (NEW2+Khutz)'!AK14</f>
        <v>2200</v>
      </c>
      <c r="AI8" s="180">
        <f t="shared" ref="AI8:AI40" si="13">SUM(AG8:AH8)</f>
        <v>48868.926268958705</v>
      </c>
      <c r="AJ8" s="184">
        <f t="shared" si="3"/>
        <v>44.530683049792245</v>
      </c>
      <c r="AK8" s="185"/>
      <c r="AL8" s="148">
        <f t="shared" ref="AL8:AL38" si="14">RANK(C8,$C$7:$C$38,1)</f>
        <v>28</v>
      </c>
      <c r="AM8" s="186">
        <v>0.11134567420955112</v>
      </c>
      <c r="AN8" s="187">
        <v>0.45817730615217672</v>
      </c>
      <c r="AO8" s="186"/>
      <c r="AP8" s="188">
        <v>16808</v>
      </c>
      <c r="AQ8" s="189">
        <f>AI8-'A6-Chin (NEW2+Khutz)'!AL14</f>
        <v>0</v>
      </c>
      <c r="AR8" s="190">
        <f t="shared" ref="AR8:AR30" si="15">(AA8+AE8+AH8)/AI8</f>
        <v>0.44530683049792247</v>
      </c>
      <c r="AS8" s="190">
        <f t="shared" ref="AS8:AS32" si="16">G8/J8</f>
        <v>5.4654298464960123E-2</v>
      </c>
      <c r="AT8" s="190">
        <f t="shared" si="4"/>
        <v>0.49085246331259752</v>
      </c>
      <c r="AU8" s="190">
        <f t="shared" si="5"/>
        <v>0.31616678999603071</v>
      </c>
      <c r="AV8" s="190">
        <f t="shared" si="6"/>
        <v>0.19298074669137172</v>
      </c>
      <c r="AW8" s="163">
        <f>SUM(AT7:AV7)</f>
        <v>0.99999999999999989</v>
      </c>
      <c r="AY8" s="191">
        <v>24814</v>
      </c>
      <c r="AZ8" s="191">
        <v>27923.11844982941</v>
      </c>
      <c r="BA8" s="191">
        <v>45414.424903021361</v>
      </c>
      <c r="BB8" s="191">
        <v>47714.424903021361</v>
      </c>
      <c r="BD8" s="191">
        <f t="shared" ref="BD8:BD38" si="17">C8-AY8</f>
        <v>0</v>
      </c>
      <c r="BE8" s="191">
        <f t="shared" ref="BE8:BE38" si="18">J8-AZ8</f>
        <v>0</v>
      </c>
      <c r="BF8" s="191">
        <f t="shared" ref="BF8:BF38" si="19">AG8-BA8</f>
        <v>1254.5013659373435</v>
      </c>
      <c r="BG8" s="191">
        <f t="shared" ref="BG8:BG38" si="20">AI8-BB8</f>
        <v>1154.5013659373435</v>
      </c>
      <c r="BI8" s="192">
        <v>1993</v>
      </c>
      <c r="BJ8" s="56">
        <v>24814</v>
      </c>
      <c r="BK8" s="47"/>
      <c r="BL8" s="56">
        <v>600</v>
      </c>
      <c r="BM8" s="56">
        <v>983</v>
      </c>
      <c r="BN8" s="56">
        <v>1526.1184498294112</v>
      </c>
      <c r="BO8" s="56">
        <v>3109.1184498294115</v>
      </c>
      <c r="BP8" s="47"/>
      <c r="BQ8" s="56">
        <v>27923.11844982941</v>
      </c>
      <c r="BR8" s="47"/>
      <c r="BS8" s="56">
        <v>692.50549090313064</v>
      </c>
      <c r="BT8" s="193">
        <v>1.5</v>
      </c>
      <c r="BU8" s="56">
        <v>1038.758236354696</v>
      </c>
      <c r="BV8" s="47"/>
      <c r="BW8" s="47">
        <v>0</v>
      </c>
      <c r="BX8" s="56">
        <v>4059.8815501705885</v>
      </c>
      <c r="BY8" s="56">
        <v>4059.8815501705885</v>
      </c>
      <c r="BZ8" s="47"/>
      <c r="CA8" s="56">
        <v>25852.758236354697</v>
      </c>
      <c r="CB8" s="47"/>
      <c r="CC8" s="56">
        <v>600</v>
      </c>
      <c r="CD8" s="56">
        <v>983</v>
      </c>
      <c r="CE8" s="56">
        <v>5586</v>
      </c>
      <c r="CF8" s="56">
        <v>7169</v>
      </c>
      <c r="CG8" s="47"/>
      <c r="CH8" s="56">
        <v>7809.3391238589656</v>
      </c>
      <c r="CI8" s="56">
        <v>4583.3275428076986</v>
      </c>
      <c r="CJ8" s="56">
        <v>12392.666666666664</v>
      </c>
      <c r="CK8" s="47"/>
      <c r="CL8" s="47"/>
      <c r="CM8" s="47"/>
      <c r="CN8" s="47"/>
      <c r="CO8" s="56">
        <v>45414.424903021361</v>
      </c>
      <c r="CP8" s="47">
        <v>700</v>
      </c>
      <c r="CQ8" s="56">
        <v>46114.424903021361</v>
      </c>
      <c r="CR8" s="191">
        <f t="shared" ref="CR8:CR30" si="21">CQ8-AI8</f>
        <v>-2754.5013659373435</v>
      </c>
    </row>
    <row r="9" spans="1:96" x14ac:dyDescent="0.25">
      <c r="A9" s="995">
        <v>1994</v>
      </c>
      <c r="B9" s="995"/>
      <c r="C9" s="178">
        <f>'A6-Chin (NEW2+Khutz)'!C15</f>
        <v>23639.335228763888</v>
      </c>
      <c r="D9" s="179"/>
      <c r="E9" s="180">
        <f>'A6-Chin (NEW2+Khutz)'!G15</f>
        <v>120</v>
      </c>
      <c r="F9" s="180">
        <f>'A6-Chin (NEW2+Khutz)'!H15</f>
        <v>893</v>
      </c>
      <c r="G9" s="180">
        <f>'A6-Chin (NEW2+Khutz)'!I15</f>
        <v>2097.6647712361123</v>
      </c>
      <c r="H9" s="180">
        <f t="shared" si="7"/>
        <v>3110.6647712361123</v>
      </c>
      <c r="I9" s="179"/>
      <c r="J9" s="178">
        <f>'A6-Chin (NEW2+Khutz)'!L15</f>
        <v>26750</v>
      </c>
      <c r="K9" s="181">
        <f t="shared" si="0"/>
        <v>11.628653350415373</v>
      </c>
      <c r="L9" s="182">
        <v>3.8576963068995232E-2</v>
      </c>
      <c r="M9" s="182">
        <v>0.28707690017177284</v>
      </c>
      <c r="N9" s="182">
        <v>0.67434613675923194</v>
      </c>
      <c r="O9" s="182"/>
      <c r="P9" s="180">
        <f>'A6-Chin (NEW2+Khutz)'!P15</f>
        <v>5777.6481465135384</v>
      </c>
      <c r="Q9" s="179"/>
      <c r="R9" s="183" t="str">
        <f>'A6-Chin (NEW2+Khutz)'!R15</f>
        <v>UNK</v>
      </c>
      <c r="S9" s="180">
        <f>'A6-Chin (NEW2+Khutz)'!S15</f>
        <v>4115.3352287638882</v>
      </c>
      <c r="T9" s="180">
        <f t="shared" si="1"/>
        <v>4115.3352287638882</v>
      </c>
      <c r="U9" s="179"/>
      <c r="V9" s="180">
        <f t="shared" si="2"/>
        <v>29416.983375277428</v>
      </c>
      <c r="W9" s="179"/>
      <c r="X9" s="180">
        <f t="shared" si="8"/>
        <v>120</v>
      </c>
      <c r="Y9" s="180">
        <f t="shared" si="9"/>
        <v>893</v>
      </c>
      <c r="Z9" s="180">
        <f t="shared" si="9"/>
        <v>6213</v>
      </c>
      <c r="AA9" s="180">
        <f t="shared" si="10"/>
        <v>7226</v>
      </c>
      <c r="AB9" s="179"/>
      <c r="AC9" s="180">
        <f>'A6-Chin (NEW2+Khutz)'!AC15</f>
        <v>6731.4709611830649</v>
      </c>
      <c r="AD9" s="180">
        <f>'A6-Chin (NEW2+Khutz)'!AD15</f>
        <v>3950.723072806556</v>
      </c>
      <c r="AE9" s="180">
        <f t="shared" si="11"/>
        <v>10682.194033989621</v>
      </c>
      <c r="AF9" s="180"/>
      <c r="AG9" s="180">
        <f t="shared" si="12"/>
        <v>47325.177409267053</v>
      </c>
      <c r="AH9" s="180">
        <f>'A6-Chin (NEW2+Khutz)'!AK15</f>
        <v>2200</v>
      </c>
      <c r="AI9" s="180">
        <f t="shared" si="13"/>
        <v>49525.177409267053</v>
      </c>
      <c r="AJ9" s="184">
        <f t="shared" si="3"/>
        <v>40.601962649864262</v>
      </c>
      <c r="AK9" s="185"/>
      <c r="AL9" s="148">
        <f t="shared" si="14"/>
        <v>27</v>
      </c>
      <c r="AM9" s="186">
        <v>0.12811811038352092</v>
      </c>
      <c r="AN9" s="187">
        <v>0.44704966901590232</v>
      </c>
      <c r="AO9" s="186"/>
      <c r="AP9" s="188">
        <v>24814</v>
      </c>
      <c r="AQ9" s="189">
        <f>AI9-'A6-Chin (NEW2+Khutz)'!AL15</f>
        <v>0</v>
      </c>
      <c r="AR9" s="190">
        <f t="shared" si="15"/>
        <v>0.40601962649864259</v>
      </c>
      <c r="AS9" s="190">
        <f t="shared" si="16"/>
        <v>7.8417374625649058E-2</v>
      </c>
      <c r="AT9" s="190">
        <f t="shared" si="4"/>
        <v>0.67434613675923194</v>
      </c>
      <c r="AU9" s="190">
        <f t="shared" si="5"/>
        <v>0.28707690017177284</v>
      </c>
      <c r="AV9" s="190">
        <f t="shared" si="6"/>
        <v>3.8576963068995232E-2</v>
      </c>
      <c r="AW9" s="163"/>
      <c r="AY9" s="191">
        <v>21169</v>
      </c>
      <c r="AZ9" s="191">
        <v>24279.664771236112</v>
      </c>
      <c r="BA9" s="191">
        <v>42779.776135958484</v>
      </c>
      <c r="BB9" s="191">
        <v>44979.776135958484</v>
      </c>
      <c r="BD9" s="191">
        <f t="shared" si="17"/>
        <v>2470.3352287638882</v>
      </c>
      <c r="BE9" s="191">
        <f t="shared" si="18"/>
        <v>2470.3352287638882</v>
      </c>
      <c r="BF9" s="191">
        <f t="shared" si="19"/>
        <v>4545.4012733085692</v>
      </c>
      <c r="BG9" s="191">
        <f t="shared" si="20"/>
        <v>4545.4012733085692</v>
      </c>
      <c r="BI9" s="192">
        <v>1994</v>
      </c>
      <c r="BJ9" s="56">
        <v>21169</v>
      </c>
      <c r="BK9" s="47"/>
      <c r="BL9" s="56">
        <v>120</v>
      </c>
      <c r="BM9" s="56">
        <v>893</v>
      </c>
      <c r="BN9" s="56">
        <v>2097.6647712361123</v>
      </c>
      <c r="BO9" s="56">
        <v>3110.6647712361123</v>
      </c>
      <c r="BP9" s="47"/>
      <c r="BQ9" s="56">
        <v>24279.664771236112</v>
      </c>
      <c r="BR9" s="47"/>
      <c r="BS9" s="56">
        <v>2468.3880679792419</v>
      </c>
      <c r="BT9" s="193">
        <v>1.5</v>
      </c>
      <c r="BU9" s="56">
        <v>3702.5821019688628</v>
      </c>
      <c r="BV9" s="47"/>
      <c r="BW9" s="47">
        <v>0</v>
      </c>
      <c r="BX9" s="56">
        <v>4115.3352287638882</v>
      </c>
      <c r="BY9" s="56">
        <v>4115.3352287638882</v>
      </c>
      <c r="BZ9" s="47"/>
      <c r="CA9" s="56">
        <v>24871.582101968863</v>
      </c>
      <c r="CB9" s="47"/>
      <c r="CC9" s="56">
        <v>120</v>
      </c>
      <c r="CD9" s="56">
        <v>893</v>
      </c>
      <c r="CE9" s="56">
        <v>6213</v>
      </c>
      <c r="CF9" s="56">
        <v>7226</v>
      </c>
      <c r="CG9" s="47"/>
      <c r="CH9" s="56">
        <v>6731.4709611830649</v>
      </c>
      <c r="CI9" s="56">
        <v>3950.723072806556</v>
      </c>
      <c r="CJ9" s="56">
        <v>10682.194033989621</v>
      </c>
      <c r="CK9" s="47"/>
      <c r="CL9" s="47"/>
      <c r="CM9" s="47"/>
      <c r="CN9" s="47"/>
      <c r="CO9" s="56">
        <v>42779.776135958484</v>
      </c>
      <c r="CP9" s="47">
        <v>700</v>
      </c>
      <c r="CQ9" s="56">
        <v>43479.776135958484</v>
      </c>
      <c r="CR9" s="191">
        <f t="shared" si="21"/>
        <v>-6045.4012733085692</v>
      </c>
    </row>
    <row r="10" spans="1:96" x14ac:dyDescent="0.25">
      <c r="A10" s="995">
        <v>1995</v>
      </c>
      <c r="B10" s="995"/>
      <c r="C10" s="178">
        <f>'A6-Chin (NEW2+Khutz)'!C16</f>
        <v>9184.6096579476871</v>
      </c>
      <c r="D10" s="179"/>
      <c r="E10" s="180">
        <f>'A6-Chin (NEW2+Khutz)'!G16</f>
        <v>72</v>
      </c>
      <c r="F10" s="180">
        <f>'A6-Chin (NEW2+Khutz)'!H16</f>
        <v>695</v>
      </c>
      <c r="G10" s="180">
        <f>'A6-Chin (NEW2+Khutz)'!I16</f>
        <v>1812.3903420523138</v>
      </c>
      <c r="H10" s="180">
        <f t="shared" si="7"/>
        <v>2579.3903420523138</v>
      </c>
      <c r="I10" s="179"/>
      <c r="J10" s="178">
        <f>'A6-Chin (NEW2+Khutz)'!L16</f>
        <v>11764</v>
      </c>
      <c r="K10" s="181">
        <f t="shared" si="0"/>
        <v>21.926133475453195</v>
      </c>
      <c r="L10" s="182">
        <v>2.7913572764141074E-2</v>
      </c>
      <c r="M10" s="182">
        <v>0.26944351487608398</v>
      </c>
      <c r="N10" s="182">
        <v>0.70264291235977494</v>
      </c>
      <c r="O10" s="182"/>
      <c r="P10" s="180">
        <f>'A6-Chin (NEW2+Khutz)'!P16</f>
        <v>1690.4925854407047</v>
      </c>
      <c r="Q10" s="179"/>
      <c r="R10" s="183" t="str">
        <f>'A6-Chin (NEW2+Khutz)'!R16</f>
        <v>UNK</v>
      </c>
      <c r="S10" s="180">
        <f>'A6-Chin (NEW2+Khutz)'!S16</f>
        <v>4903.6096579476862</v>
      </c>
      <c r="T10" s="180">
        <f t="shared" si="1"/>
        <v>4903.6096579476862</v>
      </c>
      <c r="U10" s="179"/>
      <c r="V10" s="180">
        <f t="shared" si="2"/>
        <v>10875.102243388392</v>
      </c>
      <c r="W10" s="179"/>
      <c r="X10" s="180">
        <f t="shared" si="8"/>
        <v>72</v>
      </c>
      <c r="Y10" s="180">
        <f t="shared" si="9"/>
        <v>695</v>
      </c>
      <c r="Z10" s="180">
        <f t="shared" si="9"/>
        <v>6716</v>
      </c>
      <c r="AA10" s="180">
        <f t="shared" si="10"/>
        <v>7483</v>
      </c>
      <c r="AB10" s="179"/>
      <c r="AC10" s="180">
        <f>'A6-Chin (NEW2+Khutz)'!AC16</f>
        <v>3408.7592038463467</v>
      </c>
      <c r="AD10" s="180">
        <f>'A6-Chin (NEW2+Khutz)'!AD16</f>
        <v>2000.6123050868241</v>
      </c>
      <c r="AE10" s="180">
        <f t="shared" si="11"/>
        <v>5409.3715089331708</v>
      </c>
      <c r="AF10" s="180"/>
      <c r="AG10" s="180">
        <f t="shared" si="12"/>
        <v>23767.473752321563</v>
      </c>
      <c r="AH10" s="180">
        <f>'A6-Chin (NEW2+Khutz)'!AK16</f>
        <v>1100</v>
      </c>
      <c r="AI10" s="180">
        <f t="shared" si="13"/>
        <v>24867.473752321563</v>
      </c>
      <c r="AJ10" s="184">
        <f t="shared" si="3"/>
        <v>56.267764262249919</v>
      </c>
      <c r="AK10" s="185"/>
      <c r="AL10" s="148">
        <f t="shared" si="14"/>
        <v>2</v>
      </c>
      <c r="AM10" s="186">
        <v>0.2474617430037111</v>
      </c>
      <c r="AN10" s="187">
        <v>0.61344527829400131</v>
      </c>
      <c r="AO10" s="186"/>
      <c r="AP10" s="188">
        <v>21169</v>
      </c>
      <c r="AQ10" s="189">
        <f>AI10-'A6-Chin (NEW2+Khutz)'!AL16</f>
        <v>0</v>
      </c>
      <c r="AR10" s="190">
        <f t="shared" si="15"/>
        <v>0.5626776426224992</v>
      </c>
      <c r="AS10" s="190">
        <f t="shared" si="16"/>
        <v>0.15406242281981586</v>
      </c>
      <c r="AT10" s="190">
        <f t="shared" si="4"/>
        <v>0.70264291235977494</v>
      </c>
      <c r="AU10" s="190">
        <f t="shared" si="5"/>
        <v>0.26944351487608398</v>
      </c>
      <c r="AV10" s="190">
        <f t="shared" si="6"/>
        <v>2.7913572764141074E-2</v>
      </c>
      <c r="AW10" s="163"/>
      <c r="AY10" s="191">
        <v>7844</v>
      </c>
      <c r="AZ10" s="191">
        <v>10423.390342052313</v>
      </c>
      <c r="BA10" s="191">
        <v>21709.48603573268</v>
      </c>
      <c r="BB10" s="191">
        <v>22809.48603573268</v>
      </c>
      <c r="BD10" s="191">
        <f t="shared" si="17"/>
        <v>1340.6096579476871</v>
      </c>
      <c r="BE10" s="191">
        <f t="shared" si="18"/>
        <v>1340.6096579476871</v>
      </c>
      <c r="BF10" s="191">
        <f t="shared" si="19"/>
        <v>2057.9877165888829</v>
      </c>
      <c r="BG10" s="191">
        <f t="shared" si="20"/>
        <v>2057.9877165888829</v>
      </c>
      <c r="BI10" s="192">
        <v>1995</v>
      </c>
      <c r="BJ10" s="56">
        <v>7844</v>
      </c>
      <c r="BK10" s="47"/>
      <c r="BL10" s="56">
        <v>72</v>
      </c>
      <c r="BM10" s="56">
        <v>695</v>
      </c>
      <c r="BN10" s="56">
        <v>1812.3903420523138</v>
      </c>
      <c r="BO10" s="56">
        <v>2579.3903420523138</v>
      </c>
      <c r="BP10" s="47"/>
      <c r="BQ10" s="56">
        <v>10423.390342052313</v>
      </c>
      <c r="BR10" s="47"/>
      <c r="BS10" s="56">
        <v>648.74301786633919</v>
      </c>
      <c r="BT10" s="193">
        <v>1.5</v>
      </c>
      <c r="BU10" s="56">
        <v>973.11452679950878</v>
      </c>
      <c r="BV10" s="47"/>
      <c r="BW10" s="47">
        <v>0</v>
      </c>
      <c r="BX10" s="56">
        <v>4903.6096579476862</v>
      </c>
      <c r="BY10" s="56">
        <v>4903.6096579476862</v>
      </c>
      <c r="BZ10" s="47"/>
      <c r="CA10" s="56">
        <v>8817.1145267995089</v>
      </c>
      <c r="CB10" s="47"/>
      <c r="CC10" s="56">
        <v>72</v>
      </c>
      <c r="CD10" s="56">
        <v>695</v>
      </c>
      <c r="CE10" s="56">
        <v>6716</v>
      </c>
      <c r="CF10" s="56">
        <v>7483</v>
      </c>
      <c r="CG10" s="47"/>
      <c r="CH10" s="56">
        <v>3408.7592038463467</v>
      </c>
      <c r="CI10" s="56">
        <v>2000.6123050868241</v>
      </c>
      <c r="CJ10" s="56">
        <v>5409.3715089331708</v>
      </c>
      <c r="CK10" s="47"/>
      <c r="CL10" s="47"/>
      <c r="CM10" s="47"/>
      <c r="CN10" s="47"/>
      <c r="CO10" s="56">
        <v>21709.48603573268</v>
      </c>
      <c r="CP10" s="47">
        <v>700</v>
      </c>
      <c r="CQ10" s="56">
        <v>22409.48603573268</v>
      </c>
      <c r="CR10" s="191">
        <f t="shared" si="21"/>
        <v>-2457.9877165888829</v>
      </c>
    </row>
    <row r="11" spans="1:96" x14ac:dyDescent="0.25">
      <c r="A11" s="995">
        <v>1996</v>
      </c>
      <c r="B11" s="995"/>
      <c r="C11" s="178">
        <f>'A6-Chin (NEW2+Khutz)'!C17</f>
        <v>21721.665471087395</v>
      </c>
      <c r="D11" s="179"/>
      <c r="E11" s="180">
        <f>'A6-Chin (NEW2+Khutz)'!G17</f>
        <v>49</v>
      </c>
      <c r="F11" s="180">
        <f>'A6-Chin (NEW2+Khutz)'!H17</f>
        <v>477</v>
      </c>
      <c r="G11" s="180">
        <f>'A6-Chin (NEW2+Khutz)'!I17</f>
        <v>1834.3345289126059</v>
      </c>
      <c r="H11" s="180">
        <f t="shared" si="7"/>
        <v>2360.3345289126059</v>
      </c>
      <c r="I11" s="179"/>
      <c r="J11" s="178">
        <f>'A6-Chin (NEW2+Khutz)'!L17</f>
        <v>24082</v>
      </c>
      <c r="K11" s="181">
        <f t="shared" si="0"/>
        <v>9.8012396350494377</v>
      </c>
      <c r="L11" s="182">
        <v>2.075976917669126E-2</v>
      </c>
      <c r="M11" s="182">
        <v>0.2020899979037088</v>
      </c>
      <c r="N11" s="182">
        <v>0.77715023291959995</v>
      </c>
      <c r="O11" s="182"/>
      <c r="P11" s="180">
        <f>'A6-Chin (NEW2+Khutz)'!P17</f>
        <v>2124.6061268403055</v>
      </c>
      <c r="Q11" s="179"/>
      <c r="R11" s="183" t="str">
        <f>'A6-Chin (NEW2+Khutz)'!R17</f>
        <v>UNK</v>
      </c>
      <c r="S11" s="180">
        <f>'A6-Chin (NEW2+Khutz)'!S17</f>
        <v>5865.6654710873936</v>
      </c>
      <c r="T11" s="180">
        <f t="shared" si="1"/>
        <v>5865.6654710873936</v>
      </c>
      <c r="U11" s="179"/>
      <c r="V11" s="180">
        <f t="shared" si="2"/>
        <v>23846.271597927702</v>
      </c>
      <c r="W11" s="179"/>
      <c r="X11" s="180">
        <f t="shared" si="8"/>
        <v>49</v>
      </c>
      <c r="Y11" s="180">
        <f t="shared" si="9"/>
        <v>477</v>
      </c>
      <c r="Z11" s="180">
        <f t="shared" si="9"/>
        <v>7700</v>
      </c>
      <c r="AA11" s="180">
        <f t="shared" si="10"/>
        <v>8226</v>
      </c>
      <c r="AB11" s="179"/>
      <c r="AC11" s="180">
        <f>'A6-Chin (NEW2+Khutz)'!AC17</f>
        <v>6538.2283475257427</v>
      </c>
      <c r="AD11" s="180">
        <f>'A6-Chin (NEW2+Khutz)'!AD17</f>
        <v>3837.308329308762</v>
      </c>
      <c r="AE11" s="180">
        <f t="shared" si="11"/>
        <v>10375.536676834505</v>
      </c>
      <c r="AF11" s="180"/>
      <c r="AG11" s="180">
        <f t="shared" si="12"/>
        <v>42447.80827476221</v>
      </c>
      <c r="AH11" s="180">
        <f>'A6-Chin (NEW2+Khutz)'!AK17</f>
        <v>2000</v>
      </c>
      <c r="AI11" s="180">
        <f t="shared" si="13"/>
        <v>44447.80827476221</v>
      </c>
      <c r="AJ11" s="184">
        <f t="shared" si="3"/>
        <v>46.34994947215926</v>
      </c>
      <c r="AK11" s="185"/>
      <c r="AL11" s="148">
        <f t="shared" si="14"/>
        <v>25</v>
      </c>
      <c r="AM11" s="186">
        <v>9.7525076603370717E-2</v>
      </c>
      <c r="AN11" s="187">
        <v>0.47424954986015194</v>
      </c>
      <c r="AO11" s="186"/>
      <c r="AP11" s="188">
        <v>7844</v>
      </c>
      <c r="AQ11" s="189">
        <f>AI11-'A6-Chin (NEW2+Khutz)'!AL17</f>
        <v>0</v>
      </c>
      <c r="AR11" s="190">
        <f t="shared" si="15"/>
        <v>0.46349949472159258</v>
      </c>
      <c r="AS11" s="190">
        <f t="shared" si="16"/>
        <v>7.6170356652794868E-2</v>
      </c>
      <c r="AT11" s="190">
        <f t="shared" si="4"/>
        <v>0.77715023291959995</v>
      </c>
      <c r="AU11" s="190">
        <f t="shared" si="5"/>
        <v>0.2020899979037088</v>
      </c>
      <c r="AV11" s="190">
        <f t="shared" si="6"/>
        <v>2.075976917669126E-2</v>
      </c>
      <c r="AW11" s="163"/>
      <c r="AY11" s="191">
        <v>21842</v>
      </c>
      <c r="AZ11" s="191">
        <v>24202.334528912605</v>
      </c>
      <c r="BA11" s="191">
        <v>41551.146707338012</v>
      </c>
      <c r="BB11" s="191">
        <v>43651.146707338012</v>
      </c>
      <c r="BD11" s="191">
        <f t="shared" si="17"/>
        <v>-120.33452891260458</v>
      </c>
      <c r="BE11" s="191">
        <f t="shared" si="18"/>
        <v>-120.33452891260458</v>
      </c>
      <c r="BF11" s="191">
        <f t="shared" si="19"/>
        <v>896.66156742419844</v>
      </c>
      <c r="BG11" s="191">
        <f t="shared" si="20"/>
        <v>796.66156742419844</v>
      </c>
      <c r="BI11" s="192">
        <v>1996</v>
      </c>
      <c r="BJ11" s="56">
        <v>21842</v>
      </c>
      <c r="BK11" s="47"/>
      <c r="BL11" s="56">
        <v>49</v>
      </c>
      <c r="BM11" s="56">
        <v>477</v>
      </c>
      <c r="BN11" s="56">
        <v>1834.3345289126059</v>
      </c>
      <c r="BO11" s="56">
        <v>2360.3345289126059</v>
      </c>
      <c r="BP11" s="47"/>
      <c r="BQ11" s="56">
        <v>24202.334528912605</v>
      </c>
      <c r="BR11" s="47"/>
      <c r="BS11" s="56">
        <v>738.40668700233732</v>
      </c>
      <c r="BT11" s="193">
        <v>1.5</v>
      </c>
      <c r="BU11" s="56">
        <v>1107.6100305035061</v>
      </c>
      <c r="BV11" s="47"/>
      <c r="BW11" s="47">
        <v>0</v>
      </c>
      <c r="BX11" s="56">
        <v>5865.6654710873936</v>
      </c>
      <c r="BY11" s="56">
        <v>5865.6654710873936</v>
      </c>
      <c r="BZ11" s="47"/>
      <c r="CA11" s="56">
        <v>22949.610030503507</v>
      </c>
      <c r="CB11" s="47"/>
      <c r="CC11" s="56">
        <v>49</v>
      </c>
      <c r="CD11" s="56">
        <v>477</v>
      </c>
      <c r="CE11" s="56">
        <v>7700</v>
      </c>
      <c r="CF11" s="56">
        <v>8226</v>
      </c>
      <c r="CG11" s="47"/>
      <c r="CH11" s="56">
        <v>6538.2283475257427</v>
      </c>
      <c r="CI11" s="56">
        <v>3837.308329308762</v>
      </c>
      <c r="CJ11" s="56">
        <v>10375.536676834505</v>
      </c>
      <c r="CK11" s="47"/>
      <c r="CL11" s="47"/>
      <c r="CM11" s="47"/>
      <c r="CN11" s="47"/>
      <c r="CO11" s="56">
        <v>41551.146707338012</v>
      </c>
      <c r="CP11" s="47">
        <v>700</v>
      </c>
      <c r="CQ11" s="56">
        <v>42251.146707338012</v>
      </c>
      <c r="CR11" s="191">
        <f t="shared" si="21"/>
        <v>-2196.6615674241984</v>
      </c>
    </row>
    <row r="12" spans="1:96" x14ac:dyDescent="0.25">
      <c r="A12" s="995">
        <v>1997</v>
      </c>
      <c r="B12" s="995"/>
      <c r="C12" s="178">
        <f>'A6-Chin (NEW2+Khutz)'!C18</f>
        <v>21372.273291925467</v>
      </c>
      <c r="D12" s="179"/>
      <c r="E12" s="180">
        <f>'A6-Chin (NEW2+Khutz)'!G18</f>
        <v>41</v>
      </c>
      <c r="F12" s="180">
        <f>'A6-Chin (NEW2+Khutz)'!H18</f>
        <v>203</v>
      </c>
      <c r="G12" s="180">
        <f>'A6-Chin (NEW2+Khutz)'!I18</f>
        <v>1876.7267080745341</v>
      </c>
      <c r="H12" s="180">
        <f t="shared" si="7"/>
        <v>2120.7267080745341</v>
      </c>
      <c r="I12" s="179"/>
      <c r="J12" s="178">
        <f>'A6-Chin (NEW2+Khutz)'!L18</f>
        <v>23493</v>
      </c>
      <c r="K12" s="181">
        <f t="shared" si="0"/>
        <v>9.0270578813882185</v>
      </c>
      <c r="L12" s="182">
        <v>1.9332995545298253E-2</v>
      </c>
      <c r="M12" s="182">
        <v>9.5721904773062083E-2</v>
      </c>
      <c r="N12" s="182">
        <v>0.8849450996816397</v>
      </c>
      <c r="O12" s="182"/>
      <c r="P12" s="180">
        <f>'A6-Chin (NEW2+Khutz)'!P18</f>
        <v>2996.9324023471959</v>
      </c>
      <c r="Q12" s="179"/>
      <c r="R12" s="183" t="str">
        <f>'A6-Chin (NEW2+Khutz)'!R18</f>
        <v>UNK</v>
      </c>
      <c r="S12" s="180">
        <f>'A6-Chin (NEW2+Khutz)'!S18</f>
        <v>4828.2732919254659</v>
      </c>
      <c r="T12" s="180">
        <f t="shared" si="1"/>
        <v>4828.2732919254659</v>
      </c>
      <c r="U12" s="179"/>
      <c r="V12" s="180">
        <f t="shared" si="2"/>
        <v>24369.205694272663</v>
      </c>
      <c r="W12" s="179"/>
      <c r="X12" s="180">
        <f t="shared" si="8"/>
        <v>41</v>
      </c>
      <c r="Y12" s="180">
        <f t="shared" si="9"/>
        <v>203</v>
      </c>
      <c r="Z12" s="180">
        <f t="shared" si="9"/>
        <v>6705</v>
      </c>
      <c r="AA12" s="180">
        <f t="shared" si="10"/>
        <v>6949</v>
      </c>
      <c r="AB12" s="179"/>
      <c r="AC12" s="180">
        <f>'A6-Chin (NEW2+Khutz)'!AC18</f>
        <v>5664.4138550437501</v>
      </c>
      <c r="AD12" s="180">
        <f>'A6-Chin (NEW2+Khutz)'!AD18</f>
        <v>3324.463648449494</v>
      </c>
      <c r="AE12" s="180">
        <f t="shared" si="11"/>
        <v>8988.8775034932441</v>
      </c>
      <c r="AF12" s="180"/>
      <c r="AG12" s="180">
        <f t="shared" si="12"/>
        <v>40307.083197765911</v>
      </c>
      <c r="AH12" s="180">
        <f>'A6-Chin (NEW2+Khutz)'!AK18</f>
        <v>1900</v>
      </c>
      <c r="AI12" s="180">
        <f t="shared" si="13"/>
        <v>42207.083197765911</v>
      </c>
      <c r="AJ12" s="184">
        <f t="shared" si="3"/>
        <v>42.262758172394705</v>
      </c>
      <c r="AK12" s="185"/>
      <c r="AL12" s="148">
        <f t="shared" si="14"/>
        <v>24</v>
      </c>
      <c r="AM12" s="186">
        <v>0.10184673399436056</v>
      </c>
      <c r="AN12" s="187">
        <v>0.4658646660620252</v>
      </c>
      <c r="AO12" s="186"/>
      <c r="AP12" s="188">
        <v>21842</v>
      </c>
      <c r="AQ12" s="189">
        <f>AI12-'A6-Chin (NEW2+Khutz)'!AL18</f>
        <v>0</v>
      </c>
      <c r="AR12" s="190">
        <f t="shared" si="15"/>
        <v>0.42262758172394704</v>
      </c>
      <c r="AS12" s="190">
        <f t="shared" si="16"/>
        <v>7.9884506366770275E-2</v>
      </c>
      <c r="AT12" s="190">
        <f t="shared" si="4"/>
        <v>0.8849450996816397</v>
      </c>
      <c r="AU12" s="190">
        <f t="shared" si="5"/>
        <v>9.5721904773062083E-2</v>
      </c>
      <c r="AV12" s="190">
        <f t="shared" si="6"/>
        <v>1.9332995545298253E-2</v>
      </c>
      <c r="AW12" s="163"/>
      <c r="AY12" s="191">
        <v>18702</v>
      </c>
      <c r="AZ12" s="191">
        <v>20822.726708074533</v>
      </c>
      <c r="BA12" s="191">
        <v>36275.172460346294</v>
      </c>
      <c r="BB12" s="191">
        <v>38075.172460346294</v>
      </c>
      <c r="BD12" s="191">
        <f t="shared" si="17"/>
        <v>2670.2732919254668</v>
      </c>
      <c r="BE12" s="191">
        <f t="shared" si="18"/>
        <v>2670.2732919254668</v>
      </c>
      <c r="BF12" s="191">
        <f t="shared" si="19"/>
        <v>4031.9107374196174</v>
      </c>
      <c r="BG12" s="191">
        <f t="shared" si="20"/>
        <v>4131.9107374196174</v>
      </c>
      <c r="BI12" s="192">
        <v>1997</v>
      </c>
      <c r="BJ12" s="56">
        <v>18702</v>
      </c>
      <c r="BK12" s="47"/>
      <c r="BL12" s="56">
        <v>41</v>
      </c>
      <c r="BM12" s="56">
        <v>203</v>
      </c>
      <c r="BN12" s="56">
        <v>1876.7267080745341</v>
      </c>
      <c r="BO12" s="56">
        <v>2120.7267080745341</v>
      </c>
      <c r="BP12" s="47"/>
      <c r="BQ12" s="56">
        <v>20822.726708074533</v>
      </c>
      <c r="BR12" s="47"/>
      <c r="BS12" s="56">
        <v>1090.1966379020341</v>
      </c>
      <c r="BT12" s="193">
        <v>1.5</v>
      </c>
      <c r="BU12" s="56">
        <v>1635.2949568530512</v>
      </c>
      <c r="BV12" s="47"/>
      <c r="BW12" s="47">
        <v>0</v>
      </c>
      <c r="BX12" s="56">
        <v>4828.2732919254659</v>
      </c>
      <c r="BY12" s="56">
        <v>4828.2732919254659</v>
      </c>
      <c r="BZ12" s="47"/>
      <c r="CA12" s="56">
        <v>20337.294956853053</v>
      </c>
      <c r="CB12" s="47"/>
      <c r="CC12" s="56">
        <v>41</v>
      </c>
      <c r="CD12" s="56">
        <v>203</v>
      </c>
      <c r="CE12" s="56">
        <v>6705</v>
      </c>
      <c r="CF12" s="56">
        <v>6949</v>
      </c>
      <c r="CG12" s="47"/>
      <c r="CH12" s="56">
        <v>5664.4138550437501</v>
      </c>
      <c r="CI12" s="56">
        <v>3324.463648449494</v>
      </c>
      <c r="CJ12" s="56">
        <v>8988.8775034932441</v>
      </c>
      <c r="CK12" s="47"/>
      <c r="CL12" s="47"/>
      <c r="CM12" s="47"/>
      <c r="CN12" s="47"/>
      <c r="CO12" s="56">
        <v>36275.172460346294</v>
      </c>
      <c r="CP12" s="47">
        <v>700</v>
      </c>
      <c r="CQ12" s="56">
        <v>36975.172460346294</v>
      </c>
      <c r="CR12" s="191">
        <f t="shared" si="21"/>
        <v>-5231.9107374196174</v>
      </c>
    </row>
    <row r="13" spans="1:96" x14ac:dyDescent="0.25">
      <c r="A13" s="995">
        <v>1998</v>
      </c>
      <c r="B13" s="995"/>
      <c r="C13" s="178">
        <f>'A6-Chin (NEW2+Khutz)'!C19</f>
        <v>24908</v>
      </c>
      <c r="D13" s="179"/>
      <c r="E13" s="180">
        <f>'A6-Chin (NEW2+Khutz)'!G19</f>
        <v>345</v>
      </c>
      <c r="F13" s="180">
        <f>'A6-Chin (NEW2+Khutz)'!H19</f>
        <v>196</v>
      </c>
      <c r="G13" s="180">
        <f>'A6-Chin (NEW2+Khutz)'!I19</f>
        <v>1595</v>
      </c>
      <c r="H13" s="180">
        <f t="shared" si="7"/>
        <v>2136</v>
      </c>
      <c r="I13" s="179"/>
      <c r="J13" s="178">
        <f>'A6-Chin (NEW2+Khutz)'!L19</f>
        <v>27044</v>
      </c>
      <c r="K13" s="181">
        <f t="shared" si="0"/>
        <v>7.8982399053394463</v>
      </c>
      <c r="L13" s="182">
        <v>0.16151685393258428</v>
      </c>
      <c r="M13" s="182">
        <v>9.1760299625468167E-2</v>
      </c>
      <c r="N13" s="182">
        <v>0.74672284644194753</v>
      </c>
      <c r="O13" s="182"/>
      <c r="P13" s="180">
        <f>'A6-Chin (NEW2+Khutz)'!P19</f>
        <v>2804.3790219703574</v>
      </c>
      <c r="Q13" s="179"/>
      <c r="R13" s="183" t="str">
        <f>'A6-Chin (NEW2+Khutz)'!R19</f>
        <v>UNK</v>
      </c>
      <c r="S13" s="180">
        <f>'A6-Chin (NEW2+Khutz)'!S19</f>
        <v>7470</v>
      </c>
      <c r="T13" s="180">
        <f t="shared" si="1"/>
        <v>7470</v>
      </c>
      <c r="U13" s="179"/>
      <c r="V13" s="180">
        <f t="shared" si="2"/>
        <v>27712.379021970359</v>
      </c>
      <c r="W13" s="179"/>
      <c r="X13" s="180">
        <f t="shared" si="8"/>
        <v>345</v>
      </c>
      <c r="Y13" s="180">
        <f t="shared" si="9"/>
        <v>196</v>
      </c>
      <c r="Z13" s="180">
        <f t="shared" si="9"/>
        <v>9065</v>
      </c>
      <c r="AA13" s="180">
        <f t="shared" si="10"/>
        <v>9606</v>
      </c>
      <c r="AB13" s="179"/>
      <c r="AC13" s="180">
        <f>'A6-Chin (NEW2+Khutz)'!AC19</f>
        <v>7191.3883245505385</v>
      </c>
      <c r="AD13" s="180">
        <f>'A6-Chin (NEW2+Khutz)'!AD19</f>
        <v>4220.6501287974352</v>
      </c>
      <c r="AE13" s="180">
        <f t="shared" si="11"/>
        <v>11412.038453347974</v>
      </c>
      <c r="AF13" s="180"/>
      <c r="AG13" s="180">
        <f t="shared" si="12"/>
        <v>48730.417475318332</v>
      </c>
      <c r="AH13" s="180">
        <f>'A6-Chin (NEW2+Khutz)'!AK19</f>
        <v>2300</v>
      </c>
      <c r="AI13" s="180">
        <f t="shared" si="13"/>
        <v>51030.417475318332</v>
      </c>
      <c r="AJ13" s="184">
        <f t="shared" si="3"/>
        <v>45.694390927971753</v>
      </c>
      <c r="AK13" s="185"/>
      <c r="AL13" s="148">
        <f t="shared" si="14"/>
        <v>29</v>
      </c>
      <c r="AM13" s="186">
        <v>8.4263686771157129E-2</v>
      </c>
      <c r="AN13" s="187">
        <v>0.48586176570128564</v>
      </c>
      <c r="AO13" s="186"/>
      <c r="AP13" s="188">
        <v>18702</v>
      </c>
      <c r="AQ13" s="189">
        <f>AI13-'A6-Chin (NEW2+Khutz)'!AL19</f>
        <v>0</v>
      </c>
      <c r="AR13" s="190">
        <f t="shared" si="15"/>
        <v>0.45694390927971756</v>
      </c>
      <c r="AS13" s="190">
        <f t="shared" si="16"/>
        <v>5.8977961839964503E-2</v>
      </c>
      <c r="AT13" s="190">
        <f t="shared" si="4"/>
        <v>0.74672284644194753</v>
      </c>
      <c r="AU13" s="190">
        <f t="shared" si="5"/>
        <v>9.1760299625468167E-2</v>
      </c>
      <c r="AV13" s="190">
        <f t="shared" si="6"/>
        <v>0.16151685393258428</v>
      </c>
      <c r="AW13" s="163"/>
      <c r="AY13" s="191">
        <v>23212.997674418606</v>
      </c>
      <c r="AZ13" s="191">
        <v>25348.997674418606</v>
      </c>
      <c r="BA13" s="191">
        <v>45693.153813391888</v>
      </c>
      <c r="BB13" s="191">
        <v>47993.153813391888</v>
      </c>
      <c r="BD13" s="191">
        <f t="shared" si="17"/>
        <v>1695.002325581394</v>
      </c>
      <c r="BE13" s="191">
        <f t="shared" si="18"/>
        <v>1695.002325581394</v>
      </c>
      <c r="BF13" s="191">
        <f t="shared" si="19"/>
        <v>3037.2636619264449</v>
      </c>
      <c r="BG13" s="191">
        <f t="shared" si="20"/>
        <v>3037.2636619264449</v>
      </c>
      <c r="BI13" s="192">
        <v>1998</v>
      </c>
      <c r="BJ13" s="56">
        <v>23212.997674418606</v>
      </c>
      <c r="BK13" s="47"/>
      <c r="BL13" s="56">
        <v>345</v>
      </c>
      <c r="BM13" s="56">
        <v>196</v>
      </c>
      <c r="BN13" s="56">
        <v>1595</v>
      </c>
      <c r="BO13" s="56">
        <v>2136</v>
      </c>
      <c r="BP13" s="47"/>
      <c r="BQ13" s="56">
        <v>25348.997674418606</v>
      </c>
      <c r="BR13" s="47"/>
      <c r="BS13" s="56">
        <v>974.74512375020481</v>
      </c>
      <c r="BT13" s="193">
        <v>1.5</v>
      </c>
      <c r="BU13" s="56">
        <v>1462.1176856253073</v>
      </c>
      <c r="BV13" s="47"/>
      <c r="BW13" s="47">
        <v>0</v>
      </c>
      <c r="BX13" s="56">
        <v>7470</v>
      </c>
      <c r="BY13" s="56">
        <v>7470</v>
      </c>
      <c r="BZ13" s="47"/>
      <c r="CA13" s="56">
        <v>24675.115360043914</v>
      </c>
      <c r="CB13" s="47"/>
      <c r="CC13" s="56">
        <v>345</v>
      </c>
      <c r="CD13" s="56">
        <v>196</v>
      </c>
      <c r="CE13" s="56">
        <v>9065</v>
      </c>
      <c r="CF13" s="56">
        <v>9606</v>
      </c>
      <c r="CG13" s="47"/>
      <c r="CH13" s="56">
        <v>7191.3883245505385</v>
      </c>
      <c r="CI13" s="56">
        <v>4220.6501287974352</v>
      </c>
      <c r="CJ13" s="56">
        <v>11412.038453347974</v>
      </c>
      <c r="CK13" s="47"/>
      <c r="CL13" s="47"/>
      <c r="CM13" s="47"/>
      <c r="CN13" s="47"/>
      <c r="CO13" s="56">
        <v>45693.153813391888</v>
      </c>
      <c r="CP13" s="47">
        <v>700</v>
      </c>
      <c r="CQ13" s="56">
        <v>46393.153813391888</v>
      </c>
      <c r="CR13" s="191">
        <f t="shared" si="21"/>
        <v>-4637.2636619264449</v>
      </c>
    </row>
    <row r="14" spans="1:96" x14ac:dyDescent="0.25">
      <c r="A14" s="995">
        <v>1999</v>
      </c>
      <c r="B14" s="995"/>
      <c r="C14" s="178">
        <f>'A6-Chin (NEW2+Khutz)'!C20</f>
        <v>13069</v>
      </c>
      <c r="D14" s="179"/>
      <c r="E14" s="180">
        <f>'A6-Chin (NEW2+Khutz)'!G20</f>
        <v>193</v>
      </c>
      <c r="F14" s="180">
        <f>'A6-Chin (NEW2+Khutz)'!H20</f>
        <v>82</v>
      </c>
      <c r="G14" s="180">
        <f>'A6-Chin (NEW2+Khutz)'!I20</f>
        <v>1608</v>
      </c>
      <c r="H14" s="180">
        <f t="shared" si="7"/>
        <v>1883</v>
      </c>
      <c r="I14" s="179"/>
      <c r="J14" s="178">
        <f>'A6-Chin (NEW2+Khutz)'!L20</f>
        <v>14952</v>
      </c>
      <c r="K14" s="181">
        <f t="shared" si="0"/>
        <v>12.593632958801498</v>
      </c>
      <c r="L14" s="182">
        <v>0.10249601699415826</v>
      </c>
      <c r="M14" s="182">
        <v>4.3547530536378123E-2</v>
      </c>
      <c r="N14" s="182">
        <v>0.85395645246946361</v>
      </c>
      <c r="O14" s="182"/>
      <c r="P14" s="180">
        <f>'A6-Chin (NEW2+Khutz)'!P20</f>
        <v>1960.1548817357414</v>
      </c>
      <c r="Q14" s="179"/>
      <c r="R14" s="183" t="str">
        <f>'A6-Chin (NEW2+Khutz)'!R20</f>
        <v>UNK</v>
      </c>
      <c r="S14" s="180">
        <f>'A6-Chin (NEW2+Khutz)'!S20</f>
        <v>7309</v>
      </c>
      <c r="T14" s="180">
        <f t="shared" si="1"/>
        <v>7309</v>
      </c>
      <c r="U14" s="179"/>
      <c r="V14" s="180">
        <f t="shared" si="2"/>
        <v>15029.154881735742</v>
      </c>
      <c r="W14" s="179"/>
      <c r="X14" s="180">
        <f t="shared" si="8"/>
        <v>193</v>
      </c>
      <c r="Y14" s="180">
        <f t="shared" si="9"/>
        <v>82</v>
      </c>
      <c r="Z14" s="180">
        <f t="shared" si="9"/>
        <v>8917</v>
      </c>
      <c r="AA14" s="180">
        <f t="shared" si="10"/>
        <v>9192</v>
      </c>
      <c r="AB14" s="179"/>
      <c r="AC14" s="180">
        <f>'A6-Chin (NEW2+Khutz)'!AC20</f>
        <v>4561.9285096861749</v>
      </c>
      <c r="AD14" s="180">
        <f>'A6-Chin (NEW2+Khutz)'!AD20</f>
        <v>2677.4112706777014</v>
      </c>
      <c r="AE14" s="180">
        <f t="shared" si="11"/>
        <v>7239.3397803638763</v>
      </c>
      <c r="AF14" s="180"/>
      <c r="AG14" s="180">
        <f t="shared" si="12"/>
        <v>31460.494662099616</v>
      </c>
      <c r="AH14" s="180">
        <f>'A6-Chin (NEW2+Khutz)'!AK20</f>
        <v>1500</v>
      </c>
      <c r="AI14" s="180">
        <f t="shared" si="13"/>
        <v>32960.49466209962</v>
      </c>
      <c r="AJ14" s="184">
        <f t="shared" si="3"/>
        <v>54.402520241853772</v>
      </c>
      <c r="AK14" s="185"/>
      <c r="AL14" s="148">
        <f t="shared" si="14"/>
        <v>11</v>
      </c>
      <c r="AM14" s="186">
        <v>0.14023981529753482</v>
      </c>
      <c r="AN14" s="187">
        <v>0.5887358686896873</v>
      </c>
      <c r="AO14" s="186"/>
      <c r="AP14" s="188">
        <v>23212.997674418606</v>
      </c>
      <c r="AQ14" s="189">
        <f>AI14-'A6-Chin (NEW2+Khutz)'!AL20</f>
        <v>0</v>
      </c>
      <c r="AR14" s="190">
        <f t="shared" si="15"/>
        <v>0.54402520241853769</v>
      </c>
      <c r="AS14" s="190">
        <f t="shared" si="16"/>
        <v>0.10754414125200643</v>
      </c>
      <c r="AT14" s="190">
        <f t="shared" si="4"/>
        <v>0.85395645246946361</v>
      </c>
      <c r="AU14" s="190">
        <f t="shared" si="5"/>
        <v>4.3547530536378123E-2</v>
      </c>
      <c r="AV14" s="190">
        <f t="shared" si="6"/>
        <v>0.10249601699415826</v>
      </c>
      <c r="AW14" s="163"/>
      <c r="AY14" s="191">
        <v>11544</v>
      </c>
      <c r="AZ14" s="191">
        <v>13427</v>
      </c>
      <c r="BA14" s="191">
        <v>28957.359121455502</v>
      </c>
      <c r="BB14" s="191">
        <v>30457.359121455502</v>
      </c>
      <c r="BD14" s="191">
        <f t="shared" si="17"/>
        <v>1525</v>
      </c>
      <c r="BE14" s="191">
        <f t="shared" si="18"/>
        <v>1525</v>
      </c>
      <c r="BF14" s="191">
        <f t="shared" si="19"/>
        <v>2503.1355406441144</v>
      </c>
      <c r="BG14" s="191">
        <f t="shared" si="20"/>
        <v>2503.135540644118</v>
      </c>
      <c r="BI14" s="192">
        <v>1999</v>
      </c>
      <c r="BJ14" s="56">
        <v>11544</v>
      </c>
      <c r="BK14" s="47"/>
      <c r="BL14" s="56">
        <v>193</v>
      </c>
      <c r="BM14" s="56">
        <v>82</v>
      </c>
      <c r="BN14" s="56">
        <v>1608</v>
      </c>
      <c r="BO14" s="56">
        <v>1883</v>
      </c>
      <c r="BP14" s="47"/>
      <c r="BQ14" s="56">
        <v>13427</v>
      </c>
      <c r="BR14" s="47"/>
      <c r="BS14" s="56">
        <v>654.6795607277495</v>
      </c>
      <c r="BT14" s="193">
        <v>1.5</v>
      </c>
      <c r="BU14" s="56">
        <v>982.01934109162426</v>
      </c>
      <c r="BV14" s="47"/>
      <c r="BW14" s="57">
        <v>0</v>
      </c>
      <c r="BX14" s="56">
        <v>7309</v>
      </c>
      <c r="BY14" s="56">
        <v>7309</v>
      </c>
      <c r="BZ14" s="47"/>
      <c r="CA14" s="56">
        <v>12526.019341091624</v>
      </c>
      <c r="CB14" s="47"/>
      <c r="CC14" s="56">
        <v>193</v>
      </c>
      <c r="CD14" s="56">
        <v>82</v>
      </c>
      <c r="CE14" s="56">
        <v>8917</v>
      </c>
      <c r="CF14" s="56">
        <v>9192</v>
      </c>
      <c r="CG14" s="47"/>
      <c r="CH14" s="56">
        <v>4561.9285096861749</v>
      </c>
      <c r="CI14" s="56">
        <v>2677.4112706777014</v>
      </c>
      <c r="CJ14" s="56">
        <v>7239.3397803638763</v>
      </c>
      <c r="CK14" s="47"/>
      <c r="CL14" s="47"/>
      <c r="CM14" s="47"/>
      <c r="CN14" s="47"/>
      <c r="CO14" s="56">
        <v>28957.359121455502</v>
      </c>
      <c r="CP14" s="47">
        <v>700</v>
      </c>
      <c r="CQ14" s="56">
        <v>29657.359121455502</v>
      </c>
      <c r="CR14" s="191">
        <f t="shared" si="21"/>
        <v>-3303.135540644118</v>
      </c>
    </row>
    <row r="15" spans="1:96" x14ac:dyDescent="0.25">
      <c r="A15" s="995">
        <v>2000</v>
      </c>
      <c r="B15" s="995"/>
      <c r="C15" s="178">
        <f>'A6-Chin (NEW2+Khutz)'!C21</f>
        <v>18085</v>
      </c>
      <c r="D15" s="179"/>
      <c r="E15" s="180">
        <f>'A6-Chin (NEW2+Khutz)'!G21</f>
        <v>49</v>
      </c>
      <c r="F15" s="180">
        <f>'A6-Chin (NEW2+Khutz)'!H21</f>
        <v>1023</v>
      </c>
      <c r="G15" s="180">
        <f>'A6-Chin (NEW2+Khutz)'!I21</f>
        <v>2498</v>
      </c>
      <c r="H15" s="180">
        <f t="shared" si="7"/>
        <v>3570</v>
      </c>
      <c r="I15" s="179"/>
      <c r="J15" s="178">
        <f>'A6-Chin (NEW2+Khutz)'!L21</f>
        <v>21655</v>
      </c>
      <c r="K15" s="181">
        <f t="shared" si="0"/>
        <v>16.48580004617871</v>
      </c>
      <c r="L15" s="182">
        <v>1.3725490196078431E-2</v>
      </c>
      <c r="M15" s="182">
        <v>0.28655462184873948</v>
      </c>
      <c r="N15" s="182">
        <v>0.69971988795518203</v>
      </c>
      <c r="O15" s="182"/>
      <c r="P15" s="180">
        <f>'A6-Chin (NEW2+Khutz)'!P21</f>
        <v>2619.762142609175</v>
      </c>
      <c r="Q15" s="179"/>
      <c r="R15" s="183">
        <f>'A6-Chin (NEW2+Khutz)'!R21</f>
        <v>214.46730272298021</v>
      </c>
      <c r="S15" s="180">
        <f>'A6-Chin (NEW2+Khutz)'!S21</f>
        <v>6828</v>
      </c>
      <c r="T15" s="180">
        <f t="shared" si="1"/>
        <v>7042.4673027229801</v>
      </c>
      <c r="U15" s="179"/>
      <c r="V15" s="180">
        <f t="shared" si="2"/>
        <v>20704.762142609175</v>
      </c>
      <c r="W15" s="179"/>
      <c r="X15" s="180">
        <f t="shared" si="8"/>
        <v>49</v>
      </c>
      <c r="Y15" s="180">
        <f t="shared" si="9"/>
        <v>1237.4673027229801</v>
      </c>
      <c r="Z15" s="180">
        <f t="shared" si="9"/>
        <v>9326</v>
      </c>
      <c r="AA15" s="180">
        <f t="shared" si="10"/>
        <v>10612.46730272298</v>
      </c>
      <c r="AB15" s="179"/>
      <c r="AC15" s="180">
        <f>'A6-Chin (NEW2+Khutz)'!AC21</f>
        <v>1826</v>
      </c>
      <c r="AD15" s="180">
        <f>'A6-Chin (NEW2+Khutz)'!AD21</f>
        <v>986</v>
      </c>
      <c r="AE15" s="180">
        <f t="shared" si="11"/>
        <v>2812</v>
      </c>
      <c r="AF15" s="180"/>
      <c r="AG15" s="180">
        <f t="shared" si="12"/>
        <v>34129.229445332152</v>
      </c>
      <c r="AH15" s="180">
        <f>'A6-Chin (NEW2+Khutz)'!AK21</f>
        <v>1600</v>
      </c>
      <c r="AI15" s="180">
        <f t="shared" si="13"/>
        <v>35729.229445332152</v>
      </c>
      <c r="AJ15" s="184">
        <f t="shared" si="3"/>
        <v>42.050913316536281</v>
      </c>
      <c r="AK15" s="185"/>
      <c r="AL15" s="148">
        <f t="shared" si="14"/>
        <v>20</v>
      </c>
      <c r="AM15" s="186">
        <v>0.16515006179770089</v>
      </c>
      <c r="AN15" s="187">
        <v>0.43873484111493538</v>
      </c>
      <c r="AO15" s="186"/>
      <c r="AP15" s="188">
        <v>11544</v>
      </c>
      <c r="AQ15" s="189">
        <f>AI15-'A6-Chin (NEW2+Khutz)'!AL21</f>
        <v>0</v>
      </c>
      <c r="AR15" s="190">
        <f t="shared" si="15"/>
        <v>0.42050913316536281</v>
      </c>
      <c r="AS15" s="190">
        <f t="shared" si="16"/>
        <v>0.11535442161163703</v>
      </c>
      <c r="AT15" s="190">
        <f t="shared" si="4"/>
        <v>0.69971988795518203</v>
      </c>
      <c r="AU15" s="190">
        <f t="shared" si="5"/>
        <v>0.28655462184873948</v>
      </c>
      <c r="AV15" s="190">
        <f t="shared" si="6"/>
        <v>1.3725490196078431E-2</v>
      </c>
      <c r="AW15" s="163"/>
      <c r="AY15" s="191">
        <v>18046.703991143764</v>
      </c>
      <c r="AZ15" s="191">
        <v>21616.703991143764</v>
      </c>
      <c r="BA15" s="191">
        <v>32772.911392876646</v>
      </c>
      <c r="BB15" s="191">
        <v>34472.911392876646</v>
      </c>
      <c r="BD15" s="191">
        <f t="shared" si="17"/>
        <v>38.296008856235858</v>
      </c>
      <c r="BE15" s="191">
        <f t="shared" si="18"/>
        <v>38.296008856235858</v>
      </c>
      <c r="BF15" s="191">
        <f t="shared" si="19"/>
        <v>1356.3180524555064</v>
      </c>
      <c r="BG15" s="191">
        <f t="shared" si="20"/>
        <v>1256.3180524555064</v>
      </c>
      <c r="BI15" s="192">
        <v>2000</v>
      </c>
      <c r="BJ15" s="56">
        <v>18046.703991143764</v>
      </c>
      <c r="BK15" s="47"/>
      <c r="BL15" s="56">
        <v>49</v>
      </c>
      <c r="BM15" s="56">
        <v>1023</v>
      </c>
      <c r="BN15" s="56">
        <v>2498</v>
      </c>
      <c r="BO15" s="56">
        <v>3570</v>
      </c>
      <c r="BP15" s="47"/>
      <c r="BQ15" s="56">
        <v>21616.703991143764</v>
      </c>
      <c r="BR15" s="47"/>
      <c r="BS15" s="56">
        <v>867.82673267326732</v>
      </c>
      <c r="BT15" s="193">
        <v>1.5</v>
      </c>
      <c r="BU15" s="56">
        <v>1301.7400990099009</v>
      </c>
      <c r="BV15" s="47"/>
      <c r="BW15" s="57">
        <v>214.46730272298021</v>
      </c>
      <c r="BX15" s="56">
        <v>6828</v>
      </c>
      <c r="BY15" s="56">
        <v>7042.4673027229801</v>
      </c>
      <c r="BZ15" s="47"/>
      <c r="CA15" s="56">
        <v>19348.444090153665</v>
      </c>
      <c r="CB15" s="47"/>
      <c r="CC15" s="56">
        <v>49</v>
      </c>
      <c r="CD15" s="56">
        <v>1237.4673027229801</v>
      </c>
      <c r="CE15" s="56">
        <v>9326</v>
      </c>
      <c r="CF15" s="56">
        <v>10612.46730272298</v>
      </c>
      <c r="CG15" s="47"/>
      <c r="CH15" s="56">
        <v>1826</v>
      </c>
      <c r="CI15" s="56">
        <v>986</v>
      </c>
      <c r="CJ15" s="56">
        <v>2812</v>
      </c>
      <c r="CK15" s="47"/>
      <c r="CL15" s="47"/>
      <c r="CM15" s="47"/>
      <c r="CN15" s="47"/>
      <c r="CO15" s="56">
        <v>32772.911392876646</v>
      </c>
      <c r="CP15" s="47">
        <v>700</v>
      </c>
      <c r="CQ15" s="56">
        <v>33472.911392876646</v>
      </c>
      <c r="CR15" s="191">
        <f t="shared" si="21"/>
        <v>-2256.3180524555064</v>
      </c>
    </row>
    <row r="16" spans="1:96" x14ac:dyDescent="0.25">
      <c r="A16" s="995">
        <v>2001</v>
      </c>
      <c r="B16" s="995"/>
      <c r="C16" s="178">
        <f>'A6-Chin (NEW2+Khutz)'!C22</f>
        <v>29341</v>
      </c>
      <c r="D16" s="179"/>
      <c r="E16" s="180">
        <f>'A6-Chin (NEW2+Khutz)'!G22</f>
        <v>195</v>
      </c>
      <c r="F16" s="180">
        <f>'A6-Chin (NEW2+Khutz)'!H22</f>
        <v>722</v>
      </c>
      <c r="G16" s="180">
        <f>'A6-Chin (NEW2+Khutz)'!I22</f>
        <v>5457</v>
      </c>
      <c r="H16" s="180">
        <f t="shared" si="7"/>
        <v>6374</v>
      </c>
      <c r="I16" s="179"/>
      <c r="J16" s="178">
        <f>'A6-Chin (NEW2+Khutz)'!L22</f>
        <v>35715</v>
      </c>
      <c r="K16" s="181">
        <f t="shared" si="0"/>
        <v>17.846843063138738</v>
      </c>
      <c r="L16" s="182">
        <v>3.0593034201443364E-2</v>
      </c>
      <c r="M16" s="182">
        <v>0.11327267022278005</v>
      </c>
      <c r="N16" s="182">
        <v>0.85613429557577658</v>
      </c>
      <c r="O16" s="182"/>
      <c r="P16" s="180">
        <f>'A6-Chin (NEW2+Khutz)'!P22</f>
        <v>4934.837176682855</v>
      </c>
      <c r="Q16" s="179"/>
      <c r="R16" s="183">
        <f>'A6-Chin (NEW2+Khutz)'!R22</f>
        <v>328.00881592926385</v>
      </c>
      <c r="S16" s="180">
        <f>'A6-Chin (NEW2+Khutz)'!S22</f>
        <v>6307</v>
      </c>
      <c r="T16" s="180">
        <f t="shared" si="1"/>
        <v>6635.0088159292636</v>
      </c>
      <c r="U16" s="179"/>
      <c r="V16" s="180">
        <f t="shared" si="2"/>
        <v>34275.837176682857</v>
      </c>
      <c r="W16" s="179"/>
      <c r="X16" s="180">
        <f t="shared" si="8"/>
        <v>195</v>
      </c>
      <c r="Y16" s="180">
        <f t="shared" si="9"/>
        <v>1050.0088159292638</v>
      </c>
      <c r="Z16" s="180">
        <f t="shared" si="9"/>
        <v>11764</v>
      </c>
      <c r="AA16" s="180">
        <f t="shared" si="10"/>
        <v>13009.008815929265</v>
      </c>
      <c r="AB16" s="179"/>
      <c r="AC16" s="180">
        <f>'A6-Chin (NEW2+Khutz)'!AC22</f>
        <v>928</v>
      </c>
      <c r="AD16" s="180">
        <f>'A6-Chin (NEW2+Khutz)'!AD22</f>
        <v>1705</v>
      </c>
      <c r="AE16" s="180">
        <f t="shared" si="11"/>
        <v>2633</v>
      </c>
      <c r="AF16" s="180"/>
      <c r="AG16" s="180">
        <f t="shared" si="12"/>
        <v>49917.845992612121</v>
      </c>
      <c r="AH16" s="180">
        <f>'A6-Chin (NEW2+Khutz)'!AK22</f>
        <v>2300</v>
      </c>
      <c r="AI16" s="180">
        <f t="shared" si="13"/>
        <v>52217.845992612121</v>
      </c>
      <c r="AJ16" s="184">
        <f t="shared" si="3"/>
        <v>34.359917524111836</v>
      </c>
      <c r="AK16" s="185"/>
      <c r="AL16" s="148">
        <f t="shared" si="14"/>
        <v>31</v>
      </c>
      <c r="AM16" s="186">
        <v>0.18367288130709161</v>
      </c>
      <c r="AN16" s="187">
        <v>0.35810551252962147</v>
      </c>
      <c r="AO16" s="186"/>
      <c r="AP16" s="188">
        <v>18046.703991143764</v>
      </c>
      <c r="AQ16" s="189">
        <f>AI16-'A6-Chin (NEW2+Khutz)'!AL22</f>
        <v>0</v>
      </c>
      <c r="AR16" s="190">
        <f t="shared" si="15"/>
        <v>0.34359917524111838</v>
      </c>
      <c r="AS16" s="190">
        <f t="shared" si="16"/>
        <v>0.15279294414111719</v>
      </c>
      <c r="AT16" s="190">
        <f t="shared" si="4"/>
        <v>0.85613429557577658</v>
      </c>
      <c r="AU16" s="190">
        <f t="shared" si="5"/>
        <v>0.11327267022278005</v>
      </c>
      <c r="AV16" s="190">
        <f t="shared" si="6"/>
        <v>3.0593034201443364E-2</v>
      </c>
      <c r="AW16" s="163"/>
      <c r="AY16" s="191">
        <v>28329</v>
      </c>
      <c r="AZ16" s="191">
        <v>34703</v>
      </c>
      <c r="BA16" s="191">
        <v>47898.318267833471</v>
      </c>
      <c r="BB16" s="191">
        <v>50298.318267833471</v>
      </c>
      <c r="BD16" s="191">
        <f t="shared" si="17"/>
        <v>1012</v>
      </c>
      <c r="BE16" s="191">
        <f t="shared" si="18"/>
        <v>1012</v>
      </c>
      <c r="BF16" s="191">
        <f t="shared" si="19"/>
        <v>2019.5277247786507</v>
      </c>
      <c r="BG16" s="191">
        <f t="shared" si="20"/>
        <v>1919.5277247786507</v>
      </c>
      <c r="BI16" s="192">
        <v>2001</v>
      </c>
      <c r="BJ16" s="56">
        <v>28329</v>
      </c>
      <c r="BK16" s="47"/>
      <c r="BL16" s="56">
        <v>195</v>
      </c>
      <c r="BM16" s="56">
        <v>722</v>
      </c>
      <c r="BN16" s="56">
        <v>5457</v>
      </c>
      <c r="BO16" s="56">
        <v>6374</v>
      </c>
      <c r="BP16" s="47"/>
      <c r="BQ16" s="56">
        <v>34703</v>
      </c>
      <c r="BR16" s="47"/>
      <c r="BS16" s="56">
        <v>1550.9935623872698</v>
      </c>
      <c r="BT16" s="193">
        <v>2.5859649134989549</v>
      </c>
      <c r="BU16" s="56">
        <v>4010.8149333962319</v>
      </c>
      <c r="BV16" s="47"/>
      <c r="BW16" s="57">
        <v>328.00881592926385</v>
      </c>
      <c r="BX16" s="56">
        <v>6307</v>
      </c>
      <c r="BY16" s="56">
        <v>6635.0088159292636</v>
      </c>
      <c r="BZ16" s="47"/>
      <c r="CA16" s="56">
        <v>32339.814933396232</v>
      </c>
      <c r="CB16" s="47"/>
      <c r="CC16" s="56">
        <v>195</v>
      </c>
      <c r="CD16" s="56">
        <v>1050.0088159292638</v>
      </c>
      <c r="CE16" s="56">
        <v>11764</v>
      </c>
      <c r="CF16" s="56">
        <v>13009.008815929265</v>
      </c>
      <c r="CG16" s="47"/>
      <c r="CH16" s="56">
        <v>928</v>
      </c>
      <c r="CI16" s="56">
        <v>1705</v>
      </c>
      <c r="CJ16" s="56">
        <v>2633</v>
      </c>
      <c r="CK16" s="47"/>
      <c r="CL16" s="47"/>
      <c r="CM16" s="47"/>
      <c r="CN16" s="47"/>
      <c r="CO16" s="56">
        <v>47981.8237493255</v>
      </c>
      <c r="CP16" s="47">
        <v>700</v>
      </c>
      <c r="CQ16" s="56">
        <v>48681.8237493255</v>
      </c>
      <c r="CR16" s="191">
        <f t="shared" si="21"/>
        <v>-3536.0222432866212</v>
      </c>
    </row>
    <row r="17" spans="1:96" x14ac:dyDescent="0.25">
      <c r="A17" s="995">
        <v>2002</v>
      </c>
      <c r="B17" s="995"/>
      <c r="C17" s="178">
        <f>'A6-Chin (NEW2+Khutz)'!C23</f>
        <v>14360</v>
      </c>
      <c r="D17" s="179"/>
      <c r="E17" s="180">
        <f>'A6-Chin (NEW2+Khutz)'!G23</f>
        <v>151</v>
      </c>
      <c r="F17" s="180">
        <f>'A6-Chin (NEW2+Khutz)'!H23</f>
        <v>703</v>
      </c>
      <c r="G17" s="180">
        <f>'A6-Chin (NEW2+Khutz)'!I23</f>
        <v>1875</v>
      </c>
      <c r="H17" s="180">
        <f t="shared" si="7"/>
        <v>2729</v>
      </c>
      <c r="I17" s="179"/>
      <c r="J17" s="178">
        <f>'A6-Chin (NEW2+Khutz)'!L23</f>
        <v>17089</v>
      </c>
      <c r="K17" s="181">
        <f t="shared" si="0"/>
        <v>15.96933700040962</v>
      </c>
      <c r="L17" s="182">
        <v>5.5331623305240017E-2</v>
      </c>
      <c r="M17" s="182">
        <v>0.25760351777207768</v>
      </c>
      <c r="N17" s="182">
        <v>0.68706485892268232</v>
      </c>
      <c r="O17" s="182"/>
      <c r="P17" s="180">
        <f>'A6-Chin (NEW2+Khutz)'!P23</f>
        <v>2064.7531626832979</v>
      </c>
      <c r="Q17" s="179"/>
      <c r="R17" s="183">
        <f>'A6-Chin (NEW2+Khutz)'!R23</f>
        <v>166.66034979401866</v>
      </c>
      <c r="S17" s="180">
        <f>'A6-Chin (NEW2+Khutz)'!S23</f>
        <v>3555.8882595702994</v>
      </c>
      <c r="T17" s="180">
        <f t="shared" si="1"/>
        <v>3722.5486093643181</v>
      </c>
      <c r="U17" s="179"/>
      <c r="V17" s="180">
        <f t="shared" si="2"/>
        <v>16424.753162683297</v>
      </c>
      <c r="W17" s="179"/>
      <c r="X17" s="180">
        <f t="shared" si="8"/>
        <v>151</v>
      </c>
      <c r="Y17" s="180">
        <f t="shared" si="9"/>
        <v>869.66034979401866</v>
      </c>
      <c r="Z17" s="180">
        <f t="shared" si="9"/>
        <v>5430.8882595702999</v>
      </c>
      <c r="AA17" s="180">
        <f t="shared" si="10"/>
        <v>6451.5486093643185</v>
      </c>
      <c r="AB17" s="179"/>
      <c r="AC17" s="180">
        <f>'A6-Chin (NEW2+Khutz)'!AC23</f>
        <v>5980</v>
      </c>
      <c r="AD17" s="180">
        <f>'A6-Chin (NEW2+Khutz)'!AD23</f>
        <v>1116</v>
      </c>
      <c r="AE17" s="180">
        <f t="shared" si="11"/>
        <v>7096</v>
      </c>
      <c r="AF17" s="180"/>
      <c r="AG17" s="180">
        <f t="shared" si="12"/>
        <v>29972.301772047616</v>
      </c>
      <c r="AH17" s="180">
        <f>'A6-Chin (NEW2+Khutz)'!AK23</f>
        <v>1400</v>
      </c>
      <c r="AI17" s="180">
        <f t="shared" si="13"/>
        <v>31372.301772047616</v>
      </c>
      <c r="AJ17" s="184">
        <f t="shared" si="3"/>
        <v>47.64568668876705</v>
      </c>
      <c r="AK17" s="185"/>
      <c r="AL17" s="148">
        <f t="shared" si="14"/>
        <v>15</v>
      </c>
      <c r="AM17" s="186">
        <v>0.16970337665568061</v>
      </c>
      <c r="AN17" s="187">
        <v>0.50240429050080715</v>
      </c>
      <c r="AO17" s="186"/>
      <c r="AP17" s="188">
        <v>28329</v>
      </c>
      <c r="AQ17" s="189">
        <f>AI17-'A6-Chin (NEW2+Khutz)'!AL23</f>
        <v>0</v>
      </c>
      <c r="AR17" s="190">
        <f t="shared" si="15"/>
        <v>0.47645686688767047</v>
      </c>
      <c r="AS17" s="190">
        <f t="shared" si="16"/>
        <v>0.10971970273275207</v>
      </c>
      <c r="AT17" s="190">
        <f t="shared" si="4"/>
        <v>0.68706485892268232</v>
      </c>
      <c r="AU17" s="190">
        <f t="shared" si="5"/>
        <v>0.25760351777207768</v>
      </c>
      <c r="AV17" s="190">
        <f t="shared" si="6"/>
        <v>5.5331623305240017E-2</v>
      </c>
      <c r="AW17" s="163"/>
      <c r="AY17" s="191">
        <v>13352</v>
      </c>
      <c r="AZ17" s="191">
        <v>16081</v>
      </c>
      <c r="BA17" s="191">
        <v>28352.032162114476</v>
      </c>
      <c r="BB17" s="191">
        <v>29752.032162114476</v>
      </c>
      <c r="BD17" s="191">
        <f t="shared" si="17"/>
        <v>1008</v>
      </c>
      <c r="BE17" s="191">
        <f t="shared" si="18"/>
        <v>1008</v>
      </c>
      <c r="BF17" s="191">
        <f t="shared" si="19"/>
        <v>1620.2696099331406</v>
      </c>
      <c r="BG17" s="191">
        <f t="shared" si="20"/>
        <v>1620.2696099331406</v>
      </c>
      <c r="BI17" s="192">
        <v>2002</v>
      </c>
      <c r="BJ17" s="56">
        <v>13352</v>
      </c>
      <c r="BK17" s="47"/>
      <c r="BL17" s="56">
        <v>151</v>
      </c>
      <c r="BM17" s="56">
        <v>703</v>
      </c>
      <c r="BN17" s="56">
        <v>1875</v>
      </c>
      <c r="BO17" s="56">
        <v>2729</v>
      </c>
      <c r="BP17" s="47"/>
      <c r="BQ17" s="56">
        <v>16081</v>
      </c>
      <c r="BR17" s="47"/>
      <c r="BS17" s="56">
        <v>731.01295651081273</v>
      </c>
      <c r="BT17" s="193">
        <v>1.9869463869463868</v>
      </c>
      <c r="BU17" s="56">
        <v>1452.4835527501555</v>
      </c>
      <c r="BV17" s="47"/>
      <c r="BW17" s="57">
        <v>166.66034979401866</v>
      </c>
      <c r="BX17" s="56">
        <v>3555.8882595702994</v>
      </c>
      <c r="BY17" s="56">
        <v>3722.5486093643181</v>
      </c>
      <c r="BZ17" s="47"/>
      <c r="CA17" s="56">
        <v>14804.483552750156</v>
      </c>
      <c r="CB17" s="47"/>
      <c r="CC17" s="56">
        <v>151</v>
      </c>
      <c r="CD17" s="56">
        <v>869.66034979401866</v>
      </c>
      <c r="CE17" s="56">
        <v>5430.8882595702999</v>
      </c>
      <c r="CF17" s="56">
        <v>6451.5486093643185</v>
      </c>
      <c r="CG17" s="47"/>
      <c r="CH17" s="56">
        <v>5980</v>
      </c>
      <c r="CI17" s="56">
        <v>1116</v>
      </c>
      <c r="CJ17" s="56">
        <v>7096</v>
      </c>
      <c r="CK17" s="47"/>
      <c r="CL17" s="47"/>
      <c r="CM17" s="47"/>
      <c r="CN17" s="47"/>
      <c r="CO17" s="56">
        <v>28352.032162114476</v>
      </c>
      <c r="CP17" s="47">
        <v>700</v>
      </c>
      <c r="CQ17" s="56">
        <v>29052.032162114476</v>
      </c>
      <c r="CR17" s="191">
        <f t="shared" si="21"/>
        <v>-2320.2696099331406</v>
      </c>
    </row>
    <row r="18" spans="1:96" x14ac:dyDescent="0.25">
      <c r="A18" s="995">
        <v>2003</v>
      </c>
      <c r="B18" s="995"/>
      <c r="C18" s="178">
        <f>'A6-Chin (NEW2+Khutz)'!C24</f>
        <v>30740</v>
      </c>
      <c r="D18" s="179"/>
      <c r="E18" s="180">
        <f>'A6-Chin (NEW2+Khutz)'!G24</f>
        <v>181</v>
      </c>
      <c r="F18" s="180">
        <f>'A6-Chin (NEW2+Khutz)'!H24</f>
        <v>1030</v>
      </c>
      <c r="G18" s="180">
        <f>'A6-Chin (NEW2+Khutz)'!I24</f>
        <v>2403</v>
      </c>
      <c r="H18" s="180">
        <f t="shared" si="7"/>
        <v>3614</v>
      </c>
      <c r="I18" s="179"/>
      <c r="J18" s="178">
        <f>'A6-Chin (NEW2+Khutz)'!L24</f>
        <v>34354</v>
      </c>
      <c r="K18" s="181">
        <f t="shared" si="0"/>
        <v>10.519881236537231</v>
      </c>
      <c r="L18" s="182">
        <v>5.008301051466519E-2</v>
      </c>
      <c r="M18" s="182">
        <v>0.28500276701715549</v>
      </c>
      <c r="N18" s="182">
        <v>0.66491422246817933</v>
      </c>
      <c r="O18" s="182"/>
      <c r="P18" s="180">
        <f>'A6-Chin (NEW2+Khutz)'!P24</f>
        <v>2968.938640383868</v>
      </c>
      <c r="Q18" s="179"/>
      <c r="R18" s="183">
        <f>'A6-Chin (NEW2+Khutz)'!R24</f>
        <v>160.02049522055177</v>
      </c>
      <c r="S18" s="180">
        <f>'A6-Chin (NEW2+Khutz)'!S24</f>
        <v>4306</v>
      </c>
      <c r="T18" s="180">
        <f t="shared" si="1"/>
        <v>4466.0204952205513</v>
      </c>
      <c r="U18" s="179"/>
      <c r="V18" s="180">
        <f t="shared" si="2"/>
        <v>33708.938640383865</v>
      </c>
      <c r="W18" s="179"/>
      <c r="X18" s="180">
        <f t="shared" si="8"/>
        <v>181</v>
      </c>
      <c r="Y18" s="180">
        <f t="shared" si="9"/>
        <v>1190.0204952205518</v>
      </c>
      <c r="Z18" s="180">
        <f t="shared" si="9"/>
        <v>6709</v>
      </c>
      <c r="AA18" s="180">
        <f t="shared" si="10"/>
        <v>8080.0204952205513</v>
      </c>
      <c r="AB18" s="179"/>
      <c r="AC18" s="180">
        <f>'A6-Chin (NEW2+Khutz)'!AC24</f>
        <v>6076</v>
      </c>
      <c r="AD18" s="180">
        <f>'A6-Chin (NEW2+Khutz)'!AD24</f>
        <v>1167</v>
      </c>
      <c r="AE18" s="180">
        <f t="shared" si="11"/>
        <v>7243</v>
      </c>
      <c r="AF18" s="180"/>
      <c r="AG18" s="180">
        <f t="shared" si="12"/>
        <v>49031.959135604418</v>
      </c>
      <c r="AH18" s="180">
        <f>'A6-Chin (NEW2+Khutz)'!AK24</f>
        <v>2300</v>
      </c>
      <c r="AI18" s="180">
        <f t="shared" si="13"/>
        <v>51331.959135604418</v>
      </c>
      <c r="AJ18" s="184">
        <f t="shared" si="3"/>
        <v>34.331478462892001</v>
      </c>
      <c r="AK18" s="185"/>
      <c r="AL18" s="148">
        <f t="shared" si="14"/>
        <v>32</v>
      </c>
      <c r="AM18" s="186">
        <v>0.12266495509306749</v>
      </c>
      <c r="AN18" s="187">
        <v>0.38262515892687138</v>
      </c>
      <c r="AO18" s="186"/>
      <c r="AP18" s="188">
        <v>13352</v>
      </c>
      <c r="AQ18" s="189">
        <f>AI18-'A6-Chin (NEW2+Khutz)'!AL24</f>
        <v>0</v>
      </c>
      <c r="AR18" s="190">
        <f t="shared" si="15"/>
        <v>0.34331478462892001</v>
      </c>
      <c r="AS18" s="190">
        <f t="shared" si="16"/>
        <v>6.9948186528497408E-2</v>
      </c>
      <c r="AT18" s="190">
        <f t="shared" si="4"/>
        <v>0.66491422246817933</v>
      </c>
      <c r="AU18" s="190">
        <f t="shared" si="5"/>
        <v>0.28500276701715549</v>
      </c>
      <c r="AV18" s="190">
        <f t="shared" si="6"/>
        <v>5.008301051466519E-2</v>
      </c>
      <c r="AW18" s="163"/>
      <c r="AY18" s="191">
        <v>25848.367611499238</v>
      </c>
      <c r="AZ18" s="191">
        <v>29462.367611499238</v>
      </c>
      <c r="BA18" s="191">
        <v>43596.832974513345</v>
      </c>
      <c r="BB18" s="191">
        <v>45796.832974513345</v>
      </c>
      <c r="BD18" s="191">
        <f t="shared" si="17"/>
        <v>4891.6323885007623</v>
      </c>
      <c r="BE18" s="191">
        <f t="shared" si="18"/>
        <v>4891.6323885007623</v>
      </c>
      <c r="BF18" s="191">
        <f t="shared" si="19"/>
        <v>5435.1261610910733</v>
      </c>
      <c r="BG18" s="191">
        <f t="shared" si="20"/>
        <v>5535.1261610910733</v>
      </c>
      <c r="BI18" s="192">
        <v>2003</v>
      </c>
      <c r="BJ18" s="56">
        <v>25848.367611499238</v>
      </c>
      <c r="BK18" s="47"/>
      <c r="BL18" s="56">
        <v>181</v>
      </c>
      <c r="BM18" s="56">
        <v>1030</v>
      </c>
      <c r="BN18" s="56">
        <v>2403</v>
      </c>
      <c r="BO18" s="56">
        <v>3614</v>
      </c>
      <c r="BP18" s="47"/>
      <c r="BQ18" s="56">
        <v>29462.367611499238</v>
      </c>
      <c r="BR18" s="47"/>
      <c r="BS18" s="56">
        <v>1415.1806192825316</v>
      </c>
      <c r="BT18" s="193">
        <v>1.7138765432098764</v>
      </c>
      <c r="BU18" s="56">
        <v>2425.4448677935575</v>
      </c>
      <c r="BV18" s="47"/>
      <c r="BW18" s="57">
        <v>160.02049522055177</v>
      </c>
      <c r="BX18" s="56">
        <v>4306</v>
      </c>
      <c r="BY18" s="56">
        <v>4466.0204952205513</v>
      </c>
      <c r="BZ18" s="47"/>
      <c r="CA18" s="56">
        <v>28273.812479292796</v>
      </c>
      <c r="CB18" s="47"/>
      <c r="CC18" s="56">
        <v>181</v>
      </c>
      <c r="CD18" s="56">
        <v>1190.0204952205518</v>
      </c>
      <c r="CE18" s="56">
        <v>6709</v>
      </c>
      <c r="CF18" s="56">
        <v>8080.0204952205513</v>
      </c>
      <c r="CG18" s="47"/>
      <c r="CH18" s="56">
        <v>6076</v>
      </c>
      <c r="CI18" s="56">
        <v>1167</v>
      </c>
      <c r="CJ18" s="56">
        <v>7243</v>
      </c>
      <c r="CK18" s="47"/>
      <c r="CL18" s="47"/>
      <c r="CM18" s="47"/>
      <c r="CN18" s="47"/>
      <c r="CO18" s="56">
        <v>43596.832974513345</v>
      </c>
      <c r="CP18" s="47">
        <v>700</v>
      </c>
      <c r="CQ18" s="56">
        <v>44296.832974513345</v>
      </c>
      <c r="CR18" s="191">
        <f t="shared" si="21"/>
        <v>-7035.1261610910733</v>
      </c>
    </row>
    <row r="19" spans="1:96" x14ac:dyDescent="0.25">
      <c r="A19" s="995">
        <v>2004</v>
      </c>
      <c r="B19" s="995"/>
      <c r="C19" s="178">
        <f>'A6-Chin (NEW2+Khutz)'!C25</f>
        <v>13736.6</v>
      </c>
      <c r="D19" s="179"/>
      <c r="E19" s="180">
        <f>'A6-Chin (NEW2+Khutz)'!G25</f>
        <v>230</v>
      </c>
      <c r="F19" s="180">
        <f>'A6-Chin (NEW2+Khutz)'!H25</f>
        <v>643</v>
      </c>
      <c r="G19" s="180">
        <f>'A6-Chin (NEW2+Khutz)'!I25</f>
        <v>1994.4</v>
      </c>
      <c r="H19" s="180">
        <f t="shared" si="7"/>
        <v>2867.4</v>
      </c>
      <c r="I19" s="179"/>
      <c r="J19" s="178">
        <f>'A6-Chin (NEW2+Khutz)'!L25</f>
        <v>16604</v>
      </c>
      <c r="K19" s="181">
        <f t="shared" si="0"/>
        <v>17.269332690917853</v>
      </c>
      <c r="L19" s="182">
        <v>8.0212038780777012E-2</v>
      </c>
      <c r="M19" s="182">
        <v>0.22424496059147658</v>
      </c>
      <c r="N19" s="182">
        <v>0.69554300062774643</v>
      </c>
      <c r="O19" s="182"/>
      <c r="P19" s="180">
        <f>'A6-Chin (NEW2+Khutz)'!P25</f>
        <v>1841.9325947418361</v>
      </c>
      <c r="Q19" s="179"/>
      <c r="R19" s="183">
        <f>'A6-Chin (NEW2+Khutz)'!R25</f>
        <v>287.10379110691798</v>
      </c>
      <c r="S19" s="180">
        <f>'A6-Chin (NEW2+Khutz)'!S25</f>
        <v>3990.2</v>
      </c>
      <c r="T19" s="180">
        <f t="shared" si="1"/>
        <v>4277.3037911069177</v>
      </c>
      <c r="U19" s="179"/>
      <c r="V19" s="180">
        <f t="shared" si="2"/>
        <v>15578.532594741837</v>
      </c>
      <c r="W19" s="179"/>
      <c r="X19" s="180">
        <f t="shared" si="8"/>
        <v>230</v>
      </c>
      <c r="Y19" s="180">
        <f t="shared" si="9"/>
        <v>930.10379110691792</v>
      </c>
      <c r="Z19" s="180">
        <f t="shared" si="9"/>
        <v>5984.6</v>
      </c>
      <c r="AA19" s="180">
        <f t="shared" si="10"/>
        <v>7144.7037911069183</v>
      </c>
      <c r="AB19" s="179"/>
      <c r="AC19" s="180">
        <f>'A6-Chin (NEW2+Khutz)'!AC25</f>
        <v>7185.5119999999997</v>
      </c>
      <c r="AD19" s="180">
        <f>'A6-Chin (NEW2+Khutz)'!AD25</f>
        <v>1925</v>
      </c>
      <c r="AE19" s="180">
        <f t="shared" si="11"/>
        <v>9110.5119999999988</v>
      </c>
      <c r="AF19" s="180"/>
      <c r="AG19" s="180">
        <f t="shared" si="12"/>
        <v>31833.748385848754</v>
      </c>
      <c r="AH19" s="180">
        <f>'A6-Chin (NEW2+Khutz)'!AK25</f>
        <v>598</v>
      </c>
      <c r="AI19" s="180">
        <f t="shared" si="13"/>
        <v>32431.748385848754</v>
      </c>
      <c r="AJ19" s="184">
        <f t="shared" si="3"/>
        <v>51.965178042823723</v>
      </c>
      <c r="AK19" s="185"/>
      <c r="AL19" s="148">
        <f t="shared" si="14"/>
        <v>13</v>
      </c>
      <c r="AM19" s="186">
        <v>0.15883979048921207</v>
      </c>
      <c r="AN19" s="187">
        <v>0.49967137128543698</v>
      </c>
      <c r="AO19" s="186"/>
      <c r="AP19" s="188">
        <v>25848.367611499238</v>
      </c>
      <c r="AQ19" s="189">
        <f>AI19-'A6-Chin (NEW2+Khutz)'!AL25</f>
        <v>0</v>
      </c>
      <c r="AR19" s="190">
        <f t="shared" si="15"/>
        <v>0.51965178042823723</v>
      </c>
      <c r="AS19" s="190">
        <f t="shared" si="16"/>
        <v>0.12011563478679836</v>
      </c>
      <c r="AT19" s="190">
        <f t="shared" si="4"/>
        <v>0.69554300062774643</v>
      </c>
      <c r="AU19" s="190">
        <f t="shared" si="5"/>
        <v>0.22424496059147658</v>
      </c>
      <c r="AV19" s="190">
        <f t="shared" si="6"/>
        <v>8.0212038780777012E-2</v>
      </c>
      <c r="AW19" s="163"/>
      <c r="AY19" s="191">
        <v>15184.751738356423</v>
      </c>
      <c r="AZ19" s="191">
        <v>18052.151738356424</v>
      </c>
      <c r="BA19" s="191">
        <v>33130.599955108351</v>
      </c>
      <c r="BB19" s="191">
        <v>33728.599955108351</v>
      </c>
      <c r="BD19" s="191">
        <f t="shared" si="17"/>
        <v>-1448.1517383564224</v>
      </c>
      <c r="BE19" s="191">
        <f t="shared" si="18"/>
        <v>-1448.1517383564242</v>
      </c>
      <c r="BF19" s="191">
        <f t="shared" si="19"/>
        <v>-1296.8515692595975</v>
      </c>
      <c r="BG19" s="191">
        <f t="shared" si="20"/>
        <v>-1296.8515692595975</v>
      </c>
      <c r="BI19" s="192">
        <v>2004</v>
      </c>
      <c r="BJ19" s="56">
        <v>15184.751738356423</v>
      </c>
      <c r="BK19" s="47"/>
      <c r="BL19" s="56">
        <v>230</v>
      </c>
      <c r="BM19" s="56">
        <v>643</v>
      </c>
      <c r="BN19" s="56">
        <v>1926</v>
      </c>
      <c r="BO19" s="56">
        <v>2799</v>
      </c>
      <c r="BP19" s="47"/>
      <c r="BQ19" s="56">
        <v>17983.751738356423</v>
      </c>
      <c r="BR19" s="47"/>
      <c r="BS19" s="56">
        <v>831.35487283842303</v>
      </c>
      <c r="BT19" s="193">
        <v>2.0335869565217393</v>
      </c>
      <c r="BU19" s="56">
        <v>1690.6324256450062</v>
      </c>
      <c r="BV19" s="47"/>
      <c r="BW19" s="57">
        <v>287.10379110691798</v>
      </c>
      <c r="BX19" s="56">
        <v>3950</v>
      </c>
      <c r="BY19" s="56">
        <v>4237.1037911069179</v>
      </c>
      <c r="BZ19" s="47"/>
      <c r="CA19" s="56">
        <v>16875.384164001429</v>
      </c>
      <c r="CB19" s="47"/>
      <c r="CC19" s="56">
        <v>230</v>
      </c>
      <c r="CD19" s="56">
        <v>930.10379110691792</v>
      </c>
      <c r="CE19" s="56">
        <v>5876</v>
      </c>
      <c r="CF19" s="56">
        <v>7036.1037911069179</v>
      </c>
      <c r="CG19" s="47"/>
      <c r="CH19" s="56">
        <v>6689</v>
      </c>
      <c r="CI19" s="56">
        <v>1925</v>
      </c>
      <c r="CJ19" s="56">
        <v>8614</v>
      </c>
      <c r="CK19" s="47"/>
      <c r="CL19" s="47" t="e">
        <v>#REF!</v>
      </c>
      <c r="CM19" s="47" t="e">
        <v>#REF!</v>
      </c>
      <c r="CN19" s="47" t="e">
        <v>#REF!</v>
      </c>
      <c r="CO19" s="56">
        <v>32525.487955108347</v>
      </c>
      <c r="CP19" s="47">
        <v>598</v>
      </c>
      <c r="CQ19" s="56">
        <v>33123.487955108343</v>
      </c>
      <c r="CR19" s="191">
        <f t="shared" si="21"/>
        <v>691.73956925958919</v>
      </c>
    </row>
    <row r="20" spans="1:96" x14ac:dyDescent="0.25">
      <c r="A20" s="995">
        <v>2005</v>
      </c>
      <c r="B20" s="995"/>
      <c r="C20" s="178">
        <f>'A6-Chin (NEW2+Khutz)'!C26</f>
        <v>13109.8</v>
      </c>
      <c r="D20" s="179"/>
      <c r="E20" s="180">
        <f>'A6-Chin (NEW2+Khutz)'!G26</f>
        <v>179</v>
      </c>
      <c r="F20" s="180">
        <f>'A6-Chin (NEW2+Khutz)'!H26</f>
        <v>600</v>
      </c>
      <c r="G20" s="180">
        <f>'A6-Chin (NEW2+Khutz)'!I26</f>
        <v>2290.1999999999998</v>
      </c>
      <c r="H20" s="180">
        <f t="shared" si="7"/>
        <v>3069.2</v>
      </c>
      <c r="I20" s="179"/>
      <c r="J20" s="178">
        <f>'A6-Chin (NEW2+Khutz)'!L26</f>
        <v>16178.999999999998</v>
      </c>
      <c r="K20" s="181">
        <f t="shared" si="0"/>
        <v>18.970270103220223</v>
      </c>
      <c r="L20" s="182">
        <v>5.8000129609228179E-2</v>
      </c>
      <c r="M20" s="182">
        <v>0.19992223446309379</v>
      </c>
      <c r="N20" s="182">
        <v>0.74207763592767806</v>
      </c>
      <c r="O20" s="182"/>
      <c r="P20" s="180">
        <f>'A6-Chin (NEW2+Khutz)'!P26</f>
        <v>2546.645006786744</v>
      </c>
      <c r="Q20" s="179"/>
      <c r="R20" s="183">
        <f>'A6-Chin (NEW2+Khutz)'!R26</f>
        <v>156.13668283080534</v>
      </c>
      <c r="S20" s="180">
        <f>'A6-Chin (NEW2+Khutz)'!S26</f>
        <v>4311.2000000000007</v>
      </c>
      <c r="T20" s="180">
        <f t="shared" si="1"/>
        <v>4467.3366828308062</v>
      </c>
      <c r="U20" s="179"/>
      <c r="V20" s="180">
        <f t="shared" si="2"/>
        <v>15656.445006786744</v>
      </c>
      <c r="W20" s="179"/>
      <c r="X20" s="180">
        <f t="shared" si="8"/>
        <v>179</v>
      </c>
      <c r="Y20" s="180">
        <f t="shared" si="9"/>
        <v>756.13668283080528</v>
      </c>
      <c r="Z20" s="180">
        <f t="shared" si="9"/>
        <v>6601.4000000000005</v>
      </c>
      <c r="AA20" s="180">
        <f t="shared" si="10"/>
        <v>7536.5366828308061</v>
      </c>
      <c r="AB20" s="179"/>
      <c r="AC20" s="180">
        <f>'A6-Chin (NEW2+Khutz)'!AC26</f>
        <v>3448.6480000000001</v>
      </c>
      <c r="AD20" s="180">
        <f>'A6-Chin (NEW2+Khutz)'!AD26</f>
        <v>1542</v>
      </c>
      <c r="AE20" s="180">
        <f t="shared" si="11"/>
        <v>4990.6480000000001</v>
      </c>
      <c r="AF20" s="180"/>
      <c r="AG20" s="180">
        <f t="shared" si="12"/>
        <v>28183.629689617552</v>
      </c>
      <c r="AH20" s="180">
        <f>'A6-Chin (NEW2+Khutz)'!AK26</f>
        <v>251</v>
      </c>
      <c r="AI20" s="180">
        <f t="shared" si="13"/>
        <v>28434.629689617552</v>
      </c>
      <c r="AJ20" s="184">
        <f t="shared" si="3"/>
        <v>44.938811661389614</v>
      </c>
      <c r="AK20" s="185"/>
      <c r="AL20" s="148">
        <f t="shared" si="14"/>
        <v>12</v>
      </c>
      <c r="AM20" s="186">
        <v>0.18378238213146536</v>
      </c>
      <c r="AN20" s="187">
        <v>0.45106725768622663</v>
      </c>
      <c r="AO20" s="186"/>
      <c r="AP20" s="188">
        <v>15184.751738356423</v>
      </c>
      <c r="AQ20" s="189">
        <f>AI20-'A6-Chin (NEW2+Khutz)'!AL26</f>
        <v>0</v>
      </c>
      <c r="AR20" s="190">
        <f t="shared" si="15"/>
        <v>0.44938811661389616</v>
      </c>
      <c r="AS20" s="190">
        <f t="shared" si="16"/>
        <v>0.14155386612275173</v>
      </c>
      <c r="AT20" s="190">
        <f t="shared" si="4"/>
        <v>0.74618793170858855</v>
      </c>
      <c r="AU20" s="190">
        <f t="shared" si="5"/>
        <v>0.19549068161084324</v>
      </c>
      <c r="AV20" s="190">
        <f t="shared" si="6"/>
        <v>5.832138668056823E-2</v>
      </c>
      <c r="AW20" s="163"/>
      <c r="AY20" s="191">
        <v>13706.486895266944</v>
      </c>
      <c r="AZ20" s="191">
        <v>16792.686895266943</v>
      </c>
      <c r="BA20" s="191">
        <v>28115.467449808668</v>
      </c>
      <c r="BB20" s="191">
        <v>28366.467449808668</v>
      </c>
      <c r="BD20" s="191">
        <f t="shared" si="17"/>
        <v>-596.6868952669447</v>
      </c>
      <c r="BE20" s="191">
        <f t="shared" si="18"/>
        <v>-613.6868952669447</v>
      </c>
      <c r="BF20" s="191">
        <f t="shared" si="19"/>
        <v>68.162239808883896</v>
      </c>
      <c r="BG20" s="191">
        <f t="shared" si="20"/>
        <v>68.162239808883896</v>
      </c>
      <c r="BI20" s="192">
        <v>2005</v>
      </c>
      <c r="BJ20" s="56">
        <v>13706.486895266944</v>
      </c>
      <c r="BK20" s="47"/>
      <c r="BL20" s="56">
        <v>179</v>
      </c>
      <c r="BM20" s="56">
        <v>617</v>
      </c>
      <c r="BN20" s="56">
        <v>2262</v>
      </c>
      <c r="BO20" s="56">
        <v>3058</v>
      </c>
      <c r="BP20" s="47"/>
      <c r="BQ20" s="56">
        <v>16764.486895266942</v>
      </c>
      <c r="BR20" s="47"/>
      <c r="BS20" s="56">
        <v>750.42087392793474</v>
      </c>
      <c r="BT20" s="193">
        <v>2.4849999999999999</v>
      </c>
      <c r="BU20" s="56">
        <v>1864.7958717109177</v>
      </c>
      <c r="BV20" s="47"/>
      <c r="BW20" s="57">
        <v>156.13668283080534</v>
      </c>
      <c r="BX20" s="56">
        <v>4283</v>
      </c>
      <c r="BY20" s="56">
        <v>4439.1366828308055</v>
      </c>
      <c r="BZ20" s="47"/>
      <c r="CA20" s="56">
        <v>15571.282766977862</v>
      </c>
      <c r="CB20" s="47"/>
      <c r="CC20" s="56">
        <v>179</v>
      </c>
      <c r="CD20" s="56">
        <v>773.13668283080528</v>
      </c>
      <c r="CE20" s="56">
        <v>6545</v>
      </c>
      <c r="CF20" s="56">
        <v>7497.1366828308055</v>
      </c>
      <c r="CG20" s="47"/>
      <c r="CH20" s="56">
        <v>3115</v>
      </c>
      <c r="CI20" s="56">
        <v>1542</v>
      </c>
      <c r="CJ20" s="56">
        <v>4657</v>
      </c>
      <c r="CK20" s="47"/>
      <c r="CL20" s="47" t="e">
        <v>#REF!</v>
      </c>
      <c r="CM20" s="47" t="e">
        <v>#REF!</v>
      </c>
      <c r="CN20" s="47" t="e">
        <v>#REF!</v>
      </c>
      <c r="CO20" s="56">
        <v>27725.419449808665</v>
      </c>
      <c r="CP20" s="47">
        <v>251</v>
      </c>
      <c r="CQ20" s="56">
        <v>27976.419449808665</v>
      </c>
      <c r="CR20" s="191">
        <f t="shared" si="21"/>
        <v>-458.2102398088864</v>
      </c>
    </row>
    <row r="21" spans="1:96" x14ac:dyDescent="0.25">
      <c r="A21" s="995">
        <v>2006</v>
      </c>
      <c r="B21" s="995"/>
      <c r="C21" s="178">
        <f>'A6-Chin (NEW2+Khutz)'!C27</f>
        <v>22580.6</v>
      </c>
      <c r="D21" s="179"/>
      <c r="E21" s="180">
        <f>'A6-Chin (NEW2+Khutz)'!G27</f>
        <v>456</v>
      </c>
      <c r="F21" s="180">
        <f>'A6-Chin (NEW2+Khutz)'!H27</f>
        <v>1012</v>
      </c>
      <c r="G21" s="180">
        <f>'A6-Chin (NEW2+Khutz)'!I27</f>
        <v>3584.4</v>
      </c>
      <c r="H21" s="180">
        <f t="shared" si="7"/>
        <v>5052.3999999999996</v>
      </c>
      <c r="I21" s="179"/>
      <c r="J21" s="178">
        <f>'A6-Chin (NEW2+Khutz)'!L27</f>
        <v>27633</v>
      </c>
      <c r="K21" s="181">
        <f t="shared" si="0"/>
        <v>18.283935873774109</v>
      </c>
      <c r="L21" s="182">
        <v>8.9721391468597519E-2</v>
      </c>
      <c r="M21" s="182">
        <v>0.20502124980324257</v>
      </c>
      <c r="N21" s="182">
        <v>0.70525735872815998</v>
      </c>
      <c r="O21" s="182"/>
      <c r="P21" s="180">
        <f>'A6-Chin (NEW2+Khutz)'!P27</f>
        <v>5575.3394342094998</v>
      </c>
      <c r="Q21" s="179"/>
      <c r="R21" s="183">
        <f>'A6-Chin (NEW2+Khutz)'!R27</f>
        <v>267.9066579719829</v>
      </c>
      <c r="S21" s="180">
        <f>'A6-Chin (NEW2+Khutz)'!S27</f>
        <v>4225.3999999999996</v>
      </c>
      <c r="T21" s="180">
        <f t="shared" si="1"/>
        <v>4493.3066579719825</v>
      </c>
      <c r="U21" s="179"/>
      <c r="V21" s="180">
        <f t="shared" si="2"/>
        <v>28155.939434209497</v>
      </c>
      <c r="W21" s="179"/>
      <c r="X21" s="180">
        <f t="shared" si="8"/>
        <v>456</v>
      </c>
      <c r="Y21" s="180">
        <f t="shared" si="9"/>
        <v>1279.9066579719829</v>
      </c>
      <c r="Z21" s="180">
        <f t="shared" si="9"/>
        <v>7809.7999999999993</v>
      </c>
      <c r="AA21" s="180">
        <f t="shared" si="10"/>
        <v>9545.7066579719831</v>
      </c>
      <c r="AB21" s="179"/>
      <c r="AC21" s="180">
        <f>'A6-Chin (NEW2+Khutz)'!AC27</f>
        <v>4939.2640000000001</v>
      </c>
      <c r="AD21" s="180">
        <f>'A6-Chin (NEW2+Khutz)'!AD27</f>
        <v>983</v>
      </c>
      <c r="AE21" s="180">
        <f t="shared" si="11"/>
        <v>5922.2640000000001</v>
      </c>
      <c r="AF21" s="180"/>
      <c r="AG21" s="180">
        <f t="shared" si="12"/>
        <v>43623.910092181482</v>
      </c>
      <c r="AH21" s="180">
        <f>'A6-Chin (NEW2+Khutz)'!AK27</f>
        <v>1750</v>
      </c>
      <c r="AI21" s="180">
        <f t="shared" si="13"/>
        <v>45373.910092181482</v>
      </c>
      <c r="AJ21" s="184">
        <f t="shared" si="3"/>
        <v>37.946852327674677</v>
      </c>
      <c r="AK21" s="185"/>
      <c r="AL21" s="148">
        <f t="shared" si="14"/>
        <v>26</v>
      </c>
      <c r="AM21" s="186">
        <v>0.1772311525961407</v>
      </c>
      <c r="AN21" s="187">
        <v>0.38067270057311681</v>
      </c>
      <c r="AO21" s="186"/>
      <c r="AP21" s="188">
        <v>13706.486895266944</v>
      </c>
      <c r="AQ21" s="189">
        <f>AI21-'A6-Chin (NEW2+Khutz)'!AL27</f>
        <v>0</v>
      </c>
      <c r="AR21" s="190">
        <f t="shared" si="15"/>
        <v>0.37946852327674674</v>
      </c>
      <c r="AS21" s="190">
        <f t="shared" si="16"/>
        <v>0.12971447182716317</v>
      </c>
      <c r="AT21" s="190">
        <f t="shared" si="4"/>
        <v>0.70944501622991063</v>
      </c>
      <c r="AU21" s="190">
        <f t="shared" si="5"/>
        <v>0.20030084712215979</v>
      </c>
      <c r="AV21" s="190">
        <f t="shared" si="6"/>
        <v>9.0254136647929709E-2</v>
      </c>
      <c r="AW21" s="163"/>
      <c r="AY21" s="191">
        <v>23594.274081002797</v>
      </c>
      <c r="AZ21" s="191">
        <v>28676.674081002799</v>
      </c>
      <c r="BA21" s="191">
        <v>43559.187215170736</v>
      </c>
      <c r="BB21" s="191">
        <v>45309.187215170736</v>
      </c>
      <c r="BD21" s="191">
        <f t="shared" si="17"/>
        <v>-1013.6740810027986</v>
      </c>
      <c r="BE21" s="191">
        <f t="shared" si="18"/>
        <v>-1043.6740810027986</v>
      </c>
      <c r="BF21" s="191">
        <f t="shared" si="19"/>
        <v>64.722877010746743</v>
      </c>
      <c r="BG21" s="191">
        <f t="shared" si="20"/>
        <v>64.722877010746743</v>
      </c>
      <c r="BI21" s="192">
        <v>2006</v>
      </c>
      <c r="BJ21" s="56">
        <v>23594.274081002797</v>
      </c>
      <c r="BK21" s="47"/>
      <c r="BL21" s="56">
        <v>456</v>
      </c>
      <c r="BM21" s="56">
        <v>1043</v>
      </c>
      <c r="BN21" s="56">
        <v>3525</v>
      </c>
      <c r="BO21" s="56">
        <v>5024</v>
      </c>
      <c r="BP21" s="47"/>
      <c r="BQ21" s="56">
        <v>28618.274081002797</v>
      </c>
      <c r="BR21" s="47"/>
      <c r="BS21" s="56">
        <v>1291.7705252157211</v>
      </c>
      <c r="BT21" s="193">
        <v>3.4580000000000002</v>
      </c>
      <c r="BU21" s="56">
        <v>4466.9424761959635</v>
      </c>
      <c r="BV21" s="47"/>
      <c r="BW21" s="57">
        <v>267.9066579719829</v>
      </c>
      <c r="BX21" s="56">
        <v>4181</v>
      </c>
      <c r="BY21" s="56">
        <v>4448.9066579719829</v>
      </c>
      <c r="BZ21" s="47"/>
      <c r="CA21" s="56">
        <v>28061.216557198761</v>
      </c>
      <c r="CB21" s="47"/>
      <c r="CC21" s="56">
        <v>456</v>
      </c>
      <c r="CD21" s="56">
        <v>1310.9066579719829</v>
      </c>
      <c r="CE21" s="56">
        <v>7706</v>
      </c>
      <c r="CF21" s="56">
        <v>9472.9066579719838</v>
      </c>
      <c r="CG21" s="47"/>
      <c r="CH21" s="56">
        <v>4513</v>
      </c>
      <c r="CI21" s="56">
        <v>983</v>
      </c>
      <c r="CJ21" s="56">
        <v>5496</v>
      </c>
      <c r="CK21" s="47"/>
      <c r="CL21" s="47" t="e">
        <v>#REF!</v>
      </c>
      <c r="CM21" s="47" t="e">
        <v>#REF!</v>
      </c>
      <c r="CN21" s="47" t="e">
        <v>#REF!</v>
      </c>
      <c r="CO21" s="56">
        <v>43030.123215170745</v>
      </c>
      <c r="CP21" s="47">
        <v>1750</v>
      </c>
      <c r="CQ21" s="56">
        <v>44780.123215170745</v>
      </c>
      <c r="CR21" s="191">
        <f t="shared" si="21"/>
        <v>-593.78687701073795</v>
      </c>
    </row>
    <row r="22" spans="1:96" x14ac:dyDescent="0.25">
      <c r="A22" s="995">
        <v>2007</v>
      </c>
      <c r="B22" s="995"/>
      <c r="C22" s="178">
        <f>'A6-Chin (NEW2+Khutz)'!C28</f>
        <v>20640.400000000001</v>
      </c>
      <c r="D22" s="179"/>
      <c r="E22" s="180">
        <f>'A6-Chin (NEW2+Khutz)'!G28</f>
        <v>24</v>
      </c>
      <c r="F22" s="180">
        <f>'A6-Chin (NEW2+Khutz)'!H28</f>
        <v>965</v>
      </c>
      <c r="G22" s="180">
        <f>'A6-Chin (NEW2+Khutz)'!I28</f>
        <v>4092.6</v>
      </c>
      <c r="H22" s="180">
        <f t="shared" si="7"/>
        <v>5081.6000000000004</v>
      </c>
      <c r="I22" s="179"/>
      <c r="J22" s="178">
        <f>'A6-Chin (NEW2+Khutz)'!L28</f>
        <v>25722</v>
      </c>
      <c r="K22" s="181">
        <f t="shared" si="0"/>
        <v>19.755851022471038</v>
      </c>
      <c r="L22" s="182">
        <v>4.6970408642555183E-3</v>
      </c>
      <c r="M22" s="182">
        <v>0.19434006575857207</v>
      </c>
      <c r="N22" s="182">
        <v>0.8009628933771723</v>
      </c>
      <c r="O22" s="182"/>
      <c r="P22" s="180">
        <f>'A6-Chin (NEW2+Khutz)'!P28</f>
        <v>3762.334519723192</v>
      </c>
      <c r="Q22" s="179"/>
      <c r="R22" s="183">
        <f>'A6-Chin (NEW2+Khutz)'!R28</f>
        <v>525</v>
      </c>
      <c r="S22" s="180">
        <f>'A6-Chin (NEW2+Khutz)'!S28</f>
        <v>2721.4</v>
      </c>
      <c r="T22" s="180">
        <f t="shared" si="1"/>
        <v>3246.4</v>
      </c>
      <c r="U22" s="179"/>
      <c r="V22" s="180">
        <f t="shared" si="2"/>
        <v>24402.734519723192</v>
      </c>
      <c r="W22" s="179"/>
      <c r="X22" s="180">
        <f t="shared" si="8"/>
        <v>24</v>
      </c>
      <c r="Y22" s="180">
        <f t="shared" si="9"/>
        <v>1490</v>
      </c>
      <c r="Z22" s="180">
        <f t="shared" si="9"/>
        <v>6814</v>
      </c>
      <c r="AA22" s="180">
        <f t="shared" si="10"/>
        <v>8328</v>
      </c>
      <c r="AB22" s="179"/>
      <c r="AC22" s="180">
        <f>'A6-Chin (NEW2+Khutz)'!AC28</f>
        <v>4475.0479999999998</v>
      </c>
      <c r="AD22" s="180">
        <f>'A6-Chin (NEW2+Khutz)'!AD28</f>
        <v>1810</v>
      </c>
      <c r="AE22" s="180">
        <f t="shared" si="11"/>
        <v>6285.0479999999998</v>
      </c>
      <c r="AF22" s="180"/>
      <c r="AG22" s="180">
        <f t="shared" si="12"/>
        <v>39015.782519723194</v>
      </c>
      <c r="AH22" s="180">
        <f>'A6-Chin (NEW2+Khutz)'!AK28</f>
        <v>1322</v>
      </c>
      <c r="AI22" s="180">
        <f t="shared" si="13"/>
        <v>40337.782519723194</v>
      </c>
      <c r="AJ22" s="184">
        <f t="shared" si="3"/>
        <v>39.504025765939268</v>
      </c>
      <c r="AK22" s="185"/>
      <c r="AL22" s="148">
        <f t="shared" si="14"/>
        <v>22</v>
      </c>
      <c r="AM22" s="186">
        <v>0.1875363845595491</v>
      </c>
      <c r="AN22" s="187">
        <v>0.39003486853449298</v>
      </c>
      <c r="AO22" s="186"/>
      <c r="AP22" s="188">
        <v>23594.274081002797</v>
      </c>
      <c r="AQ22" s="189">
        <f>AI22-'A6-Chin (NEW2+Khutz)'!AL28</f>
        <v>0</v>
      </c>
      <c r="AR22" s="190">
        <f t="shared" si="15"/>
        <v>0.39504025765939271</v>
      </c>
      <c r="AS22" s="190">
        <f t="shared" si="16"/>
        <v>0.15910893398647072</v>
      </c>
      <c r="AT22" s="190">
        <f t="shared" si="4"/>
        <v>0.80537625944584379</v>
      </c>
      <c r="AU22" s="190">
        <f t="shared" si="5"/>
        <v>0.18990081863979846</v>
      </c>
      <c r="AV22" s="190">
        <f t="shared" si="6"/>
        <v>4.7229219143576822E-3</v>
      </c>
      <c r="AW22" s="163"/>
      <c r="AY22" s="191">
        <v>22136.31290378391</v>
      </c>
      <c r="AZ22" s="191">
        <v>27245.912903783908</v>
      </c>
      <c r="BA22" s="191">
        <v>39605.233147075145</v>
      </c>
      <c r="BB22" s="191">
        <v>40927.233147075145</v>
      </c>
      <c r="BD22" s="191">
        <f t="shared" si="17"/>
        <v>-1495.9129037839084</v>
      </c>
      <c r="BE22" s="191">
        <f t="shared" si="18"/>
        <v>-1523.9129037839084</v>
      </c>
      <c r="BF22" s="191">
        <f t="shared" si="19"/>
        <v>-589.45062735195097</v>
      </c>
      <c r="BG22" s="191">
        <f t="shared" si="20"/>
        <v>-589.45062735195097</v>
      </c>
      <c r="BI22" s="192">
        <v>2007</v>
      </c>
      <c r="BJ22" s="56">
        <v>22136.31290378391</v>
      </c>
      <c r="BK22" s="47"/>
      <c r="BL22" s="56">
        <v>24</v>
      </c>
      <c r="BM22" s="56">
        <v>993</v>
      </c>
      <c r="BN22" s="56">
        <v>4020</v>
      </c>
      <c r="BO22" s="56">
        <v>5037</v>
      </c>
      <c r="BP22" s="47"/>
      <c r="BQ22" s="56">
        <v>27173.31290378391</v>
      </c>
      <c r="BR22" s="47"/>
      <c r="BS22" s="56">
        <v>1211.9481382597005</v>
      </c>
      <c r="BT22" s="193">
        <v>2.3333277671039006</v>
      </c>
      <c r="BU22" s="56">
        <v>2827.8722432912364</v>
      </c>
      <c r="BV22" s="47"/>
      <c r="BW22" s="57">
        <v>525</v>
      </c>
      <c r="BX22" s="56">
        <v>2704</v>
      </c>
      <c r="BY22" s="56">
        <v>3229</v>
      </c>
      <c r="BZ22" s="47"/>
      <c r="CA22" s="56">
        <v>24964.185147075146</v>
      </c>
      <c r="CB22" s="47"/>
      <c r="CC22" s="56">
        <v>24</v>
      </c>
      <c r="CD22" s="56">
        <v>1518</v>
      </c>
      <c r="CE22" s="56">
        <v>6724</v>
      </c>
      <c r="CF22" s="56">
        <v>8266</v>
      </c>
      <c r="CG22" s="47"/>
      <c r="CH22" s="56">
        <v>4031</v>
      </c>
      <c r="CI22" s="56">
        <v>1810</v>
      </c>
      <c r="CJ22" s="56">
        <v>5841</v>
      </c>
      <c r="CK22" s="47"/>
      <c r="CL22" s="47" t="e">
        <v>#REF!</v>
      </c>
      <c r="CM22" s="47" t="e">
        <v>#REF!</v>
      </c>
      <c r="CN22" s="47" t="e">
        <v>#REF!</v>
      </c>
      <c r="CO22" s="56">
        <v>39071.185147075143</v>
      </c>
      <c r="CP22" s="47">
        <v>274</v>
      </c>
      <c r="CQ22" s="56">
        <v>39345.185147075143</v>
      </c>
      <c r="CR22" s="191">
        <f t="shared" si="21"/>
        <v>-992.59737264805153</v>
      </c>
    </row>
    <row r="23" spans="1:96" x14ac:dyDescent="0.25">
      <c r="A23" s="995">
        <v>2008</v>
      </c>
      <c r="B23" s="995"/>
      <c r="C23" s="178">
        <f>'A6-Chin (NEW2+Khutz)'!C29</f>
        <v>21046.799999999999</v>
      </c>
      <c r="D23" s="179"/>
      <c r="E23" s="180">
        <f>'A6-Chin (NEW2+Khutz)'!G29</f>
        <v>174</v>
      </c>
      <c r="F23" s="180">
        <f>'A6-Chin (NEW2+Khutz)'!H29</f>
        <v>775</v>
      </c>
      <c r="G23" s="180">
        <f>'A6-Chin (NEW2+Khutz)'!I29</f>
        <v>1092.2</v>
      </c>
      <c r="H23" s="180">
        <f t="shared" si="7"/>
        <v>2041.2</v>
      </c>
      <c r="I23" s="179"/>
      <c r="J23" s="178">
        <f>'A6-Chin (NEW2+Khutz)'!L29</f>
        <v>23088</v>
      </c>
      <c r="K23" s="181">
        <f t="shared" si="0"/>
        <v>8.8409563409563408</v>
      </c>
      <c r="L23" s="182">
        <v>8.4294157542873754E-2</v>
      </c>
      <c r="M23" s="182">
        <v>0.38659044666214515</v>
      </c>
      <c r="N23" s="182">
        <v>0.52911539579498112</v>
      </c>
      <c r="O23" s="182"/>
      <c r="P23" s="180">
        <f>'A6-Chin (NEW2+Khutz)'!P29</f>
        <v>2994.4802567663951</v>
      </c>
      <c r="Q23" s="179"/>
      <c r="R23" s="183">
        <f>'A6-Chin (NEW2+Khutz)'!R29</f>
        <v>519</v>
      </c>
      <c r="S23" s="180">
        <f>'A6-Chin (NEW2+Khutz)'!S29</f>
        <v>3382.9999999999995</v>
      </c>
      <c r="T23" s="180">
        <f t="shared" si="1"/>
        <v>3901.9999999999995</v>
      </c>
      <c r="U23" s="179"/>
      <c r="V23" s="180">
        <f t="shared" si="2"/>
        <v>24041.280256766393</v>
      </c>
      <c r="W23" s="179"/>
      <c r="X23" s="180">
        <f t="shared" si="8"/>
        <v>174</v>
      </c>
      <c r="Y23" s="180">
        <f t="shared" si="9"/>
        <v>1294</v>
      </c>
      <c r="Z23" s="180">
        <f t="shared" si="9"/>
        <v>4475.2</v>
      </c>
      <c r="AA23" s="180">
        <f t="shared" si="10"/>
        <v>5943.2</v>
      </c>
      <c r="AB23" s="179"/>
      <c r="AC23" s="180">
        <f>'A6-Chin (NEW2+Khutz)'!AC29</f>
        <v>466.62400000000002</v>
      </c>
      <c r="AD23" s="180">
        <f>'A6-Chin (NEW2+Khutz)'!AD29</f>
        <v>1620</v>
      </c>
      <c r="AE23" s="180">
        <f t="shared" si="11"/>
        <v>2086.6239999999998</v>
      </c>
      <c r="AF23" s="180"/>
      <c r="AG23" s="180">
        <f t="shared" si="12"/>
        <v>32071.104256766394</v>
      </c>
      <c r="AH23" s="180">
        <f>'A6-Chin (NEW2+Khutz)'!AK29</f>
        <v>366</v>
      </c>
      <c r="AI23" s="180">
        <f t="shared" si="13"/>
        <v>32437.104256766394</v>
      </c>
      <c r="AJ23" s="184">
        <f t="shared" si="3"/>
        <v>25.883395550786958</v>
      </c>
      <c r="AK23" s="185"/>
      <c r="AL23" s="148">
        <f t="shared" si="14"/>
        <v>23</v>
      </c>
      <c r="AM23" s="186">
        <v>9.5149855721805815E-2</v>
      </c>
      <c r="AN23" s="187">
        <v>0.27551645734680724</v>
      </c>
      <c r="AO23" s="186"/>
      <c r="AP23" s="188">
        <v>22136.31290378391</v>
      </c>
      <c r="AQ23" s="189">
        <f>AI23-'A6-Chin (NEW2+Khutz)'!AL29</f>
        <v>0</v>
      </c>
      <c r="AR23" s="190">
        <f t="shared" si="15"/>
        <v>0.25883395550786958</v>
      </c>
      <c r="AS23" s="190">
        <f t="shared" si="16"/>
        <v>4.7305959805959807E-2</v>
      </c>
      <c r="AT23" s="190">
        <f t="shared" si="4"/>
        <v>0.53507740544777582</v>
      </c>
      <c r="AU23" s="190">
        <f t="shared" si="5"/>
        <v>0.37967862041936118</v>
      </c>
      <c r="AV23" s="190">
        <f t="shared" si="6"/>
        <v>8.5243974132863026E-2</v>
      </c>
      <c r="AW23" s="163"/>
      <c r="AY23" s="191">
        <v>19630</v>
      </c>
      <c r="AZ23" s="191">
        <v>21694.2</v>
      </c>
      <c r="BA23" s="191">
        <v>30190.519494596934</v>
      </c>
      <c r="BB23" s="191">
        <v>30556.519494596934</v>
      </c>
      <c r="BD23" s="191">
        <f t="shared" si="17"/>
        <v>1416.7999999999993</v>
      </c>
      <c r="BE23" s="191">
        <f t="shared" si="18"/>
        <v>1393.7999999999993</v>
      </c>
      <c r="BF23" s="191">
        <f t="shared" si="19"/>
        <v>1880.5847621694593</v>
      </c>
      <c r="BG23" s="191">
        <f t="shared" si="20"/>
        <v>1880.5847621694593</v>
      </c>
      <c r="BI23" s="192">
        <v>2008</v>
      </c>
      <c r="BJ23" s="56">
        <v>19630</v>
      </c>
      <c r="BK23" s="47"/>
      <c r="BL23" s="56">
        <v>174</v>
      </c>
      <c r="BM23" s="56">
        <v>798</v>
      </c>
      <c r="BN23" s="56">
        <v>1085</v>
      </c>
      <c r="BO23" s="56">
        <v>2057</v>
      </c>
      <c r="BP23" s="47"/>
      <c r="BQ23" s="56">
        <v>21687</v>
      </c>
      <c r="BR23" s="47"/>
      <c r="BS23" s="56">
        <v>1074.7292043369707</v>
      </c>
      <c r="BT23" s="193">
        <v>2.3333277671039006</v>
      </c>
      <c r="BU23" s="56">
        <v>2507.6954945969355</v>
      </c>
      <c r="BV23" s="47"/>
      <c r="BW23" s="57">
        <v>519</v>
      </c>
      <c r="BX23" s="56">
        <v>3365</v>
      </c>
      <c r="BY23" s="56">
        <v>3884</v>
      </c>
      <c r="BZ23" s="47"/>
      <c r="CA23" s="56">
        <v>22137.695494596934</v>
      </c>
      <c r="CB23" s="47"/>
      <c r="CC23" s="56">
        <v>174</v>
      </c>
      <c r="CD23" s="56">
        <v>1317</v>
      </c>
      <c r="CE23" s="56">
        <v>4450</v>
      </c>
      <c r="CF23" s="56">
        <v>5941</v>
      </c>
      <c r="CG23" s="47"/>
      <c r="CH23" s="56">
        <v>385</v>
      </c>
      <c r="CI23" s="56">
        <v>1620</v>
      </c>
      <c r="CJ23" s="56">
        <v>2005</v>
      </c>
      <c r="CK23" s="47"/>
      <c r="CL23" s="47" t="e">
        <v>#REF!</v>
      </c>
      <c r="CM23" s="47" t="e">
        <v>#REF!</v>
      </c>
      <c r="CN23" s="47" t="e">
        <v>#REF!</v>
      </c>
      <c r="CO23" s="56">
        <v>30083.695494596934</v>
      </c>
      <c r="CP23" s="47">
        <v>190</v>
      </c>
      <c r="CQ23" s="56">
        <v>30273.695494596934</v>
      </c>
      <c r="CR23" s="191">
        <f t="shared" si="21"/>
        <v>-2163.4087621694598</v>
      </c>
    </row>
    <row r="24" spans="1:96" x14ac:dyDescent="0.25">
      <c r="A24" s="995">
        <v>2009</v>
      </c>
      <c r="B24" s="995"/>
      <c r="C24" s="178">
        <f>'A6-Chin (NEW2+Khutz)'!C30</f>
        <v>26500.400000000001</v>
      </c>
      <c r="D24" s="179"/>
      <c r="E24" s="180">
        <f>'A6-Chin (NEW2+Khutz)'!G30</f>
        <v>148</v>
      </c>
      <c r="F24" s="180">
        <f>'A6-Chin (NEW2+Khutz)'!H30</f>
        <v>1071</v>
      </c>
      <c r="G24" s="180">
        <f>'A6-Chin (NEW2+Khutz)'!I30</f>
        <v>2803.6</v>
      </c>
      <c r="H24" s="180">
        <f t="shared" si="7"/>
        <v>4022.6</v>
      </c>
      <c r="I24" s="179"/>
      <c r="J24" s="178">
        <f>'A6-Chin (NEW2+Khutz)'!L30</f>
        <v>30523</v>
      </c>
      <c r="K24" s="181">
        <f t="shared" si="0"/>
        <v>13.178914261376667</v>
      </c>
      <c r="L24" s="182">
        <v>3.6510755871324255E-2</v>
      </c>
      <c r="M24" s="182">
        <v>0.27185711466350898</v>
      </c>
      <c r="N24" s="182">
        <v>0.69163212946516672</v>
      </c>
      <c r="O24" s="182"/>
      <c r="P24" s="180">
        <f>'A6-Chin (NEW2+Khutz)'!P30</f>
        <v>4077.180252055025</v>
      </c>
      <c r="Q24" s="179"/>
      <c r="R24" s="183">
        <f>'A6-Chin (NEW2+Khutz)'!R30</f>
        <v>193</v>
      </c>
      <c r="S24" s="180">
        <f>'A6-Chin (NEW2+Khutz)'!S30</f>
        <v>2714.8</v>
      </c>
      <c r="T24" s="180">
        <f t="shared" si="1"/>
        <v>2907.8</v>
      </c>
      <c r="U24" s="179"/>
      <c r="V24" s="180">
        <f t="shared" si="2"/>
        <v>30577.580252055028</v>
      </c>
      <c r="W24" s="179"/>
      <c r="X24" s="180">
        <f t="shared" si="8"/>
        <v>148</v>
      </c>
      <c r="Y24" s="180">
        <f t="shared" si="9"/>
        <v>1264</v>
      </c>
      <c r="Z24" s="180">
        <f t="shared" si="9"/>
        <v>5518.4</v>
      </c>
      <c r="AA24" s="180">
        <f t="shared" si="10"/>
        <v>6930.4</v>
      </c>
      <c r="AB24" s="179"/>
      <c r="AC24" s="180">
        <f>'A6-Chin (NEW2+Khutz)'!AC30</f>
        <v>1366.0720000000001</v>
      </c>
      <c r="AD24" s="180">
        <f>'A6-Chin (NEW2+Khutz)'!AD30</f>
        <v>1316</v>
      </c>
      <c r="AE24" s="180">
        <f t="shared" si="11"/>
        <v>2682.0720000000001</v>
      </c>
      <c r="AF24" s="180"/>
      <c r="AG24" s="180">
        <f t="shared" si="12"/>
        <v>40190.052252055029</v>
      </c>
      <c r="AH24" s="180">
        <f>'A6-Chin (NEW2+Khutz)'!AK30</f>
        <v>1152</v>
      </c>
      <c r="AI24" s="180">
        <f t="shared" si="13"/>
        <v>41342.052252055029</v>
      </c>
      <c r="AJ24" s="184">
        <f t="shared" si="3"/>
        <v>26.037585009981985</v>
      </c>
      <c r="AK24" s="185"/>
      <c r="AL24" s="148">
        <f t="shared" si="14"/>
        <v>30</v>
      </c>
      <c r="AM24" s="186">
        <v>0.13387231007014624</v>
      </c>
      <c r="AN24" s="187">
        <v>0.26740134421344391</v>
      </c>
      <c r="AO24" s="186"/>
      <c r="AP24" s="188">
        <v>19630</v>
      </c>
      <c r="AQ24" s="189">
        <f>AI24-'A6-Chin (NEW2+Khutz)'!AL30</f>
        <v>0</v>
      </c>
      <c r="AR24" s="190">
        <f t="shared" si="15"/>
        <v>0.26037585009981984</v>
      </c>
      <c r="AS24" s="190">
        <f t="shared" si="16"/>
        <v>9.1852045998099791E-2</v>
      </c>
      <c r="AT24" s="190">
        <f t="shared" si="4"/>
        <v>0.69696216377467313</v>
      </c>
      <c r="AU24" s="190">
        <f t="shared" si="5"/>
        <v>0.26624571172873268</v>
      </c>
      <c r="AV24" s="190">
        <f t="shared" si="6"/>
        <v>3.679212449659424E-2</v>
      </c>
      <c r="AW24" s="163"/>
      <c r="AY24" s="191">
        <v>26226</v>
      </c>
      <c r="AZ24" s="191">
        <v>30279.599999999999</v>
      </c>
      <c r="BA24" s="191">
        <v>39219.794060178268</v>
      </c>
      <c r="BB24" s="191">
        <v>40371.794060178268</v>
      </c>
      <c r="BD24" s="191">
        <f t="shared" si="17"/>
        <v>274.40000000000146</v>
      </c>
      <c r="BE24" s="191">
        <f t="shared" si="18"/>
        <v>243.40000000000146</v>
      </c>
      <c r="BF24" s="191">
        <f t="shared" si="19"/>
        <v>970.25819187676097</v>
      </c>
      <c r="BG24" s="191">
        <f t="shared" si="20"/>
        <v>970.25819187676097</v>
      </c>
      <c r="BI24" s="192">
        <v>2009</v>
      </c>
      <c r="BJ24" s="56">
        <v>26226</v>
      </c>
      <c r="BK24" s="47"/>
      <c r="BL24" s="56">
        <v>148</v>
      </c>
      <c r="BM24" s="56">
        <v>1103</v>
      </c>
      <c r="BN24" s="56">
        <v>2785</v>
      </c>
      <c r="BO24" s="56">
        <v>4036</v>
      </c>
      <c r="BP24" s="47"/>
      <c r="BQ24" s="56">
        <v>30262</v>
      </c>
      <c r="BR24" s="47"/>
      <c r="BS24" s="56">
        <v>1435.8557367774556</v>
      </c>
      <c r="BT24" s="193">
        <v>2.3333277671039006</v>
      </c>
      <c r="BU24" s="56">
        <v>3350.3220601782664</v>
      </c>
      <c r="BV24" s="47"/>
      <c r="BW24" s="57">
        <v>193</v>
      </c>
      <c r="BX24" s="56">
        <v>2650</v>
      </c>
      <c r="BY24" s="56">
        <v>2843</v>
      </c>
      <c r="BZ24" s="47"/>
      <c r="CA24" s="56">
        <v>29576.322060178267</v>
      </c>
      <c r="CB24" s="47"/>
      <c r="CC24" s="56">
        <v>148</v>
      </c>
      <c r="CD24" s="56">
        <v>1296</v>
      </c>
      <c r="CE24" s="56">
        <v>5435</v>
      </c>
      <c r="CF24" s="56">
        <v>6879</v>
      </c>
      <c r="CG24" s="47"/>
      <c r="CH24" s="56">
        <v>1123</v>
      </c>
      <c r="CI24" s="56">
        <v>1316</v>
      </c>
      <c r="CJ24" s="56">
        <v>2439</v>
      </c>
      <c r="CK24" s="47"/>
      <c r="CL24" s="47" t="e">
        <v>#REF!</v>
      </c>
      <c r="CM24" s="47" t="e">
        <v>#REF!</v>
      </c>
      <c r="CN24" s="47" t="e">
        <v>#REF!</v>
      </c>
      <c r="CO24" s="56">
        <v>38894.322060178267</v>
      </c>
      <c r="CP24" s="47">
        <v>1111</v>
      </c>
      <c r="CQ24" s="56">
        <v>40005.322060178267</v>
      </c>
      <c r="CR24" s="191">
        <f t="shared" si="21"/>
        <v>-1336.7301918767625</v>
      </c>
    </row>
    <row r="25" spans="1:96" x14ac:dyDescent="0.25">
      <c r="A25" s="995">
        <v>2010</v>
      </c>
      <c r="B25" s="995"/>
      <c r="C25" s="178">
        <f>'A6-Chin (NEW2+Khutz)'!C31</f>
        <v>17801.2</v>
      </c>
      <c r="D25" s="179"/>
      <c r="E25" s="180">
        <f>'A6-Chin (NEW2+Khutz)'!G31</f>
        <v>88</v>
      </c>
      <c r="F25" s="180">
        <f>'A6-Chin (NEW2+Khutz)'!H31</f>
        <v>534</v>
      </c>
      <c r="G25" s="180">
        <f>'A6-Chin (NEW2+Khutz)'!I31</f>
        <v>1719.8</v>
      </c>
      <c r="H25" s="180">
        <f t="shared" si="7"/>
        <v>2341.8000000000002</v>
      </c>
      <c r="I25" s="179"/>
      <c r="J25" s="178">
        <f>'A6-Chin (NEW2+Khutz)'!L31</f>
        <v>20143</v>
      </c>
      <c r="K25" s="181">
        <f t="shared" si="0"/>
        <v>11.625874993794373</v>
      </c>
      <c r="L25" s="182">
        <v>3.7577931505679389E-2</v>
      </c>
      <c r="M25" s="182">
        <v>0.22802972072764538</v>
      </c>
      <c r="N25" s="182">
        <v>0.73439234776667517</v>
      </c>
      <c r="O25" s="182"/>
      <c r="P25" s="180">
        <f>'A6-Chin (NEW2+Khutz)'!P31</f>
        <v>2348.0031431655766</v>
      </c>
      <c r="Q25" s="179"/>
      <c r="R25" s="183">
        <f>'A6-Chin (NEW2+Khutz)'!R31</f>
        <v>13</v>
      </c>
      <c r="S25" s="180">
        <f>'A6-Chin (NEW2+Khutz)'!S31</f>
        <v>2923</v>
      </c>
      <c r="T25" s="180">
        <f t="shared" si="1"/>
        <v>2936</v>
      </c>
      <c r="U25" s="179"/>
      <c r="V25" s="180">
        <f t="shared" si="2"/>
        <v>20149.203143165578</v>
      </c>
      <c r="W25" s="179"/>
      <c r="X25" s="180">
        <f t="shared" si="8"/>
        <v>88</v>
      </c>
      <c r="Y25" s="180">
        <f t="shared" si="9"/>
        <v>547</v>
      </c>
      <c r="Z25" s="180">
        <f t="shared" si="9"/>
        <v>4642.8</v>
      </c>
      <c r="AA25" s="180">
        <f t="shared" si="10"/>
        <v>5277.8</v>
      </c>
      <c r="AB25" s="179"/>
      <c r="AC25" s="180">
        <f>'A6-Chin (NEW2+Khutz)'!AC31</f>
        <v>973.32</v>
      </c>
      <c r="AD25" s="180">
        <f>'A6-Chin (NEW2+Khutz)'!AD31</f>
        <v>399</v>
      </c>
      <c r="AE25" s="180">
        <f t="shared" si="11"/>
        <v>1372.3200000000002</v>
      </c>
      <c r="AF25" s="180"/>
      <c r="AG25" s="180">
        <f t="shared" si="12"/>
        <v>26799.323143165577</v>
      </c>
      <c r="AH25" s="180">
        <f>'A6-Chin (NEW2+Khutz)'!AK31</f>
        <v>805</v>
      </c>
      <c r="AI25" s="180">
        <f t="shared" si="13"/>
        <v>27604.323143165577</v>
      </c>
      <c r="AJ25" s="184">
        <f t="shared" si="3"/>
        <v>27.007074077981073</v>
      </c>
      <c r="AK25" s="185"/>
      <c r="AL25" s="148">
        <f t="shared" si="14"/>
        <v>18</v>
      </c>
      <c r="AM25" s="186">
        <v>0.11300596444495919</v>
      </c>
      <c r="AN25" s="187">
        <v>0.26451361514556115</v>
      </c>
      <c r="AO25" s="186"/>
      <c r="AP25" s="188">
        <v>26226</v>
      </c>
      <c r="AQ25" s="189">
        <f>AI25-'A6-Chin (NEW2+Khutz)'!AL31</f>
        <v>0</v>
      </c>
      <c r="AR25" s="190">
        <f t="shared" si="15"/>
        <v>0.27007074077981075</v>
      </c>
      <c r="AS25" s="190">
        <f t="shared" si="16"/>
        <v>8.5379536315345284E-2</v>
      </c>
      <c r="AT25" s="190">
        <f t="shared" si="4"/>
        <v>0.73439234776667517</v>
      </c>
      <c r="AU25" s="190">
        <f t="shared" si="5"/>
        <v>0.22802972072764538</v>
      </c>
      <c r="AV25" s="190">
        <f t="shared" si="6"/>
        <v>3.7577931505679389E-2</v>
      </c>
      <c r="AW25" s="163"/>
      <c r="AY25" s="191">
        <v>18381</v>
      </c>
      <c r="AZ25" s="191">
        <v>20722.8</v>
      </c>
      <c r="BA25" s="191">
        <v>27379.258099143466</v>
      </c>
      <c r="BB25" s="191">
        <v>28184.258099143466</v>
      </c>
      <c r="BD25" s="191">
        <f t="shared" si="17"/>
        <v>-579.79999999999927</v>
      </c>
      <c r="BE25" s="191">
        <f t="shared" si="18"/>
        <v>-579.79999999999927</v>
      </c>
      <c r="BF25" s="191">
        <f t="shared" si="19"/>
        <v>-579.93495597788933</v>
      </c>
      <c r="BG25" s="191">
        <f t="shared" si="20"/>
        <v>-579.93495597788933</v>
      </c>
      <c r="BI25" s="192">
        <v>2010</v>
      </c>
      <c r="BJ25" s="56">
        <v>18381</v>
      </c>
      <c r="BK25" s="47"/>
      <c r="BL25" s="56">
        <v>88</v>
      </c>
      <c r="BM25" s="56">
        <v>534</v>
      </c>
      <c r="BN25" s="56">
        <v>1703</v>
      </c>
      <c r="BO25" s="56">
        <v>2325</v>
      </c>
      <c r="BP25" s="47"/>
      <c r="BQ25" s="56">
        <v>20706</v>
      </c>
      <c r="BR25" s="47"/>
      <c r="BS25" s="56">
        <v>1006.3473003014697</v>
      </c>
      <c r="BT25" s="193">
        <v>2.3333277671039006</v>
      </c>
      <c r="BU25" s="56">
        <v>2348.1380991434667</v>
      </c>
      <c r="BV25" s="47"/>
      <c r="BW25" s="57">
        <v>13</v>
      </c>
      <c r="BX25" s="56">
        <v>2878</v>
      </c>
      <c r="BY25" s="56">
        <v>2891</v>
      </c>
      <c r="BZ25" s="47"/>
      <c r="CA25" s="56">
        <v>20729.138099143467</v>
      </c>
      <c r="CB25" s="47"/>
      <c r="CC25" s="56">
        <v>88</v>
      </c>
      <c r="CD25" s="56">
        <v>547</v>
      </c>
      <c r="CE25" s="56">
        <v>4581</v>
      </c>
      <c r="CF25" s="56">
        <v>5216</v>
      </c>
      <c r="CG25" s="47"/>
      <c r="CH25" s="56">
        <v>822</v>
      </c>
      <c r="CI25" s="56">
        <v>399</v>
      </c>
      <c r="CJ25" s="56">
        <v>1221</v>
      </c>
      <c r="CK25" s="47"/>
      <c r="CL25" s="47" t="e">
        <v>#REF!</v>
      </c>
      <c r="CM25" s="47" t="e">
        <v>#REF!</v>
      </c>
      <c r="CN25" s="47" t="e">
        <v>#REF!</v>
      </c>
      <c r="CO25" s="56">
        <v>27166.138099143467</v>
      </c>
      <c r="CP25" s="57">
        <v>696</v>
      </c>
      <c r="CQ25" s="56">
        <v>27862.138099143467</v>
      </c>
      <c r="CR25" s="191">
        <f t="shared" si="21"/>
        <v>257.81495597789035</v>
      </c>
    </row>
    <row r="26" spans="1:96" x14ac:dyDescent="0.25">
      <c r="A26" s="995">
        <v>2011</v>
      </c>
      <c r="B26" s="995"/>
      <c r="C26" s="178">
        <f>'A6-Chin (NEW2+Khutz)'!C32</f>
        <v>10555.2</v>
      </c>
      <c r="D26" s="179"/>
      <c r="E26" s="180">
        <f>'A6-Chin (NEW2+Khutz)'!G32</f>
        <v>103</v>
      </c>
      <c r="F26" s="180">
        <f>'A6-Chin (NEW2+Khutz)'!H32</f>
        <v>542</v>
      </c>
      <c r="G26" s="180">
        <f>'A6-Chin (NEW2+Khutz)'!I32</f>
        <v>1236.8</v>
      </c>
      <c r="H26" s="180">
        <f t="shared" si="7"/>
        <v>1881.8</v>
      </c>
      <c r="I26" s="179"/>
      <c r="J26" s="178">
        <f>'A6-Chin (NEW2+Khutz)'!L32</f>
        <v>12437</v>
      </c>
      <c r="K26" s="181">
        <f t="shared" si="0"/>
        <v>15.130658518935434</v>
      </c>
      <c r="L26" s="182">
        <v>5.4734828355829525E-2</v>
      </c>
      <c r="M26" s="182">
        <v>0.28802210649378257</v>
      </c>
      <c r="N26" s="182">
        <v>0.65724306515038788</v>
      </c>
      <c r="O26" s="182"/>
      <c r="P26" s="180">
        <f>'A6-Chin (NEW2+Khutz)'!P32</f>
        <v>1623.9548458321838</v>
      </c>
      <c r="Q26" s="179"/>
      <c r="R26" s="183">
        <f>'A6-Chin (NEW2+Khutz)'!R32</f>
        <v>27</v>
      </c>
      <c r="S26" s="180">
        <f>'A6-Chin (NEW2+Khutz)'!S32</f>
        <v>3368.2</v>
      </c>
      <c r="T26" s="180">
        <f t="shared" si="1"/>
        <v>3395.2</v>
      </c>
      <c r="U26" s="179"/>
      <c r="V26" s="180">
        <f t="shared" si="2"/>
        <v>12179.154845832185</v>
      </c>
      <c r="W26" s="179"/>
      <c r="X26" s="180">
        <f t="shared" si="8"/>
        <v>103</v>
      </c>
      <c r="Y26" s="180">
        <f t="shared" si="9"/>
        <v>569</v>
      </c>
      <c r="Z26" s="180">
        <f t="shared" si="9"/>
        <v>4605</v>
      </c>
      <c r="AA26" s="180">
        <f t="shared" si="10"/>
        <v>5277</v>
      </c>
      <c r="AB26" s="179"/>
      <c r="AC26" s="180">
        <f>'A6-Chin (NEW2+Khutz)'!AC32</f>
        <v>1371.232</v>
      </c>
      <c r="AD26" s="180">
        <f>'A6-Chin (NEW2+Khutz)'!AD32</f>
        <v>898</v>
      </c>
      <c r="AE26" s="180">
        <f t="shared" si="11"/>
        <v>2269.232</v>
      </c>
      <c r="AF26" s="180"/>
      <c r="AG26" s="180">
        <f t="shared" si="12"/>
        <v>19725.386845832185</v>
      </c>
      <c r="AH26" s="180">
        <f>'A6-Chin (NEW2+Khutz)'!AK32</f>
        <v>1532</v>
      </c>
      <c r="AI26" s="180">
        <f t="shared" si="13"/>
        <v>21257.386845832185</v>
      </c>
      <c r="AJ26" s="184">
        <f t="shared" si="3"/>
        <v>42.706246378443815</v>
      </c>
      <c r="AK26" s="185"/>
      <c r="AL26" s="148">
        <f t="shared" si="14"/>
        <v>6</v>
      </c>
      <c r="AM26" s="186">
        <v>0.16390026797901758</v>
      </c>
      <c r="AN26" s="187">
        <v>0.45609786893909238</v>
      </c>
      <c r="AO26" s="186"/>
      <c r="AP26" s="188">
        <v>18381</v>
      </c>
      <c r="AQ26" s="189">
        <f>AI26-'A6-Chin (NEW2+Khutz)'!AL32</f>
        <v>0</v>
      </c>
      <c r="AR26" s="190">
        <f t="shared" si="15"/>
        <v>0.42706246378443818</v>
      </c>
      <c r="AS26" s="190">
        <f t="shared" si="16"/>
        <v>9.9445203827289538E-2</v>
      </c>
      <c r="AT26" s="190">
        <f t="shared" si="4"/>
        <v>0.65724306515038788</v>
      </c>
      <c r="AU26" s="190">
        <f t="shared" si="5"/>
        <v>0.28802210649378257</v>
      </c>
      <c r="AV26" s="190">
        <f t="shared" si="6"/>
        <v>5.4734828355829525E-2</v>
      </c>
      <c r="AW26" s="163"/>
      <c r="AY26" s="191">
        <v>9599.5723199092463</v>
      </c>
      <c r="AZ26" s="191">
        <v>11481.372319909246</v>
      </c>
      <c r="BA26" s="191">
        <v>18372.131587188611</v>
      </c>
      <c r="BB26" s="191">
        <v>19904.131587188611</v>
      </c>
      <c r="BD26" s="191">
        <f t="shared" si="17"/>
        <v>955.62768009075444</v>
      </c>
      <c r="BE26" s="191">
        <f t="shared" si="18"/>
        <v>955.62768009075444</v>
      </c>
      <c r="BF26" s="191">
        <f t="shared" si="19"/>
        <v>1353.2552586435741</v>
      </c>
      <c r="BG26" s="191">
        <f t="shared" si="20"/>
        <v>1353.2552586435741</v>
      </c>
      <c r="BI26" s="192">
        <v>2011</v>
      </c>
      <c r="BJ26" s="56">
        <v>9599.5723199092463</v>
      </c>
      <c r="BK26" s="47"/>
      <c r="BL26" s="56">
        <v>103</v>
      </c>
      <c r="BM26" s="56">
        <v>542</v>
      </c>
      <c r="BN26" s="56">
        <v>1232</v>
      </c>
      <c r="BO26" s="56">
        <v>1877</v>
      </c>
      <c r="BP26" s="47"/>
      <c r="BQ26" s="56">
        <v>11476.572319909246</v>
      </c>
      <c r="BR26" s="47"/>
      <c r="BS26" s="56">
        <v>525.57008259558279</v>
      </c>
      <c r="BT26" s="193">
        <v>2.3333277671039006</v>
      </c>
      <c r="BU26" s="56">
        <v>1226.3272672793637</v>
      </c>
      <c r="BV26" s="47"/>
      <c r="BW26" s="57">
        <v>27</v>
      </c>
      <c r="BX26" s="56">
        <v>3352</v>
      </c>
      <c r="BY26" s="56">
        <v>3379</v>
      </c>
      <c r="BZ26" s="47"/>
      <c r="CA26" s="56">
        <v>10825.899587188611</v>
      </c>
      <c r="CB26" s="47"/>
      <c r="CC26" s="56">
        <v>103</v>
      </c>
      <c r="CD26" s="56">
        <v>569</v>
      </c>
      <c r="CE26" s="56">
        <v>4584</v>
      </c>
      <c r="CF26" s="56">
        <v>5256</v>
      </c>
      <c r="CG26" s="47"/>
      <c r="CH26" s="56">
        <v>1204</v>
      </c>
      <c r="CI26" s="56">
        <v>898</v>
      </c>
      <c r="CJ26" s="56">
        <v>2102</v>
      </c>
      <c r="CK26" s="47"/>
      <c r="CL26" s="47" t="e">
        <v>#REF!</v>
      </c>
      <c r="CM26" s="47" t="e">
        <v>#REF!</v>
      </c>
      <c r="CN26" s="47" t="e">
        <v>#REF!</v>
      </c>
      <c r="CO26" s="56">
        <v>18183.899587188611</v>
      </c>
      <c r="CP26" s="56">
        <v>478.12346370390878</v>
      </c>
      <c r="CQ26" s="56">
        <v>18662.02305089252</v>
      </c>
      <c r="CR26" s="191">
        <f t="shared" si="21"/>
        <v>-2595.3637949396652</v>
      </c>
    </row>
    <row r="27" spans="1:96" x14ac:dyDescent="0.25">
      <c r="A27" s="995">
        <v>2012</v>
      </c>
      <c r="B27" s="995"/>
      <c r="C27" s="178">
        <f>'A6-Chin (NEW2+Khutz)'!C33</f>
        <v>9380.7999999999993</v>
      </c>
      <c r="D27" s="179"/>
      <c r="E27" s="180">
        <f>'A6-Chin (NEW2+Khutz)'!G33</f>
        <v>105</v>
      </c>
      <c r="F27" s="180">
        <f>'A6-Chin (NEW2+Khutz)'!H33</f>
        <v>532</v>
      </c>
      <c r="G27" s="180">
        <f>'A6-Chin (NEW2+Khutz)'!I33</f>
        <v>1467.2</v>
      </c>
      <c r="H27" s="180">
        <f t="shared" si="7"/>
        <v>2104.1999999999998</v>
      </c>
      <c r="I27" s="179"/>
      <c r="J27" s="178">
        <f>'A6-Chin (NEW2+Khutz)'!L33</f>
        <v>11485</v>
      </c>
      <c r="K27" s="181">
        <f t="shared" si="0"/>
        <v>18.321288637353067</v>
      </c>
      <c r="L27" s="182">
        <v>4.990019960079841E-2</v>
      </c>
      <c r="M27" s="182">
        <v>0.2528276779773786</v>
      </c>
      <c r="N27" s="182">
        <v>0.69727212242182313</v>
      </c>
      <c r="O27" s="182"/>
      <c r="P27" s="180">
        <f>'A6-Chin (NEW2+Khutz)'!P33</f>
        <v>1845.3409395508429</v>
      </c>
      <c r="Q27" s="179"/>
      <c r="R27" s="183">
        <f>'A6-Chin (NEW2+Khutz)'!R33</f>
        <v>18</v>
      </c>
      <c r="S27" s="180">
        <f>'A6-Chin (NEW2+Khutz)'!S33</f>
        <v>2146.4</v>
      </c>
      <c r="T27" s="180">
        <f t="shared" si="1"/>
        <v>2164.4</v>
      </c>
      <c r="U27" s="179"/>
      <c r="V27" s="180">
        <f t="shared" si="2"/>
        <v>11226.140939550842</v>
      </c>
      <c r="W27" s="179"/>
      <c r="X27" s="180">
        <f t="shared" si="8"/>
        <v>105</v>
      </c>
      <c r="Y27" s="180">
        <f t="shared" si="9"/>
        <v>550</v>
      </c>
      <c r="Z27" s="180">
        <f t="shared" si="9"/>
        <v>3613.6000000000004</v>
      </c>
      <c r="AA27" s="180">
        <f t="shared" si="10"/>
        <v>4268.6000000000004</v>
      </c>
      <c r="AB27" s="179"/>
      <c r="AC27" s="180">
        <f>'A6-Chin (NEW2+Khutz)'!AC33</f>
        <v>1247.576</v>
      </c>
      <c r="AD27" s="180">
        <f>'A6-Chin (NEW2+Khutz)'!AD33</f>
        <v>494</v>
      </c>
      <c r="AE27" s="180">
        <f t="shared" si="11"/>
        <v>1741.576</v>
      </c>
      <c r="AF27" s="180"/>
      <c r="AG27" s="180">
        <f t="shared" si="12"/>
        <v>17236.316939550841</v>
      </c>
      <c r="AH27" s="180">
        <f>'A6-Chin (NEW2+Khutz)'!AK33</f>
        <v>1185</v>
      </c>
      <c r="AI27" s="180">
        <f t="shared" si="13"/>
        <v>18421.316939550841</v>
      </c>
      <c r="AJ27" s="184">
        <f t="shared" si="3"/>
        <v>39.058966433349021</v>
      </c>
      <c r="AK27" s="185"/>
      <c r="AL27" s="148">
        <f t="shared" si="14"/>
        <v>4</v>
      </c>
      <c r="AM27" s="186">
        <v>0.19498031010096581</v>
      </c>
      <c r="AN27" s="187">
        <v>0.42342829468335907</v>
      </c>
      <c r="AO27" s="186"/>
      <c r="AP27" s="188">
        <v>9599.5723199092463</v>
      </c>
      <c r="AQ27" s="189">
        <f>AI27-'A6-Chin (NEW2+Khutz)'!AL33</f>
        <v>0</v>
      </c>
      <c r="AR27" s="190">
        <f t="shared" si="15"/>
        <v>0.39058966433349024</v>
      </c>
      <c r="AS27" s="190">
        <f t="shared" si="16"/>
        <v>0.12774923813670006</v>
      </c>
      <c r="AT27" s="190">
        <f t="shared" si="4"/>
        <v>0.69727212242182313</v>
      </c>
      <c r="AU27" s="190">
        <f t="shared" si="5"/>
        <v>0.2528276779773786</v>
      </c>
      <c r="AV27" s="190">
        <f t="shared" si="6"/>
        <v>4.990019960079841E-2</v>
      </c>
      <c r="AW27" s="163"/>
      <c r="AY27" s="191">
        <v>8687.6589262187081</v>
      </c>
      <c r="AZ27" s="191">
        <v>10791.858926218709</v>
      </c>
      <c r="BA27" s="191">
        <v>15807.666976543394</v>
      </c>
      <c r="BB27" s="191">
        <v>16992.666976543394</v>
      </c>
      <c r="BD27" s="191">
        <f t="shared" si="17"/>
        <v>693.1410737812912</v>
      </c>
      <c r="BE27" s="191">
        <f t="shared" si="18"/>
        <v>693.1410737812912</v>
      </c>
      <c r="BF27" s="191">
        <f t="shared" si="19"/>
        <v>1428.6499630074468</v>
      </c>
      <c r="BG27" s="191">
        <f t="shared" si="20"/>
        <v>1428.6499630074468</v>
      </c>
      <c r="BI27" s="192">
        <v>2012</v>
      </c>
      <c r="BJ27" s="56">
        <v>8687.6589262187081</v>
      </c>
      <c r="BK27" s="47"/>
      <c r="BL27" s="56">
        <v>105</v>
      </c>
      <c r="BM27" s="56">
        <v>532</v>
      </c>
      <c r="BN27" s="56">
        <v>1460</v>
      </c>
      <c r="BO27" s="56">
        <v>2097</v>
      </c>
      <c r="BP27" s="47"/>
      <c r="BQ27" s="56">
        <v>10784.658926218708</v>
      </c>
      <c r="BR27" s="47"/>
      <c r="BS27" s="56">
        <v>475.64344194223304</v>
      </c>
      <c r="BT27" s="193">
        <v>2.3333277671039006</v>
      </c>
      <c r="BU27" s="56">
        <v>1109.8320503246844</v>
      </c>
      <c r="BV27" s="47"/>
      <c r="BW27" s="57">
        <v>18</v>
      </c>
      <c r="BX27" s="56">
        <v>2087</v>
      </c>
      <c r="BY27" s="56">
        <v>2105</v>
      </c>
      <c r="BZ27" s="47"/>
      <c r="CA27" s="56">
        <v>9797.4909765433931</v>
      </c>
      <c r="CB27" s="47"/>
      <c r="CC27" s="56">
        <v>105</v>
      </c>
      <c r="CD27" s="56">
        <v>550</v>
      </c>
      <c r="CE27" s="56">
        <v>3547</v>
      </c>
      <c r="CF27" s="56">
        <v>4202</v>
      </c>
      <c r="CG27" s="47"/>
      <c r="CH27" s="56">
        <v>794</v>
      </c>
      <c r="CI27" s="56">
        <v>494</v>
      </c>
      <c r="CJ27" s="56">
        <v>1288</v>
      </c>
      <c r="CK27" s="47"/>
      <c r="CL27" s="47" t="e">
        <v>#REF!</v>
      </c>
      <c r="CM27" s="47" t="e">
        <v>#REF!</v>
      </c>
      <c r="CN27" s="47" t="e">
        <v>#REF!</v>
      </c>
      <c r="CO27" s="56">
        <v>15287.490976543393</v>
      </c>
      <c r="CP27" s="56">
        <v>401.9659315649169</v>
      </c>
      <c r="CQ27" s="56">
        <v>15689.45690810831</v>
      </c>
      <c r="CR27" s="191">
        <f t="shared" si="21"/>
        <v>-2731.8600314425312</v>
      </c>
    </row>
    <row r="28" spans="1:96" x14ac:dyDescent="0.25">
      <c r="A28" s="995">
        <v>2013</v>
      </c>
      <c r="B28" s="995"/>
      <c r="C28" s="178">
        <f>'A6-Chin (NEW2+Khutz)'!C34</f>
        <v>9342.4</v>
      </c>
      <c r="D28" s="179"/>
      <c r="E28" s="180">
        <f>'A6-Chin (NEW2+Khutz)'!G34</f>
        <v>52</v>
      </c>
      <c r="F28" s="180">
        <f>'A6-Chin (NEW2+Khutz)'!H34</f>
        <v>466</v>
      </c>
      <c r="G28" s="180">
        <f>'A6-Chin (NEW2+Khutz)'!I34</f>
        <v>1735.6</v>
      </c>
      <c r="H28" s="180">
        <f t="shared" si="7"/>
        <v>2253.6</v>
      </c>
      <c r="I28" s="179"/>
      <c r="J28" s="178">
        <f>'A6-Chin (NEW2+Khutz)'!L34</f>
        <v>11596</v>
      </c>
      <c r="K28" s="181">
        <f t="shared" si="0"/>
        <v>19.434287685408762</v>
      </c>
      <c r="L28" s="182">
        <v>2.3074192403265886E-2</v>
      </c>
      <c r="M28" s="182">
        <v>0.20678026269080582</v>
      </c>
      <c r="N28" s="182">
        <v>0.77014554490592824</v>
      </c>
      <c r="O28" s="182"/>
      <c r="P28" s="180">
        <f>'A6-Chin (NEW2+Khutz)'!P34</f>
        <v>1915.3954165520681</v>
      </c>
      <c r="Q28" s="179"/>
      <c r="R28" s="183">
        <f>'A6-Chin (NEW2+Khutz)'!R34</f>
        <v>6</v>
      </c>
      <c r="S28" s="180">
        <f>'A6-Chin (NEW2+Khutz)'!S34</f>
        <v>2723.2</v>
      </c>
      <c r="T28" s="180">
        <f t="shared" si="1"/>
        <v>2729.2</v>
      </c>
      <c r="U28" s="179"/>
      <c r="V28" s="180">
        <f t="shared" si="2"/>
        <v>11257.795416552068</v>
      </c>
      <c r="W28" s="179"/>
      <c r="X28" s="180">
        <f t="shared" si="8"/>
        <v>52</v>
      </c>
      <c r="Y28" s="180">
        <f t="shared" si="9"/>
        <v>472</v>
      </c>
      <c r="Z28" s="180">
        <f t="shared" si="9"/>
        <v>4458.7999999999993</v>
      </c>
      <c r="AA28" s="180">
        <f t="shared" si="10"/>
        <v>4982.7999999999993</v>
      </c>
      <c r="AB28" s="179"/>
      <c r="AC28" s="180">
        <f>'A6-Chin (NEW2+Khutz)'!AC34</f>
        <v>1876.0720000000001</v>
      </c>
      <c r="AD28" s="180">
        <f>'A6-Chin (NEW2+Khutz)'!AD34</f>
        <v>518</v>
      </c>
      <c r="AE28" s="180">
        <f t="shared" si="11"/>
        <v>2394.0720000000001</v>
      </c>
      <c r="AF28" s="180"/>
      <c r="AG28" s="180">
        <f t="shared" si="12"/>
        <v>18634.667416552067</v>
      </c>
      <c r="AH28" s="180">
        <f>'A6-Chin (NEW2+Khutz)'!AK34</f>
        <v>186</v>
      </c>
      <c r="AI28" s="180">
        <f t="shared" si="13"/>
        <v>18820.667416552067</v>
      </c>
      <c r="AJ28" s="184">
        <f t="shared" si="3"/>
        <v>40.183867195638015</v>
      </c>
      <c r="AK28" s="185"/>
      <c r="AL28" s="148">
        <f t="shared" si="14"/>
        <v>3</v>
      </c>
      <c r="AM28" s="186">
        <v>0.21955420453916652</v>
      </c>
      <c r="AN28" s="187">
        <v>0.45567494202065872</v>
      </c>
      <c r="AO28" s="186"/>
      <c r="AP28" s="188">
        <v>8687.6589262187081</v>
      </c>
      <c r="AQ28" s="189">
        <f>AI28-'A6-Chin (NEW2+Khutz)'!AL34</f>
        <v>0</v>
      </c>
      <c r="AR28" s="190">
        <f t="shared" si="15"/>
        <v>0.40183867195638018</v>
      </c>
      <c r="AS28" s="190">
        <f t="shared" si="16"/>
        <v>0.14967230079337701</v>
      </c>
      <c r="AT28" s="190">
        <f t="shared" si="4"/>
        <v>0.77014554490592824</v>
      </c>
      <c r="AU28" s="190">
        <f t="shared" si="5"/>
        <v>0.20678026269080582</v>
      </c>
      <c r="AV28" s="190">
        <f t="shared" si="6"/>
        <v>2.3074192403265886E-2</v>
      </c>
      <c r="AW28" s="163"/>
      <c r="AY28" s="191">
        <v>8010.8356309650062</v>
      </c>
      <c r="AZ28" s="191">
        <v>10264.435630965007</v>
      </c>
      <c r="BA28" s="191">
        <v>16411.076781231313</v>
      </c>
      <c r="BB28" s="191">
        <v>16597.076781231313</v>
      </c>
      <c r="BD28" s="191">
        <f t="shared" si="17"/>
        <v>1331.5643690349934</v>
      </c>
      <c r="BE28" s="191">
        <f t="shared" si="18"/>
        <v>1331.5643690349934</v>
      </c>
      <c r="BF28" s="191">
        <f t="shared" si="19"/>
        <v>2223.5906353207538</v>
      </c>
      <c r="BG28" s="191">
        <f t="shared" si="20"/>
        <v>2223.5906353207538</v>
      </c>
      <c r="BI28" s="192">
        <v>2013</v>
      </c>
      <c r="BJ28" s="56">
        <v>8010.8356309650062</v>
      </c>
      <c r="BK28" s="47"/>
      <c r="BL28" s="56">
        <v>52</v>
      </c>
      <c r="BM28" s="56">
        <v>466</v>
      </c>
      <c r="BN28" s="56">
        <v>1711</v>
      </c>
      <c r="BO28" s="56">
        <v>2229</v>
      </c>
      <c r="BP28" s="47"/>
      <c r="BQ28" s="56">
        <v>10239.835630965006</v>
      </c>
      <c r="BR28" s="47"/>
      <c r="BS28" s="56">
        <v>438.58782494861407</v>
      </c>
      <c r="BT28" s="193">
        <v>2.3333277671039006</v>
      </c>
      <c r="BU28" s="56">
        <v>1023.3691502663061</v>
      </c>
      <c r="BV28" s="47"/>
      <c r="BW28" s="57">
        <v>6</v>
      </c>
      <c r="BX28" s="56">
        <v>2641</v>
      </c>
      <c r="BY28" s="56">
        <v>2647</v>
      </c>
      <c r="BZ28" s="47"/>
      <c r="CA28" s="56">
        <v>9034.2047812313122</v>
      </c>
      <c r="CB28" s="47"/>
      <c r="CC28" s="56">
        <v>52</v>
      </c>
      <c r="CD28" s="56">
        <v>472</v>
      </c>
      <c r="CE28" s="56">
        <v>4352</v>
      </c>
      <c r="CF28" s="56">
        <v>4876</v>
      </c>
      <c r="CG28" s="47"/>
      <c r="CH28" s="56">
        <v>1084</v>
      </c>
      <c r="CI28" s="56">
        <v>518</v>
      </c>
      <c r="CJ28" s="56">
        <v>1602</v>
      </c>
      <c r="CK28" s="47"/>
      <c r="CL28" s="47" t="e">
        <v>#REF!</v>
      </c>
      <c r="CM28" s="47" t="e">
        <v>#REF!</v>
      </c>
      <c r="CN28" s="47" t="e">
        <v>#REF!</v>
      </c>
      <c r="CO28" s="56">
        <v>15512.204781231312</v>
      </c>
      <c r="CP28" s="56">
        <v>407.87450701235139</v>
      </c>
      <c r="CQ28" s="56">
        <v>15920.079288243664</v>
      </c>
      <c r="CR28" s="191">
        <f t="shared" si="21"/>
        <v>-2900.5881283084036</v>
      </c>
    </row>
    <row r="29" spans="1:96" x14ac:dyDescent="0.25">
      <c r="A29" s="995">
        <v>2014</v>
      </c>
      <c r="B29" s="995"/>
      <c r="C29" s="178">
        <f>'A6-Chin (NEW2+Khutz)'!C35</f>
        <v>13909.2</v>
      </c>
      <c r="D29" s="179"/>
      <c r="E29" s="180">
        <f>'A6-Chin (NEW2+Khutz)'!G35</f>
        <v>72</v>
      </c>
      <c r="F29" s="180">
        <f>'A6-Chin (NEW2+Khutz)'!H35</f>
        <v>863</v>
      </c>
      <c r="G29" s="180">
        <f>'A6-Chin (NEW2+Khutz)'!I35</f>
        <v>1945.8</v>
      </c>
      <c r="H29" s="180">
        <f t="shared" si="7"/>
        <v>2880.8</v>
      </c>
      <c r="I29" s="179"/>
      <c r="J29" s="178">
        <f>'A6-Chin (NEW2+Khutz)'!L35</f>
        <v>16790</v>
      </c>
      <c r="K29" s="181">
        <f t="shared" si="0"/>
        <v>17.157832042882671</v>
      </c>
      <c r="L29" s="182">
        <v>2.4993057484032213E-2</v>
      </c>
      <c r="M29" s="182">
        <v>0.29956956400999718</v>
      </c>
      <c r="N29" s="182">
        <v>0.67543737850597052</v>
      </c>
      <c r="O29" s="182"/>
      <c r="P29" s="180">
        <f>'A6-Chin (NEW2+Khutz)'!P35</f>
        <v>2218.8890824835671</v>
      </c>
      <c r="Q29" s="179"/>
      <c r="R29" s="183">
        <f>'A6-Chin (NEW2+Khutz)'!R35</f>
        <v>1</v>
      </c>
      <c r="S29" s="180">
        <f>'A6-Chin (NEW2+Khutz)'!S35</f>
        <v>4083.4000000000005</v>
      </c>
      <c r="T29" s="180">
        <f t="shared" si="1"/>
        <v>4084.4000000000005</v>
      </c>
      <c r="U29" s="179"/>
      <c r="V29" s="180">
        <f t="shared" si="2"/>
        <v>16128.089082483568</v>
      </c>
      <c r="W29" s="179"/>
      <c r="X29" s="180">
        <f t="shared" si="8"/>
        <v>72</v>
      </c>
      <c r="Y29" s="180">
        <f t="shared" si="9"/>
        <v>864</v>
      </c>
      <c r="Z29" s="180">
        <f t="shared" si="9"/>
        <v>6029.2000000000007</v>
      </c>
      <c r="AA29" s="180">
        <f t="shared" si="10"/>
        <v>6965.2000000000007</v>
      </c>
      <c r="AB29" s="179"/>
      <c r="AC29" s="180">
        <f>'A6-Chin (NEW2+Khutz)'!AC35</f>
        <v>2046.4480000000001</v>
      </c>
      <c r="AD29" s="180">
        <f>'A6-Chin (NEW2+Khutz)'!AD35</f>
        <v>734</v>
      </c>
      <c r="AE29" s="180">
        <f t="shared" si="11"/>
        <v>2780.4480000000003</v>
      </c>
      <c r="AF29" s="180"/>
      <c r="AG29" s="180">
        <f t="shared" si="12"/>
        <v>25873.737082483571</v>
      </c>
      <c r="AH29" s="180">
        <f>'A6-Chin (NEW2+Khutz)'!AK35</f>
        <v>1585</v>
      </c>
      <c r="AI29" s="180">
        <f t="shared" si="13"/>
        <v>27458.737082483571</v>
      </c>
      <c r="AJ29" s="184">
        <f t="shared" si="3"/>
        <v>41.264272154847312</v>
      </c>
      <c r="AK29" s="185"/>
      <c r="AL29" s="148">
        <f t="shared" si="14"/>
        <v>14</v>
      </c>
      <c r="AM29" s="186">
        <v>0.20019736202031996</v>
      </c>
      <c r="AN29" s="187">
        <v>0.46609190119265542</v>
      </c>
      <c r="AO29" s="186"/>
      <c r="AP29" s="188">
        <v>8010.8356309650062</v>
      </c>
      <c r="AQ29" s="189">
        <f>AI29-'A6-Chin (NEW2+Khutz)'!AL35</f>
        <v>0</v>
      </c>
      <c r="AR29" s="190">
        <f t="shared" si="15"/>
        <v>0.41264272154847309</v>
      </c>
      <c r="AS29" s="190">
        <f t="shared" si="16"/>
        <v>0.11589041095890411</v>
      </c>
      <c r="AT29" s="190">
        <f t="shared" si="4"/>
        <v>0.67543737850597052</v>
      </c>
      <c r="AU29" s="190">
        <f t="shared" si="5"/>
        <v>0.29956956400999718</v>
      </c>
      <c r="AV29" s="190">
        <f t="shared" si="6"/>
        <v>2.4993057484032213E-2</v>
      </c>
      <c r="AW29" s="163"/>
      <c r="AY29" s="191">
        <v>11509</v>
      </c>
      <c r="AZ29" s="191">
        <v>14389.8</v>
      </c>
      <c r="BA29" s="191">
        <v>22724.901053862264</v>
      </c>
      <c r="BB29" s="191">
        <v>24309.901053862264</v>
      </c>
      <c r="BD29" s="191">
        <f t="shared" si="17"/>
        <v>2400.2000000000007</v>
      </c>
      <c r="BE29" s="191">
        <f t="shared" si="18"/>
        <v>2400.2000000000007</v>
      </c>
      <c r="BF29" s="191">
        <f t="shared" si="19"/>
        <v>3148.8360286213065</v>
      </c>
      <c r="BG29" s="191">
        <f t="shared" si="20"/>
        <v>3148.8360286213065</v>
      </c>
      <c r="BI29" s="192">
        <v>2014</v>
      </c>
      <c r="BJ29" s="56">
        <v>11509</v>
      </c>
      <c r="BK29" s="47"/>
      <c r="BL29" s="56">
        <v>72</v>
      </c>
      <c r="BM29" s="56">
        <v>863</v>
      </c>
      <c r="BN29" s="56">
        <v>1941</v>
      </c>
      <c r="BO29" s="56">
        <v>2876</v>
      </c>
      <c r="BP29" s="47"/>
      <c r="BQ29" s="56">
        <v>14385</v>
      </c>
      <c r="BR29" s="47"/>
      <c r="BS29" s="56">
        <v>630.10995479950179</v>
      </c>
      <c r="BT29" s="193">
        <v>2.3333277671039006</v>
      </c>
      <c r="BU29" s="56">
        <v>1470.2530538622611</v>
      </c>
      <c r="BV29" s="47"/>
      <c r="BW29" s="57">
        <v>1</v>
      </c>
      <c r="BX29" s="56">
        <v>3973</v>
      </c>
      <c r="BY29" s="56">
        <v>3974</v>
      </c>
      <c r="BZ29" s="47"/>
      <c r="CA29" s="56">
        <v>12979.253053862261</v>
      </c>
      <c r="CB29" s="47"/>
      <c r="CC29" s="56">
        <v>72</v>
      </c>
      <c r="CD29" s="56">
        <v>864</v>
      </c>
      <c r="CE29" s="56">
        <v>5914</v>
      </c>
      <c r="CF29" s="56">
        <v>6850</v>
      </c>
      <c r="CG29" s="47"/>
      <c r="CH29" s="56">
        <v>1645</v>
      </c>
      <c r="CI29" s="56">
        <v>734</v>
      </c>
      <c r="CJ29" s="56">
        <v>2379</v>
      </c>
      <c r="CK29" s="47"/>
      <c r="CL29" s="47" t="e">
        <v>#REF!</v>
      </c>
      <c r="CM29" s="47" t="e">
        <v>#REF!</v>
      </c>
      <c r="CN29" s="47" t="e">
        <v>#REF!</v>
      </c>
      <c r="CO29" s="56">
        <v>22208.25305386226</v>
      </c>
      <c r="CP29" s="56">
        <v>583.93893026150545</v>
      </c>
      <c r="CQ29" s="56">
        <v>22792.191984123765</v>
      </c>
      <c r="CR29" s="191">
        <f t="shared" si="21"/>
        <v>-4666.5450983598057</v>
      </c>
    </row>
    <row r="30" spans="1:96" x14ac:dyDescent="0.25">
      <c r="A30" s="995">
        <v>2015</v>
      </c>
      <c r="B30" s="995"/>
      <c r="C30" s="178">
        <f>'A6-Chin (NEW2+Khutz)'!C36</f>
        <v>19532.2</v>
      </c>
      <c r="D30" s="179"/>
      <c r="E30" s="180">
        <f>'A6-Chin (NEW2+Khutz)'!G36</f>
        <v>252</v>
      </c>
      <c r="F30" s="180">
        <f>'A6-Chin (NEW2+Khutz)'!H36</f>
        <v>573</v>
      </c>
      <c r="G30" s="180">
        <f>'A6-Chin (NEW2+Khutz)'!I36</f>
        <v>3197.8</v>
      </c>
      <c r="H30" s="180">
        <f t="shared" si="7"/>
        <v>4022.8</v>
      </c>
      <c r="I30" s="179"/>
      <c r="J30" s="178">
        <f>'A6-Chin (NEW2+Khutz)'!L36</f>
        <v>23555</v>
      </c>
      <c r="K30" s="181">
        <f t="shared" si="0"/>
        <v>17.078327319040547</v>
      </c>
      <c r="L30" s="182">
        <v>6.2642935268966887E-2</v>
      </c>
      <c r="M30" s="182">
        <v>0.14243810281396041</v>
      </c>
      <c r="N30" s="182">
        <v>0.79491896191707268</v>
      </c>
      <c r="O30" s="182"/>
      <c r="P30" s="180">
        <f>'A6-Chin (NEW2+Khutz)'!P36</f>
        <v>2952.569696549815</v>
      </c>
      <c r="Q30" s="179"/>
      <c r="R30" s="183">
        <f>'A6-Chin (NEW2+Khutz)'!R36</f>
        <v>16</v>
      </c>
      <c r="S30" s="180">
        <f>'A6-Chin (NEW2+Khutz)'!S36</f>
        <v>5136.828148276747</v>
      </c>
      <c r="T30" s="180">
        <f t="shared" si="1"/>
        <v>5152.828148276747</v>
      </c>
      <c r="U30" s="179"/>
      <c r="V30" s="180">
        <f t="shared" si="2"/>
        <v>22484.769696549814</v>
      </c>
      <c r="W30" s="179"/>
      <c r="X30" s="180">
        <f t="shared" si="8"/>
        <v>252</v>
      </c>
      <c r="Y30" s="180">
        <f t="shared" si="9"/>
        <v>589</v>
      </c>
      <c r="Z30" s="180">
        <f t="shared" si="9"/>
        <v>8334.6281482767481</v>
      </c>
      <c r="AA30" s="180">
        <f t="shared" si="10"/>
        <v>9175.6281482767481</v>
      </c>
      <c r="AB30" s="179"/>
      <c r="AC30" s="180">
        <f>'A6-Chin (NEW2+Khutz)'!AC36</f>
        <v>2500.8719999999998</v>
      </c>
      <c r="AD30" s="180">
        <f>'A6-Chin (NEW2+Khutz)'!AD36</f>
        <v>686</v>
      </c>
      <c r="AE30" s="180">
        <f t="shared" si="11"/>
        <v>3186.8719999999998</v>
      </c>
      <c r="AF30" s="180"/>
      <c r="AG30" s="180">
        <f t="shared" si="12"/>
        <v>34847.269844826566</v>
      </c>
      <c r="AH30" s="180">
        <f>'A6-Chin (NEW2+Khutz)'!AK36</f>
        <v>2176</v>
      </c>
      <c r="AI30" s="180">
        <f t="shared" si="13"/>
        <v>37023.269844826566</v>
      </c>
      <c r="AJ30" s="184">
        <f t="shared" si="3"/>
        <v>39.268547076503779</v>
      </c>
      <c r="AK30" s="185"/>
      <c r="AL30" s="148">
        <f t="shared" si="14"/>
        <v>21</v>
      </c>
      <c r="AM30" s="186">
        <v>0.18051766226306723</v>
      </c>
      <c r="AN30" s="187">
        <v>0.41380809029079207</v>
      </c>
      <c r="AO30" s="186"/>
      <c r="AP30" s="188">
        <v>11509</v>
      </c>
      <c r="AQ30" s="189">
        <f>AI30-'A6-Chin (NEW2+Khutz)'!AL36</f>
        <v>0</v>
      </c>
      <c r="AR30" s="190">
        <f t="shared" si="15"/>
        <v>0.39268547076503779</v>
      </c>
      <c r="AS30" s="190">
        <f t="shared" si="16"/>
        <v>0.13575886223731692</v>
      </c>
      <c r="AT30" s="190">
        <f t="shared" si="4"/>
        <v>0.79491896191707268</v>
      </c>
      <c r="AU30" s="190">
        <f t="shared" si="5"/>
        <v>0.14243810281396041</v>
      </c>
      <c r="AV30" s="190">
        <f t="shared" si="6"/>
        <v>6.2642935268966887E-2</v>
      </c>
      <c r="AW30" s="163"/>
      <c r="AY30" s="191">
        <v>18262</v>
      </c>
      <c r="AZ30" s="191">
        <v>22284.799999999999</v>
      </c>
      <c r="BA30" s="191">
        <v>32957.436221752512</v>
      </c>
      <c r="BB30" s="191">
        <v>35133.436221752512</v>
      </c>
      <c r="BD30" s="191">
        <f t="shared" si="17"/>
        <v>1270.2000000000007</v>
      </c>
      <c r="BE30" s="191">
        <f t="shared" si="18"/>
        <v>1270.2000000000007</v>
      </c>
      <c r="BF30" s="191">
        <f t="shared" si="19"/>
        <v>1889.8336230740533</v>
      </c>
      <c r="BG30" s="191">
        <f t="shared" si="20"/>
        <v>1889.8336230740533</v>
      </c>
      <c r="BI30" s="192">
        <v>2015</v>
      </c>
      <c r="BJ30" s="56">
        <v>18262</v>
      </c>
      <c r="BK30" s="47"/>
      <c r="BL30" s="56">
        <v>252</v>
      </c>
      <c r="BM30" s="56">
        <v>573</v>
      </c>
      <c r="BN30" s="56">
        <v>3175</v>
      </c>
      <c r="BO30" s="56">
        <v>4000</v>
      </c>
      <c r="BP30" s="47"/>
      <c r="BQ30" s="56">
        <v>22262</v>
      </c>
      <c r="BR30" s="47"/>
      <c r="BS30" s="56">
        <v>999.83213090177014</v>
      </c>
      <c r="BT30" s="193">
        <v>2.3333277671039006</v>
      </c>
      <c r="BU30" s="56">
        <v>2332.936073475762</v>
      </c>
      <c r="BV30" s="47"/>
      <c r="BW30" s="57">
        <v>16</v>
      </c>
      <c r="BX30" s="56">
        <v>5076.2281482767467</v>
      </c>
      <c r="BY30" s="56">
        <v>5092.2281482767467</v>
      </c>
      <c r="BZ30" s="47"/>
      <c r="CA30" s="56">
        <v>20594.936073475761</v>
      </c>
      <c r="CB30" s="47"/>
      <c r="CC30" s="56">
        <v>252</v>
      </c>
      <c r="CD30" s="56">
        <v>589</v>
      </c>
      <c r="CE30" s="56">
        <v>8251.2281482767467</v>
      </c>
      <c r="CF30" s="56">
        <v>9092.2281482767467</v>
      </c>
      <c r="CG30" s="47"/>
      <c r="CH30" s="56">
        <v>1800</v>
      </c>
      <c r="CI30" s="56">
        <v>686</v>
      </c>
      <c r="CJ30" s="56">
        <v>2486</v>
      </c>
      <c r="CK30" s="47"/>
      <c r="CL30" s="47" t="e">
        <v>#REF!</v>
      </c>
      <c r="CM30" s="47" t="e">
        <v>#REF!</v>
      </c>
      <c r="CN30" s="47" t="e">
        <v>#REF!</v>
      </c>
      <c r="CO30" s="56">
        <v>32173.164221752508</v>
      </c>
      <c r="CP30" s="56">
        <v>845.95411684174178</v>
      </c>
      <c r="CQ30" s="56">
        <v>33019.11833859425</v>
      </c>
      <c r="CR30" s="191">
        <f t="shared" si="21"/>
        <v>-4004.151506232316</v>
      </c>
    </row>
    <row r="31" spans="1:96" x14ac:dyDescent="0.25">
      <c r="A31" s="995">
        <v>2016</v>
      </c>
      <c r="B31" s="995"/>
      <c r="C31" s="178">
        <f>'A6-Chin (NEW2+Khutz)'!C37</f>
        <v>11020.6</v>
      </c>
      <c r="D31" s="179"/>
      <c r="E31" s="180">
        <f>'A6-Chin (NEW2+Khutz)'!G37</f>
        <v>114</v>
      </c>
      <c r="F31" s="180">
        <f>'A6-Chin (NEW2+Khutz)'!H37</f>
        <v>339</v>
      </c>
      <c r="G31" s="180">
        <f>'A6-Chin (NEW2+Khutz)'!I37</f>
        <v>1524.4</v>
      </c>
      <c r="H31" s="180">
        <f t="shared" si="7"/>
        <v>1977.4</v>
      </c>
      <c r="I31" s="179"/>
      <c r="J31" s="178">
        <f>'A6-Chin (NEW2+Khutz)'!L37</f>
        <v>12998</v>
      </c>
      <c r="K31" s="181">
        <f t="shared" si="0"/>
        <v>15.213109709186028</v>
      </c>
      <c r="L31" s="182">
        <v>5.7651461515120864E-2</v>
      </c>
      <c r="M31" s="182">
        <v>0.17143724082128045</v>
      </c>
      <c r="N31" s="182">
        <v>0.77091129766359867</v>
      </c>
      <c r="O31" s="182"/>
      <c r="P31" s="180">
        <f>'A6-Chin (NEW2+Khutz)'!P37</f>
        <v>1695.5582816032083</v>
      </c>
      <c r="Q31" s="179"/>
      <c r="R31" s="183">
        <f>'A6-Chin (NEW2+Khutz)'!R37</f>
        <v>2</v>
      </c>
      <c r="S31" s="180">
        <f>'A6-Chin (NEW2+Khutz)'!S37</f>
        <v>3893.2</v>
      </c>
      <c r="T31" s="180">
        <f t="shared" si="1"/>
        <v>3895.2</v>
      </c>
      <c r="U31" s="179"/>
      <c r="V31" s="180">
        <f t="shared" si="2"/>
        <v>12716.15828160321</v>
      </c>
      <c r="W31" s="179"/>
      <c r="X31" s="180">
        <f t="shared" si="8"/>
        <v>114</v>
      </c>
      <c r="Y31" s="180">
        <f t="shared" si="9"/>
        <v>341</v>
      </c>
      <c r="Z31" s="180">
        <f t="shared" si="9"/>
        <v>5417.6</v>
      </c>
      <c r="AA31" s="180">
        <f t="shared" si="10"/>
        <v>5872.6</v>
      </c>
      <c r="AB31" s="179"/>
      <c r="AC31" s="180">
        <f>'A6-Chin (NEW2+Khutz)'!AC37</f>
        <v>856.38400000000001</v>
      </c>
      <c r="AD31" s="180">
        <f>'A6-Chin (NEW2+Khutz)'!AD37</f>
        <v>764</v>
      </c>
      <c r="AE31" s="180">
        <f t="shared" si="11"/>
        <v>1620.384</v>
      </c>
      <c r="AF31" s="180"/>
      <c r="AG31" s="180">
        <f t="shared" si="12"/>
        <v>20209.142281603206</v>
      </c>
      <c r="AH31" s="180">
        <f>'A6-Chin (NEW2+Khutz)'!AK37</f>
        <v>1684</v>
      </c>
      <c r="AI31" s="180">
        <f t="shared" si="13"/>
        <v>21893.142281603206</v>
      </c>
      <c r="AJ31" s="184">
        <f t="shared" si="3"/>
        <v>41.917162378793904</v>
      </c>
      <c r="AK31" s="185"/>
      <c r="AL31" s="148">
        <f t="shared" si="14"/>
        <v>7</v>
      </c>
      <c r="AM31" s="186">
        <v>0.17952571448896745</v>
      </c>
      <c r="AN31" s="187">
        <v>0.47380620663985062</v>
      </c>
      <c r="AO31" s="186"/>
      <c r="AP31" s="188">
        <v>18262</v>
      </c>
      <c r="AQ31" s="189">
        <f>AI31-'A6-Chin (NEW2+Khutz)'!AL37</f>
        <v>0</v>
      </c>
      <c r="AR31" s="190">
        <f>(AA31+AE31+AH31)/AI31</f>
        <v>0.41917162378793904</v>
      </c>
      <c r="AS31" s="190">
        <f t="shared" si="16"/>
        <v>0.11727958147407294</v>
      </c>
      <c r="AT31" s="190">
        <f t="shared" si="4"/>
        <v>0.77091129766359867</v>
      </c>
      <c r="AU31" s="190">
        <f t="shared" si="5"/>
        <v>0.17143724082128045</v>
      </c>
      <c r="AV31" s="190">
        <f t="shared" si="6"/>
        <v>5.7651461515120864E-2</v>
      </c>
      <c r="AW31" s="163"/>
      <c r="AY31" s="191">
        <v>9037.17808219178</v>
      </c>
      <c r="AZ31" s="191">
        <v>11014.57808219178</v>
      </c>
      <c r="BA31" s="191">
        <v>17684.644545797615</v>
      </c>
      <c r="BB31" s="191">
        <v>19368.644545797615</v>
      </c>
      <c r="BD31" s="191">
        <f t="shared" si="17"/>
        <v>1983.4219178082203</v>
      </c>
      <c r="BE31" s="191">
        <f t="shared" si="18"/>
        <v>1983.4219178082203</v>
      </c>
      <c r="BF31" s="191">
        <f t="shared" si="19"/>
        <v>2524.4977358055912</v>
      </c>
      <c r="BG31" s="191">
        <f t="shared" si="20"/>
        <v>2524.4977358055912</v>
      </c>
      <c r="BI31" s="192"/>
      <c r="BJ31" s="56"/>
      <c r="BK31" s="47"/>
      <c r="BL31" s="56"/>
      <c r="BM31" s="56"/>
      <c r="BN31" s="56"/>
      <c r="BO31" s="56"/>
      <c r="BP31" s="47"/>
      <c r="BQ31" s="56"/>
      <c r="BR31" s="47"/>
      <c r="BS31" s="56"/>
      <c r="BT31" s="193"/>
      <c r="BU31" s="56"/>
      <c r="BV31" s="47"/>
      <c r="BW31" s="57"/>
      <c r="BX31" s="56"/>
      <c r="BY31" s="56"/>
      <c r="BZ31" s="47"/>
      <c r="CA31" s="56"/>
      <c r="CB31" s="47"/>
      <c r="CC31" s="56"/>
      <c r="CD31" s="56"/>
      <c r="CE31" s="56"/>
      <c r="CF31" s="56"/>
      <c r="CG31" s="47"/>
      <c r="CH31" s="56"/>
      <c r="CI31" s="56"/>
      <c r="CJ31" s="56"/>
      <c r="CK31" s="47"/>
      <c r="CL31" s="47"/>
      <c r="CM31" s="47"/>
      <c r="CN31" s="47"/>
      <c r="CO31" s="56"/>
      <c r="CP31" s="56"/>
      <c r="CQ31" s="56"/>
      <c r="CR31" s="191"/>
    </row>
    <row r="32" spans="1:96" x14ac:dyDescent="0.25">
      <c r="A32" s="995">
        <v>2017</v>
      </c>
      <c r="B32" s="995"/>
      <c r="C32" s="178">
        <f>'A6-Chin (NEW2+Khutz)'!C38</f>
        <v>5793.8</v>
      </c>
      <c r="D32" s="179"/>
      <c r="E32" s="180">
        <f>'A6-Chin (NEW2+Khutz)'!G38</f>
        <v>76</v>
      </c>
      <c r="F32" s="180">
        <f>'A6-Chin (NEW2+Khutz)'!H38</f>
        <v>146</v>
      </c>
      <c r="G32" s="180">
        <f>'A6-Chin (NEW2+Khutz)'!I38</f>
        <v>1054.2</v>
      </c>
      <c r="H32" s="180">
        <f t="shared" si="7"/>
        <v>1276.2</v>
      </c>
      <c r="I32" s="179"/>
      <c r="J32" s="178">
        <f>'A6-Chin (NEW2+Khutz)'!L38</f>
        <v>7070</v>
      </c>
      <c r="K32" s="181">
        <f t="shared" si="0"/>
        <v>18.050919377652054</v>
      </c>
      <c r="L32" s="182">
        <v>5.9551794389594105E-2</v>
      </c>
      <c r="M32" s="182">
        <v>0.11440213132737816</v>
      </c>
      <c r="N32" s="182">
        <v>0.82604607428302779</v>
      </c>
      <c r="O32" s="182"/>
      <c r="P32" s="180">
        <f>'A6-Chin (NEW2+Khutz)'!P38</f>
        <v>891.39661832864556</v>
      </c>
      <c r="Q32" s="179"/>
      <c r="R32" s="183">
        <f>'A6-Chin (NEW2+Khutz)'!R38</f>
        <v>53</v>
      </c>
      <c r="S32" s="180">
        <f>'A6-Chin (NEW2+Khutz)'!S38</f>
        <v>2633.8</v>
      </c>
      <c r="T32" s="180">
        <f t="shared" si="1"/>
        <v>2686.8</v>
      </c>
      <c r="U32" s="179"/>
      <c r="V32" s="180">
        <f t="shared" si="2"/>
        <v>6685.1966183286459</v>
      </c>
      <c r="W32" s="179"/>
      <c r="X32" s="180">
        <f t="shared" si="8"/>
        <v>76</v>
      </c>
      <c r="Y32" s="180">
        <f t="shared" si="9"/>
        <v>199</v>
      </c>
      <c r="Z32" s="180">
        <f t="shared" si="9"/>
        <v>3688</v>
      </c>
      <c r="AA32" s="180">
        <f t="shared" si="10"/>
        <v>3963</v>
      </c>
      <c r="AB32" s="179"/>
      <c r="AC32" s="180">
        <f>'A6-Chin (NEW2+Khutz)'!AC38</f>
        <v>1355.16</v>
      </c>
      <c r="AD32" s="180">
        <f>'A6-Chin (NEW2+Khutz)'!AD38</f>
        <v>776</v>
      </c>
      <c r="AE32" s="180">
        <f t="shared" si="11"/>
        <v>2131.16</v>
      </c>
      <c r="AF32" s="180"/>
      <c r="AG32" s="180">
        <f t="shared" si="12"/>
        <v>12779.356618328646</v>
      </c>
      <c r="AH32" s="180">
        <f>'A6-Chin (NEW2+Khutz)'!AK38</f>
        <v>682</v>
      </c>
      <c r="AI32" s="180">
        <f t="shared" si="13"/>
        <v>13461.356618328646</v>
      </c>
      <c r="AJ32" s="184">
        <f t="shared" si="3"/>
        <v>50.337868553112621</v>
      </c>
      <c r="AK32" s="185"/>
      <c r="AL32" s="148">
        <f t="shared" si="14"/>
        <v>1</v>
      </c>
      <c r="AM32" s="186">
        <v>0.2240736990032019</v>
      </c>
      <c r="AN32" s="187">
        <v>0.5762061349279175</v>
      </c>
      <c r="AO32" s="186"/>
      <c r="AP32" s="188">
        <v>9037.17808219178</v>
      </c>
      <c r="AQ32" s="189">
        <f>AI32-'A6-Chin (NEW2+Khutz)'!AL38</f>
        <v>0</v>
      </c>
      <c r="AR32" s="190">
        <f>(AA32+AE32+AH32)/AI32</f>
        <v>0.50337868553112619</v>
      </c>
      <c r="AS32" s="190">
        <f t="shared" si="16"/>
        <v>0.1491089108910891</v>
      </c>
      <c r="AT32" s="190">
        <f t="shared" si="4"/>
        <v>0.82604607428302779</v>
      </c>
      <c r="AU32" s="190">
        <f t="shared" si="5"/>
        <v>0.11440213132737816</v>
      </c>
      <c r="AV32" s="190">
        <f t="shared" si="6"/>
        <v>5.9551794389594105E-2</v>
      </c>
      <c r="AW32" s="163"/>
      <c r="AY32" s="191">
        <v>4419.2475499677621</v>
      </c>
      <c r="AZ32" s="191">
        <v>5695.4475499677619</v>
      </c>
      <c r="BA32" s="191">
        <v>11077.95809355221</v>
      </c>
      <c r="BB32" s="191">
        <v>11759.95809355221</v>
      </c>
      <c r="BD32" s="191">
        <f t="shared" si="17"/>
        <v>1374.5524500322381</v>
      </c>
      <c r="BE32" s="191">
        <f t="shared" si="18"/>
        <v>1374.5524500322381</v>
      </c>
      <c r="BF32" s="191">
        <f t="shared" si="19"/>
        <v>1701.3985247764358</v>
      </c>
      <c r="BG32" s="191">
        <f t="shared" si="20"/>
        <v>1701.3985247764358</v>
      </c>
      <c r="BI32" s="192"/>
      <c r="BJ32" s="56"/>
      <c r="BK32" s="47"/>
      <c r="BL32" s="56"/>
      <c r="BM32" s="56"/>
      <c r="BN32" s="56"/>
      <c r="BO32" s="56"/>
      <c r="BP32" s="47"/>
      <c r="BQ32" s="56"/>
      <c r="BR32" s="47"/>
      <c r="BS32" s="56"/>
      <c r="BT32" s="193"/>
      <c r="BU32" s="56"/>
      <c r="BV32" s="47"/>
      <c r="BW32" s="57"/>
      <c r="BX32" s="56"/>
      <c r="BY32" s="56"/>
      <c r="BZ32" s="47"/>
      <c r="CA32" s="56"/>
      <c r="CB32" s="47"/>
      <c r="CC32" s="56"/>
      <c r="CD32" s="56"/>
      <c r="CE32" s="56"/>
      <c r="CF32" s="56"/>
      <c r="CG32" s="47"/>
      <c r="CH32" s="56"/>
      <c r="CI32" s="56"/>
      <c r="CJ32" s="56"/>
      <c r="CK32" s="47"/>
      <c r="CL32" s="47"/>
      <c r="CM32" s="47"/>
      <c r="CN32" s="47"/>
      <c r="CO32" s="56"/>
      <c r="CP32" s="56"/>
      <c r="CQ32" s="56"/>
      <c r="CR32" s="191"/>
    </row>
    <row r="33" spans="1:96" x14ac:dyDescent="0.25">
      <c r="A33" s="995">
        <v>2018</v>
      </c>
      <c r="B33" s="995"/>
      <c r="C33" s="178">
        <f>'A6-Chin (NEW2+Khutz)'!C39</f>
        <v>17886.500664740754</v>
      </c>
      <c r="D33" s="179"/>
      <c r="E33" s="180">
        <f>'A6-Chin (NEW2+Khutz)'!G39</f>
        <v>40</v>
      </c>
      <c r="F33" s="180">
        <f>'A6-Chin (NEW2+Khutz)'!H39</f>
        <v>339.09933525924703</v>
      </c>
      <c r="G33" s="180">
        <f>'A6-Chin (NEW2+Khutz)'!I39</f>
        <v>1817.4</v>
      </c>
      <c r="H33" s="180">
        <f t="shared" si="7"/>
        <v>2196.4993352592473</v>
      </c>
      <c r="I33" s="179"/>
      <c r="J33" s="178">
        <f>'A6-Chin (NEW2+Khutz)'!L39</f>
        <v>20083</v>
      </c>
      <c r="K33" s="181">
        <f t="shared" si="0"/>
        <v>10.937107679426617</v>
      </c>
      <c r="L33" s="182">
        <v>1.8210769643108752E-2</v>
      </c>
      <c r="M33" s="182">
        <v>0.15438291162224499</v>
      </c>
      <c r="N33" s="182">
        <v>0.82740631873464621</v>
      </c>
      <c r="O33" s="182"/>
      <c r="P33" s="180">
        <f>'A6-Chin (NEW2+Khutz)'!P39</f>
        <v>2751.9013784188164</v>
      </c>
      <c r="Q33" s="179"/>
      <c r="R33" s="183">
        <f>'A6-Chin (NEW2+Khutz)'!R39</f>
        <v>24.031446752735064</v>
      </c>
      <c r="S33" s="180">
        <f>'A6-Chin (NEW2+Khutz)'!S39</f>
        <v>3686.1734568285642</v>
      </c>
      <c r="T33" s="180">
        <f t="shared" si="1"/>
        <v>3710.2049035812993</v>
      </c>
      <c r="U33" s="179"/>
      <c r="V33" s="180">
        <f t="shared" si="2"/>
        <v>20638.402043159571</v>
      </c>
      <c r="W33" s="179"/>
      <c r="X33" s="180">
        <f t="shared" si="8"/>
        <v>40</v>
      </c>
      <c r="Y33" s="180">
        <f t="shared" si="9"/>
        <v>363.13078201198209</v>
      </c>
      <c r="Z33" s="180">
        <f t="shared" si="9"/>
        <v>5503.5734568285643</v>
      </c>
      <c r="AA33" s="180">
        <f t="shared" si="10"/>
        <v>5906.7042388405462</v>
      </c>
      <c r="AB33" s="179"/>
      <c r="AC33" s="180">
        <f>'A6-Chin (NEW2+Khutz)'!AC39</f>
        <v>353.64</v>
      </c>
      <c r="AD33" s="180">
        <f>'A6-Chin (NEW2+Khutz)'!AD39</f>
        <v>237</v>
      </c>
      <c r="AE33" s="180">
        <f t="shared" si="11"/>
        <v>590.64</v>
      </c>
      <c r="AF33" s="180"/>
      <c r="AG33" s="180">
        <f t="shared" si="12"/>
        <v>27135.746282000116</v>
      </c>
      <c r="AH33" s="180">
        <f>'A6-Chin (NEW2+Khutz)'!AK39</f>
        <v>1269.029046710828</v>
      </c>
      <c r="AI33" s="180">
        <f t="shared" si="13"/>
        <v>28404.775328710944</v>
      </c>
      <c r="AJ33" s="184">
        <f t="shared" si="3"/>
        <v>27.341787413123058</v>
      </c>
      <c r="AK33" s="185"/>
      <c r="AL33" s="148">
        <f t="shared" si="14"/>
        <v>19</v>
      </c>
      <c r="AM33" s="186">
        <v>0.13798664782447984</v>
      </c>
      <c r="AN33" s="187">
        <v>0.32284441015396509</v>
      </c>
      <c r="AO33" s="186"/>
      <c r="AP33" s="188">
        <v>4419.2475499677621</v>
      </c>
      <c r="AQ33" s="189">
        <f>AI33-'A6-Chin (NEW2+Khutz)'!AL39</f>
        <v>0</v>
      </c>
      <c r="AR33" s="190">
        <f>(AA33+AE33+AH33)/AI33</f>
        <v>0.27341787413123064</v>
      </c>
      <c r="AS33" s="190">
        <f>G33/J33</f>
        <v>9.0494448040631378E-2</v>
      </c>
      <c r="AT33" s="190">
        <f>G33/$H33</f>
        <v>0.82740748919256868</v>
      </c>
      <c r="AU33" s="190">
        <f>F33/$H33</f>
        <v>0.15438171540317083</v>
      </c>
      <c r="AV33" s="190">
        <f>E33/$H33</f>
        <v>1.8210795404260342E-2</v>
      </c>
      <c r="AW33" s="163"/>
      <c r="AY33" s="191">
        <v>14470</v>
      </c>
      <c r="AZ33" s="191">
        <v>16666.50244245095</v>
      </c>
      <c r="BA33" s="191">
        <v>22814.743227555235</v>
      </c>
      <c r="BB33" s="191">
        <v>23972.759764732047</v>
      </c>
      <c r="BD33" s="191">
        <f t="shared" si="17"/>
        <v>3416.5006647407536</v>
      </c>
      <c r="BE33" s="191">
        <f t="shared" si="18"/>
        <v>3416.4975575490498</v>
      </c>
      <c r="BF33" s="191">
        <f t="shared" si="19"/>
        <v>4321.0030544448819</v>
      </c>
      <c r="BG33" s="191">
        <f t="shared" si="20"/>
        <v>4432.0155639788973</v>
      </c>
      <c r="BI33" s="192"/>
      <c r="BJ33" s="56"/>
      <c r="BK33" s="47"/>
      <c r="BL33" s="56"/>
      <c r="BM33" s="56"/>
      <c r="BN33" s="56"/>
      <c r="BO33" s="56"/>
      <c r="BP33" s="47"/>
      <c r="BQ33" s="56"/>
      <c r="BR33" s="47"/>
      <c r="BS33" s="56"/>
      <c r="BT33" s="193"/>
      <c r="BU33" s="56"/>
      <c r="BV33" s="47"/>
      <c r="BW33" s="57"/>
      <c r="BX33" s="56"/>
      <c r="BY33" s="56"/>
      <c r="BZ33" s="47"/>
      <c r="CA33" s="56"/>
      <c r="CB33" s="47"/>
      <c r="CC33" s="56"/>
      <c r="CD33" s="56"/>
      <c r="CE33" s="56"/>
      <c r="CF33" s="56"/>
      <c r="CG33" s="47"/>
      <c r="CH33" s="56"/>
      <c r="CI33" s="56"/>
      <c r="CJ33" s="56"/>
      <c r="CK33" s="47"/>
      <c r="CL33" s="47"/>
      <c r="CM33" s="47"/>
      <c r="CN33" s="47"/>
      <c r="CO33" s="56"/>
      <c r="CP33" s="56"/>
      <c r="CQ33" s="56"/>
      <c r="CR33" s="191"/>
    </row>
    <row r="34" spans="1:96" x14ac:dyDescent="0.25">
      <c r="A34" s="995">
        <v>2019</v>
      </c>
      <c r="B34" s="995"/>
      <c r="C34" s="178">
        <f>'A6-Chin (NEW2+Khutz)'!C40</f>
        <v>11713.507023075654</v>
      </c>
      <c r="D34" s="179"/>
      <c r="E34" s="180">
        <f>'A6-Chin (NEW2+Khutz)'!G40</f>
        <v>110</v>
      </c>
      <c r="F34" s="180">
        <f>'A6-Chin (NEW2+Khutz)'!H40</f>
        <v>252.29297692434648</v>
      </c>
      <c r="G34" s="180">
        <f>'A6-Chin (NEW2+Khutz)'!I40</f>
        <v>2242.1999999999998</v>
      </c>
      <c r="H34" s="180">
        <f t="shared" si="7"/>
        <v>2604.4929769243463</v>
      </c>
      <c r="I34" s="179"/>
      <c r="J34" s="178">
        <f>'A6-Chin (NEW2+Khutz)'!L40</f>
        <v>14318</v>
      </c>
      <c r="K34" s="181">
        <f t="shared" si="0"/>
        <v>18.190340668559479</v>
      </c>
      <c r="L34" s="182">
        <v>4.2234670370539774E-2</v>
      </c>
      <c r="M34" s="182">
        <v>9.6869166858330538E-2</v>
      </c>
      <c r="N34" s="182">
        <v>0.86089616277112979</v>
      </c>
      <c r="O34" s="182"/>
      <c r="P34" s="180">
        <f>'A6-Chin (NEW2+Khutz)'!P40</f>
        <v>2890.8409816425637</v>
      </c>
      <c r="Q34" s="179"/>
      <c r="R34" s="183">
        <f>'A6-Chin (NEW2+Khutz)'!R40</f>
        <v>27.362329799524559</v>
      </c>
      <c r="S34" s="180">
        <f>'A6-Chin (NEW2+Khutz)'!S40</f>
        <v>4439.5843867763651</v>
      </c>
      <c r="T34" s="180">
        <f t="shared" si="1"/>
        <v>4466.9467165758897</v>
      </c>
      <c r="U34" s="179"/>
      <c r="V34" s="180">
        <f t="shared" si="2"/>
        <v>14604.348004718217</v>
      </c>
      <c r="W34" s="179"/>
      <c r="X34" s="180">
        <f t="shared" si="8"/>
        <v>110</v>
      </c>
      <c r="Y34" s="180">
        <f t="shared" si="9"/>
        <v>279.65530672387104</v>
      </c>
      <c r="Z34" s="180">
        <f t="shared" si="9"/>
        <v>6681.784386776365</v>
      </c>
      <c r="AA34" s="180">
        <f t="shared" si="10"/>
        <v>7071.439693500236</v>
      </c>
      <c r="AB34" s="179"/>
      <c r="AC34" s="180">
        <f>'A6-Chin (NEW2+Khutz)'!AC40</f>
        <v>364.87200000000001</v>
      </c>
      <c r="AD34" s="180">
        <f>'A6-Chin (NEW2+Khutz)'!AD40</f>
        <v>879</v>
      </c>
      <c r="AE34" s="180">
        <f t="shared" si="11"/>
        <v>1243.8720000000001</v>
      </c>
      <c r="AF34" s="180"/>
      <c r="AG34" s="180">
        <f t="shared" si="12"/>
        <v>22919.659698218453</v>
      </c>
      <c r="AH34" s="180">
        <f>'A6-Chin (NEW2+Khutz)'!AK40</f>
        <v>1071.8597379081511</v>
      </c>
      <c r="AI34" s="180">
        <f t="shared" si="13"/>
        <v>23991.519436126604</v>
      </c>
      <c r="AJ34" s="184">
        <f t="shared" si="3"/>
        <v>39.127040104317516</v>
      </c>
      <c r="AK34" s="185"/>
      <c r="AL34" s="148">
        <f t="shared" si="14"/>
        <v>8</v>
      </c>
      <c r="AM34" s="186">
        <v>0.20547448470440405</v>
      </c>
      <c r="AN34" s="187">
        <v>0.44398889162534461</v>
      </c>
      <c r="AO34" s="186"/>
      <c r="AP34" s="188">
        <v>14470</v>
      </c>
      <c r="AQ34" s="189">
        <f>AI34-'A6-Chin (NEW2+Khutz)'!AL40</f>
        <v>0</v>
      </c>
      <c r="AR34" s="194"/>
      <c r="AT34" s="194"/>
      <c r="AU34" s="194"/>
      <c r="AV34" s="194"/>
      <c r="AY34" s="191">
        <v>10492.571428571428</v>
      </c>
      <c r="AZ34" s="191">
        <v>13097.066717274545</v>
      </c>
      <c r="BA34" s="191">
        <v>20144.856913645377</v>
      </c>
      <c r="BB34" s="191">
        <v>21167.357022999524</v>
      </c>
      <c r="BD34" s="191">
        <f t="shared" si="17"/>
        <v>1220.9355945042262</v>
      </c>
      <c r="BE34" s="191">
        <f t="shared" si="18"/>
        <v>1220.9332827254548</v>
      </c>
      <c r="BF34" s="191">
        <f t="shared" si="19"/>
        <v>2774.8027845730758</v>
      </c>
      <c r="BG34" s="191">
        <f t="shared" si="20"/>
        <v>2824.1624131270801</v>
      </c>
      <c r="BI34" s="192">
        <v>2016</v>
      </c>
      <c r="BJ34" s="56">
        <v>9037.17808219178</v>
      </c>
      <c r="BK34" s="47"/>
      <c r="BL34" s="56">
        <v>114</v>
      </c>
      <c r="BM34" s="56">
        <v>339</v>
      </c>
      <c r="BN34" s="56">
        <v>1519</v>
      </c>
      <c r="BO34" s="56">
        <v>1972</v>
      </c>
      <c r="BP34" s="47"/>
      <c r="BQ34" s="56">
        <v>11009.17808219178</v>
      </c>
      <c r="BR34" s="47"/>
      <c r="BS34" s="56">
        <v>494.77937899773315</v>
      </c>
      <c r="BT34" s="193">
        <v>2.3333277671039006</v>
      </c>
      <c r="BU34" s="56">
        <v>1154.4824636058352</v>
      </c>
      <c r="BV34" s="47"/>
      <c r="BW34" s="47">
        <v>2</v>
      </c>
      <c r="BX34" s="56">
        <v>3877</v>
      </c>
      <c r="BY34" s="56">
        <v>3879</v>
      </c>
      <c r="BZ34" s="47"/>
      <c r="CA34" s="56">
        <v>10191.660545797615</v>
      </c>
      <c r="CB34" s="47"/>
      <c r="CC34" s="56">
        <v>114</v>
      </c>
      <c r="CD34" s="56">
        <v>341</v>
      </c>
      <c r="CE34" s="56">
        <v>5396</v>
      </c>
      <c r="CF34" s="56">
        <v>5851</v>
      </c>
      <c r="CG34" s="47"/>
      <c r="CH34" s="56">
        <v>739</v>
      </c>
      <c r="CI34" s="56">
        <v>764</v>
      </c>
      <c r="CJ34" s="56">
        <v>1503</v>
      </c>
      <c r="CK34" s="47"/>
      <c r="CL34" s="47" t="e">
        <v>#REF!</v>
      </c>
      <c r="CM34" s="47" t="e">
        <v>#REF!</v>
      </c>
      <c r="CN34" s="47" t="e">
        <v>#REF!</v>
      </c>
      <c r="CO34" s="56">
        <v>17545.660545797615</v>
      </c>
      <c r="CP34" s="47">
        <v>461.3417464667582</v>
      </c>
      <c r="CQ34" s="56">
        <v>18007.002292264373</v>
      </c>
    </row>
    <row r="35" spans="1:96" x14ac:dyDescent="0.25">
      <c r="A35" s="995">
        <v>2020</v>
      </c>
      <c r="B35" s="995"/>
      <c r="C35" s="178">
        <f>'A6-Chin (NEW2+Khutz)'!C41</f>
        <v>12828.597538855378</v>
      </c>
      <c r="D35" s="179"/>
      <c r="E35" s="180">
        <f>'A6-Chin (NEW2+Khutz)'!G41</f>
        <v>266</v>
      </c>
      <c r="F35" s="180">
        <f>'A6-Chin (NEW2+Khutz)'!H41</f>
        <v>229.60246114462157</v>
      </c>
      <c r="G35" s="180">
        <f>'A6-Chin (NEW2+Khutz)'!I41</f>
        <v>1984.8</v>
      </c>
      <c r="H35" s="180">
        <f t="shared" si="7"/>
        <v>2480.4024611446216</v>
      </c>
      <c r="I35" s="179"/>
      <c r="J35" s="178">
        <f>'A6-Chin (NEW2+Khutz)'!L41</f>
        <v>15309</v>
      </c>
      <c r="K35" s="181">
        <f t="shared" si="0"/>
        <v>16.20225005646758</v>
      </c>
      <c r="L35" s="182">
        <v>0.11626867262545433</v>
      </c>
      <c r="M35" s="182">
        <v>0.10036021805372136</v>
      </c>
      <c r="N35" s="182">
        <v>0.78337110932082421</v>
      </c>
      <c r="O35" s="182"/>
      <c r="P35" s="180">
        <f>'A6-Chin (NEW2+Khutz)'!P41</f>
        <v>1973.7250964884604</v>
      </c>
      <c r="Q35" s="179"/>
      <c r="R35" s="183">
        <f>'A6-Chin (NEW2+Khutz)'!R41</f>
        <v>20.777460434651402</v>
      </c>
      <c r="S35" s="180">
        <f>'A6-Chin (NEW2+Khutz)'!S41</f>
        <v>3592.6</v>
      </c>
      <c r="T35" s="180">
        <f t="shared" si="1"/>
        <v>3613.3774604346513</v>
      </c>
      <c r="U35" s="179"/>
      <c r="V35" s="180">
        <f t="shared" si="2"/>
        <v>14802.322635343839</v>
      </c>
      <c r="W35" s="179"/>
      <c r="X35" s="180">
        <f t="shared" si="8"/>
        <v>266</v>
      </c>
      <c r="Y35" s="180">
        <f t="shared" si="9"/>
        <v>250.37992157927297</v>
      </c>
      <c r="Z35" s="180">
        <f t="shared" si="9"/>
        <v>5577.4</v>
      </c>
      <c r="AA35" s="180">
        <f t="shared" si="10"/>
        <v>6093.7799215792729</v>
      </c>
      <c r="AB35" s="179"/>
      <c r="AC35" s="180">
        <f>'A6-Chin (NEW2+Khutz)'!AC41</f>
        <v>138.28</v>
      </c>
      <c r="AD35" s="180">
        <f>'A6-Chin (NEW2+Khutz)'!AD41</f>
        <v>330</v>
      </c>
      <c r="AE35" s="180">
        <f t="shared" si="11"/>
        <v>468.28</v>
      </c>
      <c r="AF35" s="180"/>
      <c r="AG35" s="180">
        <f t="shared" si="12"/>
        <v>21364.382556923112</v>
      </c>
      <c r="AH35" s="180">
        <f>'A6-Chin (NEW2+Khutz)'!AK41</f>
        <v>999.12571955913882</v>
      </c>
      <c r="AI35" s="180">
        <f t="shared" si="13"/>
        <v>22363.508276482251</v>
      </c>
      <c r="AJ35" s="184">
        <f t="shared" si="3"/>
        <v>33.810373344194169</v>
      </c>
      <c r="AK35" s="185"/>
      <c r="AL35" s="148">
        <f t="shared" si="14"/>
        <v>10</v>
      </c>
      <c r="AM35" s="186">
        <v>0.17787416666640313</v>
      </c>
      <c r="AN35" s="187">
        <v>0.35289475648258439</v>
      </c>
      <c r="AO35" s="186"/>
      <c r="AP35" s="188">
        <v>10492.571428571428</v>
      </c>
      <c r="AQ35" s="189">
        <f>AI35-'A6-Chin (NEW2+Khutz)'!AL41</f>
        <v>0</v>
      </c>
      <c r="AR35" s="194"/>
      <c r="AT35" s="194"/>
      <c r="AU35" s="194"/>
      <c r="AV35" s="194"/>
      <c r="AY35" s="191">
        <v>12265.648310387985</v>
      </c>
      <c r="AZ35" s="191">
        <v>14553.452875396544</v>
      </c>
      <c r="BA35" s="191">
        <v>20765.726660226421</v>
      </c>
      <c r="BB35" s="191">
        <v>21819.740489757143</v>
      </c>
      <c r="BD35" s="191">
        <f t="shared" si="17"/>
        <v>562.94922846739246</v>
      </c>
      <c r="BE35" s="191">
        <f t="shared" si="18"/>
        <v>755.54712460345581</v>
      </c>
      <c r="BF35" s="191">
        <f t="shared" si="19"/>
        <v>598.65589669669134</v>
      </c>
      <c r="BG35" s="191">
        <f t="shared" si="20"/>
        <v>543.76778672510773</v>
      </c>
      <c r="BI35" s="192"/>
      <c r="BJ35" s="56"/>
      <c r="BK35" s="47"/>
      <c r="BL35" s="56"/>
      <c r="BM35" s="56"/>
      <c r="BN35" s="56"/>
      <c r="BO35" s="56"/>
      <c r="BP35" s="47"/>
      <c r="BQ35" s="56"/>
      <c r="BR35" s="47"/>
      <c r="BS35" s="56"/>
      <c r="BT35" s="193"/>
      <c r="BU35" s="56"/>
      <c r="BV35" s="47"/>
      <c r="BW35" s="47"/>
      <c r="BX35" s="56"/>
      <c r="BY35" s="56"/>
      <c r="BZ35" s="47"/>
      <c r="CA35" s="56"/>
      <c r="CB35" s="47"/>
      <c r="CC35" s="56"/>
      <c r="CD35" s="56"/>
      <c r="CE35" s="56"/>
      <c r="CF35" s="56"/>
      <c r="CG35" s="47"/>
      <c r="CH35" s="56"/>
      <c r="CI35" s="56"/>
      <c r="CJ35" s="56"/>
      <c r="CK35" s="47"/>
      <c r="CL35" s="47"/>
      <c r="CM35" s="47"/>
      <c r="CN35" s="47"/>
      <c r="CO35" s="56"/>
      <c r="CP35" s="47"/>
      <c r="CQ35" s="56"/>
    </row>
    <row r="36" spans="1:96" x14ac:dyDescent="0.25">
      <c r="A36" s="995">
        <v>2021</v>
      </c>
      <c r="B36" s="995"/>
      <c r="C36" s="178">
        <f>'A6-Chin (NEW2+Khutz)'!C42</f>
        <v>11766.207465205587</v>
      </c>
      <c r="D36" s="179"/>
      <c r="E36" s="180">
        <f>'A6-Chin (NEW2+Khutz)'!G42</f>
        <v>299</v>
      </c>
      <c r="F36" s="180">
        <f>'A6-Chin (NEW2+Khutz)'!H42</f>
        <v>250.79253479441255</v>
      </c>
      <c r="G36" s="180">
        <f>'A6-Chin (NEW2+Khutz)'!I42</f>
        <v>1064</v>
      </c>
      <c r="H36" s="180">
        <f t="shared" si="7"/>
        <v>1613.7925347944124</v>
      </c>
      <c r="I36" s="179"/>
      <c r="J36" s="178">
        <f>'A6-Chin (NEW2+Khutz)'!L42</f>
        <v>13380</v>
      </c>
      <c r="K36" s="181">
        <f t="shared" si="0"/>
        <v>12.061229706983651</v>
      </c>
      <c r="L36" s="182">
        <v>0.16820480937430574</v>
      </c>
      <c r="M36" s="182">
        <v>0.14108661219836127</v>
      </c>
      <c r="N36" s="182">
        <v>0.69070857842733302</v>
      </c>
      <c r="O36" s="182"/>
      <c r="P36" s="180">
        <f>'A6-Chin (NEW2+Khutz)'!P42</f>
        <v>1487.8405688427433</v>
      </c>
      <c r="Q36" s="179"/>
      <c r="R36" s="183">
        <f>'A6-Chin (NEW2+Khutz)'!R42</f>
        <v>22.396393197385805</v>
      </c>
      <c r="S36" s="180">
        <f>'A6-Chin (NEW2+Khutz)'!S42</f>
        <v>4512.2000000000007</v>
      </c>
      <c r="T36" s="180">
        <f t="shared" si="1"/>
        <v>4534.5963931973865</v>
      </c>
      <c r="U36" s="179"/>
      <c r="V36" s="180">
        <f t="shared" si="2"/>
        <v>13254.04803404833</v>
      </c>
      <c r="W36" s="179"/>
      <c r="X36" s="180">
        <f t="shared" si="8"/>
        <v>299</v>
      </c>
      <c r="Y36" s="180">
        <f t="shared" si="9"/>
        <v>273.18892799179832</v>
      </c>
      <c r="Z36" s="180">
        <f t="shared" si="9"/>
        <v>5576.2000000000007</v>
      </c>
      <c r="AA36" s="180">
        <f t="shared" si="10"/>
        <v>6148.3889279917994</v>
      </c>
      <c r="AB36" s="179"/>
      <c r="AC36" s="180">
        <f>'A6-Chin (NEW2+Khutz)'!AC42</f>
        <v>21.655999999999999</v>
      </c>
      <c r="AD36" s="180">
        <f>'A6-Chin (NEW2+Khutz)'!AD42</f>
        <v>379</v>
      </c>
      <c r="AE36" s="180">
        <f t="shared" si="11"/>
        <v>400.65600000000001</v>
      </c>
      <c r="AF36" s="180"/>
      <c r="AG36" s="180">
        <f t="shared" si="12"/>
        <v>19803.092962040129</v>
      </c>
      <c r="AH36" s="180">
        <f>'A6-Chin (NEW2+Khutz)'!AK42</f>
        <v>926.11052308569197</v>
      </c>
      <c r="AI36" s="180">
        <f t="shared" si="13"/>
        <v>20729.203485125821</v>
      </c>
      <c r="AJ36" s="184">
        <f t="shared" si="3"/>
        <v>36.060987371952166</v>
      </c>
      <c r="AK36" s="185"/>
      <c r="AL36" s="148">
        <f t="shared" si="14"/>
        <v>9</v>
      </c>
      <c r="AM36" s="186">
        <v>0.13264047333235418</v>
      </c>
      <c r="AN36" s="187">
        <v>0.3915798604180914</v>
      </c>
      <c r="AO36" s="186"/>
      <c r="AP36" s="188">
        <v>12265.648310387985</v>
      </c>
      <c r="AQ36" s="189">
        <f>AI36-'A6-Chin (NEW2+Khutz)'!AL42</f>
        <v>0</v>
      </c>
      <c r="AR36" s="194"/>
      <c r="AT36" s="194"/>
      <c r="AU36" s="194"/>
      <c r="AV36" s="194"/>
      <c r="AY36" s="191">
        <v>11249.867777777778</v>
      </c>
      <c r="AZ36" s="191">
        <v>13027.462610602302</v>
      </c>
      <c r="BA36" s="191">
        <v>19510.674764809301</v>
      </c>
      <c r="BB36" s="191">
        <v>20500.985451358658</v>
      </c>
      <c r="BD36" s="191">
        <f t="shared" si="17"/>
        <v>516.33968742780962</v>
      </c>
      <c r="BE36" s="191">
        <f t="shared" si="18"/>
        <v>352.53738939769755</v>
      </c>
      <c r="BF36" s="191">
        <f t="shared" si="19"/>
        <v>292.41819723082881</v>
      </c>
      <c r="BG36" s="191">
        <f t="shared" si="20"/>
        <v>228.21803376716343</v>
      </c>
      <c r="BI36" s="192"/>
      <c r="BJ36" s="56"/>
      <c r="BK36" s="47"/>
      <c r="BL36" s="56"/>
      <c r="BM36" s="56"/>
      <c r="BN36" s="56"/>
      <c r="BO36" s="56"/>
      <c r="BP36" s="47"/>
      <c r="BQ36" s="56"/>
      <c r="BR36" s="47"/>
      <c r="BS36" s="56"/>
      <c r="BT36" s="193"/>
      <c r="BU36" s="56"/>
      <c r="BV36" s="47"/>
      <c r="BW36" s="47"/>
      <c r="BX36" s="56"/>
      <c r="BY36" s="56"/>
      <c r="BZ36" s="47"/>
      <c r="CA36" s="56"/>
      <c r="CB36" s="47"/>
      <c r="CC36" s="56"/>
      <c r="CD36" s="56"/>
      <c r="CE36" s="56"/>
      <c r="CF36" s="56"/>
      <c r="CG36" s="47"/>
      <c r="CH36" s="56"/>
      <c r="CI36" s="56"/>
      <c r="CJ36" s="56"/>
      <c r="CK36" s="47"/>
      <c r="CL36" s="47"/>
      <c r="CM36" s="47"/>
      <c r="CN36" s="47"/>
      <c r="CO36" s="56"/>
      <c r="CP36" s="47"/>
      <c r="CQ36" s="56"/>
    </row>
    <row r="37" spans="1:96" x14ac:dyDescent="0.25">
      <c r="A37" s="995">
        <v>2022</v>
      </c>
      <c r="B37" s="995"/>
      <c r="C37" s="178">
        <f>'A6-Chin (NEW2+Khutz)'!C43</f>
        <v>14410.16048847821</v>
      </c>
      <c r="D37" s="179"/>
      <c r="E37" s="180">
        <f>'A6-Chin (NEW2+Khutz)'!G43</f>
        <v>38</v>
      </c>
      <c r="F37" s="180">
        <f>'A6-Chin (NEW2+Khutz)'!H43</f>
        <v>265.03951152179019</v>
      </c>
      <c r="G37" s="180">
        <f>'A6-Chin (NEW2+Khutz)'!I43</f>
        <v>1347.8</v>
      </c>
      <c r="H37" s="180">
        <f t="shared" si="7"/>
        <v>1650.8395115217902</v>
      </c>
      <c r="I37" s="179"/>
      <c r="J37" s="178">
        <f>'A6-Chin (NEW2+Khutz)'!L43</f>
        <v>16061</v>
      </c>
      <c r="K37" s="181">
        <f t="shared" si="0"/>
        <v>10.278559937250421</v>
      </c>
      <c r="L37" s="182">
        <v>2.2471352778984464E-2</v>
      </c>
      <c r="M37" s="182">
        <v>0.15673291939916201</v>
      </c>
      <c r="N37" s="182">
        <v>0.82079572782185362</v>
      </c>
      <c r="O37" s="182"/>
      <c r="P37" s="180">
        <f>'A6-Chin (NEW2+Khutz)'!P43</f>
        <v>5258.8031445336183</v>
      </c>
      <c r="Q37" s="179"/>
      <c r="R37" s="183">
        <f>'A6-Chin (NEW2+Khutz)'!R43</f>
        <v>29.022554900509931</v>
      </c>
      <c r="S37" s="180">
        <f>'A6-Chin (NEW2+Khutz)'!S43</f>
        <v>2516.3999999999996</v>
      </c>
      <c r="T37" s="180">
        <f t="shared" si="1"/>
        <v>2545.4225549005096</v>
      </c>
      <c r="U37" s="179"/>
      <c r="V37" s="180">
        <f t="shared" si="2"/>
        <v>19668.96363301183</v>
      </c>
      <c r="W37" s="179"/>
      <c r="X37" s="180">
        <f t="shared" si="8"/>
        <v>38</v>
      </c>
      <c r="Y37" s="180">
        <f t="shared" si="9"/>
        <v>294.06206642230012</v>
      </c>
      <c r="Z37" s="180">
        <f t="shared" si="9"/>
        <v>3864.2</v>
      </c>
      <c r="AA37" s="180">
        <f t="shared" si="10"/>
        <v>4196.2620664222995</v>
      </c>
      <c r="AB37" s="179"/>
      <c r="AC37" s="180">
        <f>'A6-Chin (NEW2+Khutz)'!AC43</f>
        <v>72.823999999999998</v>
      </c>
      <c r="AD37" s="180">
        <f>'A6-Chin (NEW2+Khutz)'!AD43</f>
        <v>291</v>
      </c>
      <c r="AE37" s="180">
        <f t="shared" si="11"/>
        <v>363.82400000000001</v>
      </c>
      <c r="AF37" s="180"/>
      <c r="AG37" s="180">
        <f t="shared" si="12"/>
        <v>24229.04969943413</v>
      </c>
      <c r="AH37" s="180">
        <f>'A6-Chin (NEW2+Khutz)'!AK43</f>
        <v>1133.0946097169908</v>
      </c>
      <c r="AI37" s="180">
        <f t="shared" si="13"/>
        <v>25362.144309151121</v>
      </c>
      <c r="AJ37" s="184">
        <f t="shared" si="3"/>
        <v>22.447552567883971</v>
      </c>
      <c r="AK37" s="185"/>
      <c r="AL37" s="148">
        <f t="shared" si="14"/>
        <v>16</v>
      </c>
      <c r="AM37" s="186">
        <v>0.11987226166294518</v>
      </c>
      <c r="AN37" s="187">
        <v>0.24567242063140393</v>
      </c>
      <c r="AO37" s="186"/>
      <c r="AP37" s="188">
        <v>11249.867777777778</v>
      </c>
      <c r="AQ37" s="189">
        <f>AI37-'A6-Chin (NEW2+Khutz)'!AL43</f>
        <v>0</v>
      </c>
      <c r="AR37" s="194"/>
      <c r="AT37" s="194"/>
      <c r="AU37" s="194"/>
      <c r="AV37" s="194"/>
      <c r="AY37" s="191">
        <v>13408.493367742924</v>
      </c>
      <c r="AZ37" s="191">
        <v>15099.535307840903</v>
      </c>
      <c r="BA37" s="191">
        <v>22857.040953893968</v>
      </c>
      <c r="BB37" s="191">
        <v>24017.204412738785</v>
      </c>
      <c r="BD37" s="191">
        <f t="shared" si="17"/>
        <v>1001.6671207352865</v>
      </c>
      <c r="BE37" s="191">
        <f t="shared" si="18"/>
        <v>961.46469215909747</v>
      </c>
      <c r="BF37" s="191">
        <f t="shared" si="19"/>
        <v>1372.0087455401626</v>
      </c>
      <c r="BG37" s="191">
        <f t="shared" si="20"/>
        <v>1344.9398964123357</v>
      </c>
      <c r="BI37" s="192"/>
      <c r="BJ37" s="56"/>
      <c r="BK37" s="47"/>
      <c r="BL37" s="56"/>
      <c r="BM37" s="56"/>
      <c r="BN37" s="56"/>
      <c r="BO37" s="56"/>
      <c r="BP37" s="47"/>
      <c r="BQ37" s="56"/>
      <c r="BR37" s="47"/>
      <c r="BS37" s="56"/>
      <c r="BT37" s="193"/>
      <c r="BU37" s="56"/>
      <c r="BV37" s="47"/>
      <c r="BW37" s="47"/>
      <c r="BX37" s="56"/>
      <c r="BY37" s="56"/>
      <c r="BZ37" s="47"/>
      <c r="CA37" s="56"/>
      <c r="CB37" s="47"/>
      <c r="CC37" s="56"/>
      <c r="CD37" s="56"/>
      <c r="CE37" s="56"/>
      <c r="CF37" s="56"/>
      <c r="CG37" s="47"/>
      <c r="CH37" s="56"/>
      <c r="CI37" s="56"/>
      <c r="CJ37" s="56"/>
      <c r="CK37" s="47"/>
      <c r="CL37" s="47"/>
      <c r="CM37" s="47"/>
      <c r="CN37" s="47"/>
      <c r="CO37" s="56"/>
      <c r="CP37" s="47"/>
      <c r="CQ37" s="56"/>
    </row>
    <row r="38" spans="1:96" x14ac:dyDescent="0.25">
      <c r="A38" s="995">
        <v>2023</v>
      </c>
      <c r="B38" s="995"/>
      <c r="C38" s="178">
        <f>'A6-Chin (NEW2+Khutz)'!C44</f>
        <v>9758.9535295539172</v>
      </c>
      <c r="D38" s="177"/>
      <c r="E38" s="180">
        <f>'A6-Chin (NEW2+Khutz)'!G44</f>
        <v>66</v>
      </c>
      <c r="F38" s="180">
        <f>'A6-Chin (NEW2+Khutz)'!H44</f>
        <v>193.24647044608315</v>
      </c>
      <c r="G38" s="180">
        <f>'A6-Chin (NEW2+Khutz)'!I44</f>
        <v>1587.8</v>
      </c>
      <c r="H38" s="180">
        <f t="shared" si="7"/>
        <v>1847.046470446083</v>
      </c>
      <c r="I38" s="177"/>
      <c r="J38" s="178">
        <f>'A6-Chin (NEW2+Khutz)'!L44</f>
        <v>11606</v>
      </c>
      <c r="K38" s="181">
        <f t="shared" si="0"/>
        <v>15.914582719680192</v>
      </c>
      <c r="L38" s="195"/>
      <c r="M38" s="195"/>
      <c r="N38" s="195"/>
      <c r="O38" s="196"/>
      <c r="P38" s="180">
        <f>'A6-Chin (NEW2+Khutz)'!P44</f>
        <v>2396.5066769396999</v>
      </c>
      <c r="Q38" s="177"/>
      <c r="R38" s="183">
        <f>'A6-Chin (NEW2+Khutz)'!R44</f>
        <v>15.083520481618507</v>
      </c>
      <c r="S38" s="180">
        <f>'A6-Chin (NEW2+Khutz)'!S44</f>
        <v>1644.3999999999999</v>
      </c>
      <c r="T38" s="180">
        <f t="shared" si="1"/>
        <v>1659.4835204816184</v>
      </c>
      <c r="U38" s="197"/>
      <c r="V38" s="180">
        <f t="shared" si="2"/>
        <v>12155.460206493617</v>
      </c>
      <c r="W38" s="197"/>
      <c r="X38" s="180">
        <f t="shared" si="8"/>
        <v>66</v>
      </c>
      <c r="Y38" s="180">
        <f t="shared" si="9"/>
        <v>208.32999092770166</v>
      </c>
      <c r="Z38" s="180">
        <f t="shared" si="9"/>
        <v>3232.2</v>
      </c>
      <c r="AA38" s="180">
        <f t="shared" si="10"/>
        <v>3506.5299909277014</v>
      </c>
      <c r="AB38" s="177"/>
      <c r="AC38" s="180">
        <f>'A6-Chin (NEW2+Khutz)'!AC44</f>
        <v>69.688000000000002</v>
      </c>
      <c r="AD38" s="180">
        <f>'A6-Chin (NEW2+Khutz)'!AD44</f>
        <v>263</v>
      </c>
      <c r="AE38" s="180">
        <f t="shared" si="11"/>
        <v>332.68799999999999</v>
      </c>
      <c r="AF38" s="177"/>
      <c r="AG38" s="180">
        <f t="shared" si="12"/>
        <v>15994.678197421319</v>
      </c>
      <c r="AH38" s="180">
        <f>'A6-Chin (NEW2+Khutz)'!AK44</f>
        <v>748.00637558968083</v>
      </c>
      <c r="AI38" s="180">
        <f t="shared" si="13"/>
        <v>16742.684573011</v>
      </c>
      <c r="AJ38" s="184">
        <f t="shared" si="3"/>
        <v>27.39838014933359</v>
      </c>
      <c r="AK38" s="185"/>
      <c r="AL38" s="148">
        <f t="shared" si="14"/>
        <v>5</v>
      </c>
      <c r="AM38" s="186"/>
      <c r="AN38" s="77">
        <v>0.27051468288261332</v>
      </c>
      <c r="AO38" s="186"/>
      <c r="AP38" s="188">
        <v>13408.493367742924</v>
      </c>
      <c r="AQ38" s="189">
        <f>AI38-'A6-Chin (NEW2+Khutz)'!AL44</f>
        <v>0</v>
      </c>
      <c r="AR38" s="194"/>
      <c r="AT38" s="194"/>
      <c r="AU38" s="194"/>
      <c r="AV38" s="194"/>
      <c r="AY38" s="191">
        <v>10375.825950221804</v>
      </c>
      <c r="AZ38" s="191">
        <v>12228.874191399254</v>
      </c>
      <c r="BA38" s="191">
        <v>17528.019145049399</v>
      </c>
      <c r="BB38" s="191">
        <v>18417.695431627271</v>
      </c>
      <c r="BD38" s="191">
        <f t="shared" si="17"/>
        <v>-616.87242066788713</v>
      </c>
      <c r="BE38" s="191">
        <f t="shared" si="18"/>
        <v>-622.87419139925441</v>
      </c>
      <c r="BF38" s="191">
        <f t="shared" si="19"/>
        <v>-1533.3409476280794</v>
      </c>
      <c r="BG38" s="191">
        <f t="shared" si="20"/>
        <v>-1675.0108586162714</v>
      </c>
      <c r="BI38" s="192"/>
      <c r="BJ38" s="56"/>
      <c r="BK38" s="47"/>
      <c r="BL38" s="56"/>
      <c r="BM38" s="56"/>
      <c r="BN38" s="56"/>
      <c r="BO38" s="56"/>
      <c r="BP38" s="47"/>
      <c r="BQ38" s="56"/>
      <c r="BR38" s="47"/>
      <c r="BS38" s="56"/>
      <c r="BT38" s="193"/>
      <c r="BU38" s="56"/>
      <c r="BV38" s="47"/>
      <c r="BW38" s="47"/>
      <c r="BX38" s="56"/>
      <c r="BY38" s="56"/>
      <c r="BZ38" s="47"/>
      <c r="CA38" s="56"/>
      <c r="CB38" s="47"/>
      <c r="CC38" s="56"/>
      <c r="CD38" s="56"/>
      <c r="CE38" s="56"/>
      <c r="CF38" s="56"/>
      <c r="CG38" s="47"/>
      <c r="CH38" s="56"/>
      <c r="CI38" s="56"/>
      <c r="CJ38" s="56"/>
      <c r="CK38" s="47"/>
      <c r="CL38" s="47"/>
      <c r="CM38" s="47"/>
      <c r="CN38" s="47"/>
      <c r="CO38" s="56"/>
      <c r="CP38" s="47"/>
      <c r="CQ38" s="56"/>
    </row>
    <row r="39" spans="1:96" x14ac:dyDescent="0.25">
      <c r="A39" s="995">
        <v>2024</v>
      </c>
      <c r="B39" s="995"/>
      <c r="C39" s="178">
        <f>'A6-Chin (NEW2+Khutz)'!C45</f>
        <v>12477.710267528219</v>
      </c>
      <c r="D39" s="177"/>
      <c r="E39" s="180">
        <f>'A6-Chin (NEW2+Khutz)'!G45</f>
        <v>99</v>
      </c>
      <c r="F39" s="180">
        <f>'A6-Chin (NEW2+Khutz)'!H45</f>
        <v>240.33973247178227</v>
      </c>
      <c r="G39" s="180">
        <f>'A6-Chin (NEW2+Khutz)'!I45</f>
        <v>2381.9500000000003</v>
      </c>
      <c r="H39" s="180">
        <f t="shared" si="7"/>
        <v>2721.2897324717824</v>
      </c>
      <c r="I39" s="177"/>
      <c r="J39" s="178">
        <f>'A6-Chin (NEW2+Khutz)'!L45</f>
        <v>15199</v>
      </c>
      <c r="K39" s="181">
        <f t="shared" si="0"/>
        <v>17.90439984519891</v>
      </c>
      <c r="L39" s="195"/>
      <c r="M39" s="195"/>
      <c r="N39" s="195"/>
      <c r="O39" s="196"/>
      <c r="P39" s="180">
        <f>'A6-Chin (NEW2+Khutz)'!P45</f>
        <v>5507.4255264926142</v>
      </c>
      <c r="Q39" s="177"/>
      <c r="R39" s="183">
        <f>'A6-Chin (NEW2+Khutz)'!R45</f>
        <v>33.990527557923997</v>
      </c>
      <c r="S39" s="180">
        <f>'A6-Chin (NEW2+Khutz)'!S45</f>
        <v>3492.4775314261187</v>
      </c>
      <c r="T39" s="180">
        <f t="shared" si="1"/>
        <v>3526.4680589840427</v>
      </c>
      <c r="U39" s="177"/>
      <c r="V39" s="180">
        <f t="shared" si="2"/>
        <v>17985.135794020833</v>
      </c>
      <c r="W39" s="177"/>
      <c r="X39" s="180">
        <f t="shared" si="8"/>
        <v>99</v>
      </c>
      <c r="Y39" s="180">
        <f t="shared" si="9"/>
        <v>274.33026002970627</v>
      </c>
      <c r="Z39" s="180">
        <f t="shared" si="9"/>
        <v>5874.4275314261195</v>
      </c>
      <c r="AA39" s="180">
        <f t="shared" si="10"/>
        <v>6247.757791455826</v>
      </c>
      <c r="AB39" s="177"/>
      <c r="AC39" s="180">
        <f>'A6-Chin (NEW2+Khutz)'!AC45</f>
        <v>135.87200000000001</v>
      </c>
      <c r="AD39" s="180">
        <f>'A6-Chin (NEW2+Khutz)'!AD45</f>
        <v>345</v>
      </c>
      <c r="AE39" s="180">
        <f t="shared" si="11"/>
        <v>480.87200000000001</v>
      </c>
      <c r="AF39" s="177"/>
      <c r="AG39" s="180">
        <f t="shared" si="12"/>
        <v>24713.76558547666</v>
      </c>
      <c r="AH39" s="180">
        <f>'A6-Chin (NEW2+Khutz)'!AK45</f>
        <v>1155.7628102668386</v>
      </c>
      <c r="AI39" s="180">
        <f t="shared" si="13"/>
        <v>25869.528395743499</v>
      </c>
      <c r="AJ39" s="184">
        <f>SUM(AH39,AE39,AA39)/AI39*100</f>
        <v>30.477527387085807</v>
      </c>
      <c r="AK39" s="185"/>
      <c r="AM39" s="186"/>
      <c r="AN39" s="77">
        <v>0.32063238334002331</v>
      </c>
      <c r="AO39" s="186"/>
      <c r="AP39" s="188">
        <v>10375.825950221804</v>
      </c>
      <c r="AQ39" s="189">
        <f>AI39-'A6-Chin (NEW2+Khutz)'!AL45</f>
        <v>0</v>
      </c>
      <c r="AR39" s="194"/>
      <c r="AT39" s="194"/>
      <c r="AU39" s="194"/>
      <c r="AV39" s="194"/>
      <c r="AY39" s="191"/>
      <c r="AZ39" s="191"/>
      <c r="BA39" s="191"/>
      <c r="BB39" s="191"/>
      <c r="BD39" s="191"/>
      <c r="BE39" s="191"/>
      <c r="BF39" s="191"/>
      <c r="BG39" s="191"/>
      <c r="BI39" s="192"/>
      <c r="BJ39" s="56"/>
      <c r="BK39" s="47"/>
      <c r="BL39" s="56"/>
      <c r="BM39" s="56"/>
      <c r="BN39" s="56"/>
      <c r="BO39" s="56"/>
      <c r="BP39" s="47"/>
      <c r="BQ39" s="56"/>
      <c r="BR39" s="47"/>
      <c r="BS39" s="56"/>
      <c r="BT39" s="193"/>
      <c r="BU39" s="56"/>
      <c r="BV39" s="47"/>
      <c r="BW39" s="47"/>
      <c r="BX39" s="56"/>
      <c r="BY39" s="56"/>
      <c r="BZ39" s="47"/>
      <c r="CA39" s="56"/>
      <c r="CB39" s="47"/>
      <c r="CC39" s="56"/>
      <c r="CD39" s="56"/>
      <c r="CE39" s="56"/>
      <c r="CF39" s="56"/>
      <c r="CG39" s="47"/>
      <c r="CH39" s="56"/>
      <c r="CI39" s="56"/>
      <c r="CJ39" s="56"/>
      <c r="CK39" s="47"/>
      <c r="CL39" s="47"/>
      <c r="CM39" s="47"/>
      <c r="CN39" s="47"/>
      <c r="CO39" s="56"/>
      <c r="CP39" s="47"/>
      <c r="CQ39" s="56"/>
    </row>
    <row r="40" spans="1:96" x14ac:dyDescent="0.25">
      <c r="A40" s="995">
        <v>2025</v>
      </c>
      <c r="B40" s="995"/>
      <c r="C40" s="178">
        <f>'A6-Chin (NEW2+Khutz)'!C46</f>
        <v>10359.972690145158</v>
      </c>
      <c r="D40" s="177"/>
      <c r="E40" s="180">
        <f>'A6-Chin (NEW2+Khutz)'!G46</f>
        <v>55</v>
      </c>
      <c r="F40" s="180">
        <f>'A6-Chin (NEW2+Khutz)'!H46</f>
        <v>198.77730985484322</v>
      </c>
      <c r="G40" s="180">
        <f>'A6-Chin (NEW2+Khutz)'!I46</f>
        <v>1712.25</v>
      </c>
      <c r="H40" s="180">
        <f t="shared" si="7"/>
        <v>1966.0273098548432</v>
      </c>
      <c r="I40" s="177"/>
      <c r="J40" s="178">
        <f>'A6-Chin (NEW2+Khutz)'!L46</f>
        <v>12326</v>
      </c>
      <c r="K40" s="181">
        <f>H40/J40 * 100</f>
        <v>15.950245901791686</v>
      </c>
      <c r="L40" s="195"/>
      <c r="M40" s="195"/>
      <c r="N40" s="195"/>
      <c r="O40" s="196"/>
      <c r="P40" s="180">
        <f>'A6-Chin (NEW2+Khutz)'!P46</f>
        <v>15029.315747871828</v>
      </c>
      <c r="Q40" s="177"/>
      <c r="R40" s="183">
        <f>'A6-Chin (NEW2+Khutz)'!R46</f>
        <v>68.272168776889885</v>
      </c>
      <c r="S40" s="180">
        <f>'A6-Chin (NEW2+Khutz)'!S46</f>
        <v>3260.941025796807</v>
      </c>
      <c r="T40" s="180">
        <f>SUM(R40:S40)</f>
        <v>3329.2131945736969</v>
      </c>
      <c r="U40" s="177"/>
      <c r="V40" s="180">
        <f>SUM(P40,C40)</f>
        <v>25389.288438016985</v>
      </c>
      <c r="W40" s="177"/>
      <c r="X40" s="180">
        <f t="shared" si="8"/>
        <v>55</v>
      </c>
      <c r="Y40" s="180">
        <f t="shared" si="9"/>
        <v>267.04947863173311</v>
      </c>
      <c r="Z40" s="180">
        <f t="shared" si="9"/>
        <v>4973.1910257968066</v>
      </c>
      <c r="AA40" s="180">
        <f t="shared" si="10"/>
        <v>5295.2405044285397</v>
      </c>
      <c r="AB40" s="177"/>
      <c r="AC40" s="180">
        <f>'A6-Chin (NEW2+Khutz)'!AC46</f>
        <v>132.29599999999999</v>
      </c>
      <c r="AD40" s="180">
        <f>'A6-Chin (NEW2+Khutz)'!AD46</f>
        <v>599.10310366934414</v>
      </c>
      <c r="AE40" s="180">
        <f t="shared" si="11"/>
        <v>731.39910366934419</v>
      </c>
      <c r="AF40" s="177"/>
      <c r="AG40" s="180">
        <f t="shared" si="12"/>
        <v>31415.92804611487</v>
      </c>
      <c r="AH40" s="180">
        <f>'A6-Chin (NEW2+Khutz)'!AK46</f>
        <v>1469.1958277315753</v>
      </c>
      <c r="AI40" s="180">
        <f t="shared" si="13"/>
        <v>32885.123873846445</v>
      </c>
      <c r="AJ40" s="184">
        <f>SUM(AH40,AE40,AA40)/AI40*100</f>
        <v>22.794000912342316</v>
      </c>
      <c r="AK40" s="185"/>
      <c r="AM40" s="186"/>
      <c r="AN40" s="77">
        <v>0.32063238334002331</v>
      </c>
      <c r="AO40" s="186"/>
      <c r="AP40" s="188">
        <v>12428.301257371128</v>
      </c>
      <c r="AQ40" s="189">
        <f>AI40-'A6-Chin (NEW2+Khutz)'!AL46</f>
        <v>0</v>
      </c>
      <c r="AR40" s="194"/>
      <c r="AT40" s="194"/>
      <c r="AU40" s="194"/>
      <c r="AV40" s="194"/>
      <c r="AY40" s="191"/>
      <c r="AZ40" s="191"/>
      <c r="BA40" s="191"/>
      <c r="BB40" s="191"/>
      <c r="BD40" s="191"/>
      <c r="BE40" s="191"/>
      <c r="BF40" s="191"/>
      <c r="BG40" s="191"/>
      <c r="BI40" s="192"/>
      <c r="BJ40" s="56"/>
      <c r="BK40" s="47"/>
      <c r="BL40" s="56"/>
      <c r="BM40" s="56"/>
      <c r="BN40" s="56"/>
      <c r="BO40" s="56"/>
      <c r="BP40" s="47"/>
      <c r="BQ40" s="56"/>
      <c r="BR40" s="47"/>
      <c r="BS40" s="56"/>
      <c r="BT40" s="193"/>
      <c r="BU40" s="56"/>
      <c r="BV40" s="47"/>
      <c r="BW40" s="47"/>
      <c r="BX40" s="56"/>
      <c r="BY40" s="56"/>
      <c r="BZ40" s="47"/>
      <c r="CA40" s="56"/>
      <c r="CB40" s="47"/>
      <c r="CC40" s="56"/>
      <c r="CD40" s="56"/>
      <c r="CE40" s="56"/>
      <c r="CF40" s="56"/>
      <c r="CG40" s="47"/>
      <c r="CH40" s="56"/>
      <c r="CI40" s="56"/>
      <c r="CJ40" s="56"/>
      <c r="CK40" s="47"/>
      <c r="CL40" s="47"/>
      <c r="CM40" s="47"/>
      <c r="CN40" s="47"/>
      <c r="CO40" s="56"/>
      <c r="CP40" s="47"/>
      <c r="CQ40" s="56"/>
    </row>
    <row r="41" spans="1:96" ht="5.25" customHeight="1" x14ac:dyDescent="0.25">
      <c r="A41" s="198"/>
      <c r="B41" s="198"/>
      <c r="C41" s="198"/>
      <c r="D41" s="198"/>
      <c r="E41" s="198"/>
      <c r="F41" s="198"/>
      <c r="G41" s="198"/>
      <c r="H41" s="198"/>
      <c r="I41" s="198"/>
      <c r="J41" s="177"/>
      <c r="K41" s="198"/>
      <c r="L41" s="198"/>
      <c r="M41" s="198"/>
      <c r="N41" s="198"/>
      <c r="O41" s="198"/>
      <c r="P41" s="198"/>
      <c r="Q41" s="198"/>
      <c r="R41" s="199"/>
      <c r="S41" s="198"/>
      <c r="T41" s="198"/>
      <c r="U41" s="198"/>
      <c r="V41" s="198"/>
      <c r="W41" s="198"/>
      <c r="X41" s="198"/>
      <c r="Y41" s="198"/>
      <c r="Z41" s="198"/>
      <c r="AA41" s="198"/>
      <c r="AB41" s="198"/>
      <c r="AC41" s="198"/>
      <c r="AD41" s="198"/>
      <c r="AE41" s="198"/>
      <c r="AF41" s="198"/>
      <c r="AG41" s="198"/>
      <c r="AH41" s="179"/>
      <c r="AI41" s="198"/>
      <c r="AJ41" s="200"/>
      <c r="AK41" s="200"/>
      <c r="AL41" s="200"/>
      <c r="AM41" s="200"/>
      <c r="AN41" s="200"/>
      <c r="AO41" s="200"/>
      <c r="AP41" s="201">
        <v>10199.3082236684</v>
      </c>
      <c r="AQ41" s="200"/>
    </row>
    <row r="42" spans="1:96" x14ac:dyDescent="0.25">
      <c r="A42" s="202" t="s">
        <v>193</v>
      </c>
      <c r="B42" s="203"/>
      <c r="C42" s="203"/>
      <c r="D42" s="203"/>
      <c r="E42" s="203"/>
      <c r="F42" s="203"/>
      <c r="G42" s="203"/>
      <c r="H42" s="203"/>
      <c r="I42" s="203"/>
      <c r="J42" s="204"/>
      <c r="K42" s="203"/>
      <c r="L42" s="203"/>
      <c r="M42" s="203"/>
      <c r="N42" s="203"/>
      <c r="O42" s="203"/>
      <c r="P42" s="203"/>
      <c r="Q42" s="203"/>
      <c r="R42" s="205"/>
      <c r="S42" s="203"/>
      <c r="T42" s="203"/>
      <c r="U42" s="203"/>
      <c r="V42" s="203"/>
      <c r="W42" s="203"/>
      <c r="X42" s="203"/>
      <c r="Y42" s="203"/>
      <c r="Z42" s="203"/>
      <c r="AA42" s="203"/>
      <c r="AB42" s="203"/>
      <c r="AC42" s="203"/>
      <c r="AD42" s="203"/>
      <c r="AE42" s="203"/>
      <c r="AF42" s="203"/>
      <c r="AG42" s="203"/>
      <c r="AH42" s="206"/>
      <c r="AI42" s="203"/>
      <c r="AJ42" s="207"/>
      <c r="AK42" s="200"/>
      <c r="AL42" s="200"/>
      <c r="AM42" s="200"/>
      <c r="AN42" s="200"/>
      <c r="AO42" s="200"/>
      <c r="AP42" s="200"/>
      <c r="AQ42" s="200"/>
    </row>
    <row r="43" spans="1:96" x14ac:dyDescent="0.25">
      <c r="A43" s="208" t="s">
        <v>194</v>
      </c>
      <c r="B43" s="198"/>
      <c r="C43" s="180">
        <f>ROUND(AVERAGE(C7:C14),0)</f>
        <v>19440</v>
      </c>
      <c r="D43" s="180"/>
      <c r="E43" s="180">
        <f>ROUND(AVERAGE(E7:E14),0)</f>
        <v>254</v>
      </c>
      <c r="F43" s="180">
        <f>ROUND(AVERAGE(F7:F14),0)</f>
        <v>609</v>
      </c>
      <c r="G43" s="180">
        <f>ROUND(AVERAGE(G7:G14),0)</f>
        <v>1707</v>
      </c>
      <c r="H43" s="180">
        <f>ROUND(AVERAGE(H7:H14),0)</f>
        <v>2570</v>
      </c>
      <c r="I43" s="180"/>
      <c r="J43" s="180">
        <f>ROUND(AVERAGE(J7:J14),0)</f>
        <v>22009</v>
      </c>
      <c r="K43" s="209">
        <f>AVERAGE(K7:K14)</f>
        <v>12.531354974402104</v>
      </c>
      <c r="L43" s="196">
        <f>AVERAGE(L7:L14)</f>
        <v>9.3919328508949393E-2</v>
      </c>
      <c r="M43" s="196">
        <f>AVERAGE(M7:M14)</f>
        <v>0.21458092310824972</v>
      </c>
      <c r="N43" s="196">
        <f>AVERAGE(N7:N14)</f>
        <v>0.69149974838280093</v>
      </c>
      <c r="O43" s="196"/>
      <c r="P43" s="180">
        <f>ROUND(AVERAGE(P7:P14),0)</f>
        <v>2713</v>
      </c>
      <c r="Q43" s="180"/>
      <c r="R43" s="183" t="s">
        <v>106</v>
      </c>
      <c r="S43" s="180">
        <f>ROUND(AVERAGE(S7:S14),0)</f>
        <v>5538</v>
      </c>
      <c r="T43" s="180">
        <f>ROUND(AVERAGE(T7:T14),0)</f>
        <v>5538</v>
      </c>
      <c r="U43" s="180"/>
      <c r="V43" s="180">
        <f>ROUND(AVERAGE(V7:V14),0)</f>
        <v>22152</v>
      </c>
      <c r="W43" s="180"/>
      <c r="X43" s="180">
        <f>ROUND(AVERAGE(X7:X14),0)</f>
        <v>254</v>
      </c>
      <c r="Y43" s="180">
        <f>ROUND(AVERAGE(Y7:Y14),0)</f>
        <v>609</v>
      </c>
      <c r="Z43" s="180">
        <f>ROUND(AVERAGE(Z7:Z14),0)</f>
        <v>7245</v>
      </c>
      <c r="AA43" s="180">
        <f>ROUND(AVERAGE(AA7:AA14),0)</f>
        <v>8108</v>
      </c>
      <c r="AB43" s="180"/>
      <c r="AC43" s="180">
        <f>ROUND(AVERAGE(AC7:AC14),0)</f>
        <v>5921</v>
      </c>
      <c r="AD43" s="180">
        <f>ROUND(AVERAGE(AD7:AD14),0)</f>
        <v>3475</v>
      </c>
      <c r="AE43" s="180">
        <f>ROUND(AVERAGE(AE7:AE14),0)</f>
        <v>9396</v>
      </c>
      <c r="AF43" s="180"/>
      <c r="AG43" s="180">
        <f>ROUND(AVERAGE(AG7:AG14),0)</f>
        <v>39656</v>
      </c>
      <c r="AH43" s="180">
        <f>ROUND(AVERAGE(AH7:AH14),0)</f>
        <v>1863</v>
      </c>
      <c r="AI43" s="180">
        <f>ROUND(AVERAGE(AI7:AI14),0)</f>
        <v>41519</v>
      </c>
      <c r="AJ43" s="209">
        <f>AVERAGE(AJ7:AJ14)</f>
        <v>47.598791757330076</v>
      </c>
      <c r="AK43" s="210"/>
      <c r="AL43" s="210"/>
      <c r="AM43" s="196"/>
      <c r="AN43" s="196"/>
      <c r="AO43" s="196"/>
      <c r="AP43" s="196"/>
      <c r="AQ43" s="196"/>
    </row>
    <row r="44" spans="1:96" x14ac:dyDescent="0.25">
      <c r="A44" s="208" t="s">
        <v>195</v>
      </c>
      <c r="B44" s="211"/>
      <c r="C44" s="180">
        <f>ROUND(AVERAGE(C9:C41),0)</f>
        <v>16330</v>
      </c>
      <c r="D44" s="180" t="e">
        <f>ROUND(AVERAGE(D9:D38),0)</f>
        <v>#DIV/0!</v>
      </c>
      <c r="E44" s="180">
        <f t="shared" ref="E44:P44" si="22">ROUND(AVERAGE(E9:E41),0)</f>
        <v>139</v>
      </c>
      <c r="F44" s="180">
        <f t="shared" si="22"/>
        <v>533</v>
      </c>
      <c r="G44" s="180">
        <f t="shared" si="22"/>
        <v>2092</v>
      </c>
      <c r="H44" s="180">
        <f t="shared" si="22"/>
        <v>2763</v>
      </c>
      <c r="I44" s="180" t="e">
        <f t="shared" si="22"/>
        <v>#DIV/0!</v>
      </c>
      <c r="J44" s="180">
        <f t="shared" si="22"/>
        <v>19094</v>
      </c>
      <c r="K44" s="212">
        <f t="shared" si="22"/>
        <v>15</v>
      </c>
      <c r="L44" s="180">
        <f t="shared" si="22"/>
        <v>0</v>
      </c>
      <c r="M44" s="180">
        <f t="shared" si="22"/>
        <v>0</v>
      </c>
      <c r="N44" s="180">
        <f t="shared" si="22"/>
        <v>1</v>
      </c>
      <c r="O44" s="180" t="e">
        <f t="shared" si="22"/>
        <v>#DIV/0!</v>
      </c>
      <c r="P44" s="180">
        <f t="shared" si="22"/>
        <v>3235</v>
      </c>
      <c r="Q44" s="180"/>
      <c r="R44" s="180">
        <f t="shared" ref="R44:AJ44" si="23">ROUND(AVERAGE(R9:R41),0)</f>
        <v>123</v>
      </c>
      <c r="S44" s="180">
        <f t="shared" si="23"/>
        <v>4090</v>
      </c>
      <c r="T44" s="180">
        <f t="shared" si="23"/>
        <v>4190</v>
      </c>
      <c r="U44" s="180" t="e">
        <f t="shared" si="23"/>
        <v>#DIV/0!</v>
      </c>
      <c r="V44" s="180">
        <f t="shared" si="23"/>
        <v>19566</v>
      </c>
      <c r="W44" s="180" t="e">
        <f t="shared" si="23"/>
        <v>#DIV/0!</v>
      </c>
      <c r="X44" s="180">
        <f t="shared" si="23"/>
        <v>139</v>
      </c>
      <c r="Y44" s="180">
        <f t="shared" si="23"/>
        <v>633</v>
      </c>
      <c r="Z44" s="180">
        <f t="shared" si="23"/>
        <v>6182</v>
      </c>
      <c r="AA44" s="180">
        <f t="shared" si="23"/>
        <v>6954</v>
      </c>
      <c r="AB44" s="180" t="e">
        <f t="shared" si="23"/>
        <v>#DIV/0!</v>
      </c>
      <c r="AC44" s="180">
        <f t="shared" si="23"/>
        <v>2634</v>
      </c>
      <c r="AD44" s="180">
        <f t="shared" si="23"/>
        <v>1337</v>
      </c>
      <c r="AE44" s="180">
        <f t="shared" si="23"/>
        <v>3971</v>
      </c>
      <c r="AF44" s="180" t="e">
        <f t="shared" si="23"/>
        <v>#DIV/0!</v>
      </c>
      <c r="AG44" s="180">
        <f t="shared" si="23"/>
        <v>30490</v>
      </c>
      <c r="AH44" s="180">
        <f t="shared" si="23"/>
        <v>1333</v>
      </c>
      <c r="AI44" s="180">
        <f t="shared" si="23"/>
        <v>31823</v>
      </c>
      <c r="AJ44" s="213">
        <f t="shared" si="23"/>
        <v>38</v>
      </c>
      <c r="AK44" s="180"/>
      <c r="AL44" s="210"/>
      <c r="AM44" s="196"/>
      <c r="AN44" s="196"/>
      <c r="AO44" s="196"/>
      <c r="AP44" s="196"/>
      <c r="AQ44" s="196"/>
      <c r="AR44" s="214">
        <f>AJ32-AJ44</f>
        <v>12.337868553112621</v>
      </c>
    </row>
    <row r="45" spans="1:96" x14ac:dyDescent="0.25">
      <c r="A45" s="208" t="s">
        <v>196</v>
      </c>
      <c r="B45" s="198"/>
      <c r="C45" s="180">
        <f>ROUND(AVERAGE(C15:C41),0)</f>
        <v>15718</v>
      </c>
      <c r="D45" s="180" t="e">
        <f>ROUND(AVERAGE(D15:D38),0)</f>
        <v>#DIV/0!</v>
      </c>
      <c r="E45" s="180">
        <f t="shared" ref="E45:H45" si="24">ROUND(AVERAGE(E15:E41),0)</f>
        <v>139</v>
      </c>
      <c r="F45" s="180">
        <f t="shared" si="24"/>
        <v>558</v>
      </c>
      <c r="G45" s="180">
        <f t="shared" si="24"/>
        <v>2158</v>
      </c>
      <c r="H45" s="180">
        <f t="shared" si="24"/>
        <v>2855</v>
      </c>
      <c r="I45" s="180" t="e">
        <f>ROUND(AVERAGE(I15:I38),0)</f>
        <v>#DIV/0!</v>
      </c>
      <c r="J45" s="180">
        <f t="shared" ref="J45:P45" si="25">ROUND(AVERAGE(J15:J41),0)</f>
        <v>18574</v>
      </c>
      <c r="K45" s="212">
        <f t="shared" si="25"/>
        <v>16</v>
      </c>
      <c r="L45" s="180">
        <f t="shared" si="25"/>
        <v>0</v>
      </c>
      <c r="M45" s="180">
        <f t="shared" si="25"/>
        <v>0</v>
      </c>
      <c r="N45" s="180">
        <f t="shared" si="25"/>
        <v>1</v>
      </c>
      <c r="O45" s="180" t="e">
        <f t="shared" si="25"/>
        <v>#DIV/0!</v>
      </c>
      <c r="P45" s="180">
        <f t="shared" si="25"/>
        <v>3314</v>
      </c>
      <c r="Q45" s="180"/>
      <c r="R45" s="180">
        <f t="shared" ref="R45:AE45" si="26">ROUND(AVERAGE(R15:R41),0)</f>
        <v>123</v>
      </c>
      <c r="S45" s="180">
        <f t="shared" si="26"/>
        <v>3708</v>
      </c>
      <c r="T45" s="180">
        <f t="shared" si="26"/>
        <v>3830</v>
      </c>
      <c r="U45" s="180" t="e">
        <f t="shared" si="26"/>
        <v>#DIV/0!</v>
      </c>
      <c r="V45" s="180">
        <f t="shared" si="26"/>
        <v>19033</v>
      </c>
      <c r="W45" s="180" t="e">
        <f t="shared" si="26"/>
        <v>#DIV/0!</v>
      </c>
      <c r="X45" s="180">
        <f t="shared" si="26"/>
        <v>139</v>
      </c>
      <c r="Y45" s="180">
        <f t="shared" si="26"/>
        <v>681</v>
      </c>
      <c r="Z45" s="180">
        <f t="shared" si="26"/>
        <v>5866</v>
      </c>
      <c r="AA45" s="180">
        <f t="shared" si="26"/>
        <v>6686</v>
      </c>
      <c r="AB45" s="180" t="e">
        <f t="shared" si="26"/>
        <v>#DIV/0!</v>
      </c>
      <c r="AC45" s="180">
        <f t="shared" si="26"/>
        <v>1931</v>
      </c>
      <c r="AD45" s="180">
        <f t="shared" si="26"/>
        <v>875</v>
      </c>
      <c r="AE45" s="180">
        <f t="shared" si="26"/>
        <v>2807</v>
      </c>
      <c r="AF45" s="180"/>
      <c r="AG45" s="180">
        <f>ROUND(AVERAGE(AG15:AG41),0)</f>
        <v>28525</v>
      </c>
      <c r="AH45" s="180">
        <f>ROUND(AVERAGE(AH15:AH41),0)</f>
        <v>1217</v>
      </c>
      <c r="AI45" s="180">
        <f>ROUND(AVERAGE(AI15:AI41),0)</f>
        <v>29742</v>
      </c>
      <c r="AJ45" s="213">
        <f>ROUND(AVERAGE(AJ15:AJ41),0)</f>
        <v>36</v>
      </c>
      <c r="AK45" s="180"/>
      <c r="AL45" s="210"/>
      <c r="AM45" s="196"/>
      <c r="AN45" s="196"/>
      <c r="AO45" s="196"/>
      <c r="AP45" s="196"/>
      <c r="AQ45" s="196"/>
      <c r="AS45" s="215">
        <f>AVERAGE(AS15:AS34)</f>
        <v>0.11622340316926179</v>
      </c>
      <c r="AT45" s="215">
        <f>AVERAGE(AT15:AT34)</f>
        <v>0.728957859155969</v>
      </c>
      <c r="AU45" s="215">
        <f>AVERAGE(AU15:AU34)</f>
        <v>0.22400967048623813</v>
      </c>
      <c r="AV45" s="215">
        <f>AVERAGE(AV15:AV34)</f>
        <v>4.7032470357792872E-2</v>
      </c>
    </row>
    <row r="46" spans="1:96" ht="5.25" customHeight="1" x14ac:dyDescent="0.25">
      <c r="A46" s="216"/>
      <c r="B46" s="211"/>
      <c r="C46" s="180"/>
      <c r="D46" s="198"/>
      <c r="E46" s="180"/>
      <c r="F46" s="180"/>
      <c r="G46" s="180"/>
      <c r="H46" s="180"/>
      <c r="I46" s="198"/>
      <c r="J46" s="180"/>
      <c r="K46" s="198"/>
      <c r="L46" s="198"/>
      <c r="M46" s="198"/>
      <c r="N46" s="198"/>
      <c r="O46" s="198"/>
      <c r="P46" s="180"/>
      <c r="Q46" s="198"/>
      <c r="R46" s="183"/>
      <c r="S46" s="180"/>
      <c r="T46" s="180"/>
      <c r="U46" s="198"/>
      <c r="V46" s="180"/>
      <c r="W46" s="198"/>
      <c r="X46" s="180"/>
      <c r="Y46" s="180"/>
      <c r="Z46" s="180"/>
      <c r="AA46" s="180"/>
      <c r="AB46" s="198"/>
      <c r="AC46" s="180"/>
      <c r="AD46" s="180"/>
      <c r="AE46" s="180"/>
      <c r="AF46" s="198"/>
      <c r="AG46" s="180"/>
      <c r="AH46" s="180"/>
      <c r="AI46" s="180"/>
      <c r="AJ46" s="209"/>
      <c r="AK46" s="210"/>
      <c r="AL46" s="210"/>
      <c r="AM46" s="196"/>
      <c r="AN46" s="196"/>
      <c r="AO46" s="196"/>
      <c r="AP46" s="196"/>
      <c r="AQ46" s="196"/>
    </row>
    <row r="47" spans="1:96" x14ac:dyDescent="0.25">
      <c r="A47" s="217" t="s">
        <v>115</v>
      </c>
      <c r="B47" s="217"/>
      <c r="C47" s="218">
        <f>MIN(C$7:C41)</f>
        <v>5793.8</v>
      </c>
      <c r="D47" s="218"/>
      <c r="E47" s="218">
        <f>MIN(E$7:E41)</f>
        <v>24</v>
      </c>
      <c r="F47" s="218">
        <f>MIN(F$7:F41)</f>
        <v>82</v>
      </c>
      <c r="G47" s="218">
        <f>MIN(G$7:G41)</f>
        <v>1054.2</v>
      </c>
      <c r="H47" s="218">
        <f>MIN(H$7:H41)</f>
        <v>1276.2</v>
      </c>
      <c r="I47" s="218"/>
      <c r="J47" s="218">
        <f>MIN(J$7:J41)</f>
        <v>7070</v>
      </c>
      <c r="K47" s="219">
        <f>MIN(K$7:K41)</f>
        <v>7.8982399053394463</v>
      </c>
      <c r="L47" s="220">
        <f>MIN(L$7:L41)</f>
        <v>4.6970408642555183E-3</v>
      </c>
      <c r="M47" s="220">
        <f>MIN(M$7:M41)</f>
        <v>4.3547530536378123E-2</v>
      </c>
      <c r="N47" s="220">
        <f>MIN(N$7:N41)</f>
        <v>0.40138184311815206</v>
      </c>
      <c r="O47" s="220"/>
      <c r="P47" s="218">
        <f>MIN(P$7:P41)</f>
        <v>891.39661832864556</v>
      </c>
      <c r="Q47" s="218"/>
      <c r="R47" s="221">
        <f>MIN(R$7:R41)</f>
        <v>1</v>
      </c>
      <c r="S47" s="218">
        <f>MIN(S$7:S41)</f>
        <v>1644.3999999999999</v>
      </c>
      <c r="T47" s="218">
        <f>MIN(T$7:T41)</f>
        <v>1659.4835204816184</v>
      </c>
      <c r="U47" s="218"/>
      <c r="V47" s="218">
        <f>MIN(V$7:V41)</f>
        <v>6685.1966183286459</v>
      </c>
      <c r="W47" s="218"/>
      <c r="X47" s="218">
        <f>MIN(X$7:X41)</f>
        <v>24</v>
      </c>
      <c r="Y47" s="218">
        <f>MIN(Y$7:Y41)</f>
        <v>82</v>
      </c>
      <c r="Z47" s="218">
        <f>MIN(Z$7:Z41)</f>
        <v>3232.2</v>
      </c>
      <c r="AA47" s="218">
        <f>MIN(AA$7:AA41)</f>
        <v>3506.5299909277014</v>
      </c>
      <c r="AB47" s="218"/>
      <c r="AC47" s="218">
        <f>MIN(AC$7:AC41)</f>
        <v>21.655999999999999</v>
      </c>
      <c r="AD47" s="218">
        <f>MIN(AD$7:AD41)</f>
        <v>237</v>
      </c>
      <c r="AE47" s="218">
        <f>MIN(AE$7:AE41)</f>
        <v>332.68799999999999</v>
      </c>
      <c r="AF47" s="218"/>
      <c r="AG47" s="218">
        <f>MIN(AG$7:AG41)</f>
        <v>12779.356618328646</v>
      </c>
      <c r="AH47" s="218">
        <f>MIN(AH$7:AH41)</f>
        <v>186</v>
      </c>
      <c r="AI47" s="218">
        <f>MIN(AI$7:AI41)</f>
        <v>13461.356618328646</v>
      </c>
      <c r="AJ47" s="219">
        <f>MIN(AJ$7:AJ41)</f>
        <v>22.447552567883971</v>
      </c>
      <c r="AK47" s="222"/>
      <c r="AL47" s="222"/>
      <c r="AM47" s="223"/>
      <c r="AN47" s="223"/>
      <c r="AO47" s="223"/>
      <c r="AP47" s="223"/>
      <c r="AQ47" s="196"/>
      <c r="AR47" s="215">
        <f>MIN(AR7:AR28)</f>
        <v>0.25883395550786958</v>
      </c>
    </row>
    <row r="48" spans="1:96" x14ac:dyDescent="0.25">
      <c r="A48" s="216" t="s">
        <v>117</v>
      </c>
      <c r="B48" s="216"/>
      <c r="C48" s="180">
        <f>MAX(C$7:C41)</f>
        <v>30740</v>
      </c>
      <c r="D48" s="180"/>
      <c r="E48" s="180">
        <f>MAX(E$7:E41)</f>
        <v>612</v>
      </c>
      <c r="F48" s="180">
        <f>MAX(F$7:F41)</f>
        <v>1339</v>
      </c>
      <c r="G48" s="180">
        <f>MAX(G$7:G41)</f>
        <v>5457</v>
      </c>
      <c r="H48" s="180">
        <f>MAX(H$7:H41)</f>
        <v>6374</v>
      </c>
      <c r="I48" s="180"/>
      <c r="J48" s="180">
        <f>MAX(J$7:J41)</f>
        <v>35715</v>
      </c>
      <c r="K48" s="209">
        <f>MAX(K$7:K41)</f>
        <v>21.926133475453195</v>
      </c>
      <c r="L48" s="196">
        <f>MAX(L$7:L41)</f>
        <v>0.19298074669137172</v>
      </c>
      <c r="M48" s="196">
        <f>MAX(M$7:M41)</f>
        <v>0.4108404469834927</v>
      </c>
      <c r="N48" s="196">
        <f>MAX(N$7:N41)</f>
        <v>0.8849450996816397</v>
      </c>
      <c r="O48" s="196"/>
      <c r="P48" s="180">
        <f>MAX(P$7:P41)</f>
        <v>15029.315747871828</v>
      </c>
      <c r="Q48" s="180"/>
      <c r="R48" s="183">
        <f>MAX(R$7:R41)</f>
        <v>525</v>
      </c>
      <c r="S48" s="180">
        <f>MAX(S$7:S41)</f>
        <v>7470</v>
      </c>
      <c r="T48" s="180">
        <f>MAX(T$7:T41)</f>
        <v>7470</v>
      </c>
      <c r="U48" s="180"/>
      <c r="V48" s="180">
        <f>MAX(V$7:V41)</f>
        <v>34275.837176682857</v>
      </c>
      <c r="W48" s="180"/>
      <c r="X48" s="180">
        <f>MAX(X$7:X41)</f>
        <v>612</v>
      </c>
      <c r="Y48" s="180">
        <f>MAX(Y$7:Y41)</f>
        <v>1490</v>
      </c>
      <c r="Z48" s="180">
        <f>MAX(Z$7:Z41)</f>
        <v>11764</v>
      </c>
      <c r="AA48" s="180">
        <f>MAX(AA$7:AA41)</f>
        <v>13009.008815929265</v>
      </c>
      <c r="AB48" s="180"/>
      <c r="AC48" s="180">
        <f>MAX(AC$7:AC41)</f>
        <v>7809.3391238589656</v>
      </c>
      <c r="AD48" s="180">
        <f>MAX(AD$7:AD41)</f>
        <v>4583.3275428076986</v>
      </c>
      <c r="AE48" s="180">
        <f>MAX(AE$7:AE41)</f>
        <v>12392.666666666664</v>
      </c>
      <c r="AF48" s="180"/>
      <c r="AG48" s="180">
        <f>MAX(AG$7:AG41)</f>
        <v>49917.845992612121</v>
      </c>
      <c r="AH48" s="180">
        <f>MAX(AH$7:AH41)</f>
        <v>2300</v>
      </c>
      <c r="AI48" s="180">
        <f>MAX(AI$7:AI41)</f>
        <v>52217.845992612121</v>
      </c>
      <c r="AJ48" s="209">
        <f>MAX(AJ$7:AJ41)</f>
        <v>56.267764262249919</v>
      </c>
      <c r="AK48" s="210"/>
      <c r="AL48" s="210"/>
      <c r="AM48" s="196"/>
      <c r="AN48" s="196"/>
      <c r="AO48" s="196"/>
      <c r="AP48" s="196"/>
      <c r="AQ48" s="196"/>
      <c r="AR48" s="215">
        <f>MAX(AR7:AR28)</f>
        <v>0.5626776426224992</v>
      </c>
    </row>
    <row r="49" spans="1:48" ht="10.35" hidden="1" customHeight="1" x14ac:dyDescent="0.25">
      <c r="A49" s="224"/>
      <c r="B49" s="224"/>
      <c r="C49" s="224"/>
      <c r="D49" s="224"/>
      <c r="E49" s="224"/>
      <c r="F49" s="224"/>
      <c r="G49" s="224"/>
      <c r="H49" s="224"/>
      <c r="I49" s="224"/>
      <c r="J49" s="224"/>
      <c r="K49" s="224"/>
      <c r="L49" s="224"/>
      <c r="M49" s="224"/>
      <c r="N49" s="224"/>
      <c r="O49" s="224"/>
      <c r="P49" s="224"/>
      <c r="Q49" s="224"/>
      <c r="R49" s="225"/>
      <c r="S49" s="224"/>
      <c r="T49" s="224"/>
      <c r="U49" s="224"/>
      <c r="V49" s="224"/>
      <c r="W49" s="224"/>
      <c r="X49" s="224"/>
      <c r="Y49" s="224"/>
      <c r="Z49" s="224"/>
      <c r="AA49" s="224"/>
      <c r="AB49" s="224"/>
      <c r="AC49" s="224"/>
      <c r="AD49" s="224"/>
      <c r="AE49" s="224"/>
      <c r="AF49" s="224"/>
      <c r="AG49" s="224"/>
      <c r="AH49" s="224"/>
      <c r="AI49" s="224"/>
      <c r="AJ49" s="226"/>
      <c r="AK49" s="157"/>
      <c r="AL49" s="157"/>
      <c r="AM49" s="157"/>
      <c r="AN49" s="157"/>
      <c r="AO49" s="157"/>
      <c r="AP49" s="157"/>
      <c r="AQ49" s="200"/>
    </row>
    <row r="50" spans="1:48" x14ac:dyDescent="0.25">
      <c r="A50" s="227" t="s">
        <v>197</v>
      </c>
      <c r="B50" s="228"/>
      <c r="C50" s="229"/>
      <c r="D50" s="229"/>
      <c r="E50" s="229"/>
      <c r="F50" s="229"/>
      <c r="G50" s="229"/>
      <c r="H50" s="229"/>
      <c r="I50" s="229"/>
      <c r="J50" s="229"/>
      <c r="K50" s="229"/>
      <c r="L50" s="229"/>
      <c r="M50" s="229"/>
      <c r="N50" s="229"/>
      <c r="O50" s="229"/>
      <c r="P50" s="229"/>
      <c r="Q50" s="229"/>
      <c r="R50" s="229"/>
      <c r="S50" s="229"/>
      <c r="T50" s="229"/>
      <c r="U50" s="229"/>
      <c r="V50" s="229"/>
      <c r="W50" s="229"/>
      <c r="X50" s="229"/>
      <c r="Y50" s="229"/>
      <c r="Z50" s="229"/>
      <c r="AA50" s="229"/>
      <c r="AB50" s="229"/>
      <c r="AC50" s="229"/>
      <c r="AD50" s="229"/>
      <c r="AE50" s="229"/>
      <c r="AF50" s="229"/>
      <c r="AG50" s="229"/>
      <c r="AH50" s="229"/>
      <c r="AI50" s="229"/>
      <c r="AJ50" s="230"/>
      <c r="AK50" s="157"/>
      <c r="AL50" s="157"/>
      <c r="AM50" s="157"/>
      <c r="AN50" s="157"/>
      <c r="AO50" s="157"/>
      <c r="AP50" s="157"/>
      <c r="AT50" s="215">
        <v>0.87331838565022424</v>
      </c>
      <c r="AU50" s="215">
        <v>8.9686098654708515E-2</v>
      </c>
      <c r="AV50" s="215">
        <v>3.6995515695067267E-2</v>
      </c>
    </row>
    <row r="51" spans="1:48" x14ac:dyDescent="0.25">
      <c r="A51" s="231"/>
      <c r="B51" s="232"/>
      <c r="C51" s="233"/>
      <c r="D51" s="233"/>
      <c r="E51" s="233"/>
      <c r="F51" s="233"/>
      <c r="G51" s="233"/>
      <c r="H51" s="233"/>
      <c r="I51" s="233"/>
      <c r="J51" s="233"/>
      <c r="K51" s="233"/>
      <c r="L51" s="233"/>
      <c r="M51" s="233"/>
      <c r="N51" s="233"/>
      <c r="O51" s="233"/>
      <c r="P51" s="233"/>
      <c r="Q51" s="233"/>
      <c r="R51" s="233"/>
      <c r="S51" s="233"/>
      <c r="T51" s="233"/>
      <c r="U51" s="233"/>
      <c r="V51" s="233"/>
      <c r="W51" s="233"/>
      <c r="X51" s="233"/>
      <c r="Y51" s="233"/>
      <c r="Z51" s="233"/>
      <c r="AA51" s="233"/>
      <c r="AB51" s="233"/>
      <c r="AC51" s="233"/>
      <c r="AD51" s="233"/>
      <c r="AE51" s="233"/>
      <c r="AF51" s="233"/>
      <c r="AG51" s="233"/>
      <c r="AH51" s="233"/>
      <c r="AI51" s="233"/>
      <c r="AJ51" s="157"/>
      <c r="AK51" s="157"/>
      <c r="AL51" s="157"/>
      <c r="AM51" s="157"/>
      <c r="AN51" s="157"/>
      <c r="AO51" s="157"/>
      <c r="AP51" s="157"/>
      <c r="AT51" s="215"/>
      <c r="AU51" s="215"/>
      <c r="AV51" s="215"/>
    </row>
    <row r="52" spans="1:48" ht="15" customHeight="1" x14ac:dyDescent="0.25">
      <c r="A52" s="231" t="s">
        <v>198</v>
      </c>
      <c r="B52" s="232"/>
      <c r="C52" s="233"/>
      <c r="D52" s="233"/>
      <c r="E52" s="233"/>
      <c r="F52" s="233"/>
      <c r="G52" s="233"/>
      <c r="H52" s="233"/>
      <c r="I52" s="233"/>
      <c r="J52" s="233"/>
      <c r="K52" s="233"/>
      <c r="L52" s="233"/>
      <c r="M52" s="233"/>
      <c r="N52" s="234"/>
      <c r="O52" s="233"/>
      <c r="P52" s="231" t="str">
        <f>$A52</f>
        <v>92-22</v>
      </c>
      <c r="Q52" s="233"/>
      <c r="R52" s="233"/>
      <c r="S52" s="233"/>
      <c r="T52" s="233"/>
      <c r="U52" s="233"/>
      <c r="V52" s="231" t="str">
        <f>$A52</f>
        <v>92-22</v>
      </c>
      <c r="W52" s="233"/>
      <c r="X52" s="233"/>
      <c r="Y52" s="233"/>
      <c r="Z52" s="233"/>
      <c r="AA52" s="233"/>
      <c r="AB52" s="233"/>
      <c r="AC52" s="233"/>
      <c r="AD52" s="233"/>
      <c r="AE52" s="233"/>
      <c r="AF52" s="233"/>
      <c r="AG52" s="231" t="str">
        <f>$A52</f>
        <v>92-22</v>
      </c>
      <c r="AH52" s="231" t="str">
        <f>$A52</f>
        <v>92-22</v>
      </c>
      <c r="AI52" s="231" t="str">
        <f>$A52</f>
        <v>92-22</v>
      </c>
      <c r="AJ52" s="231" t="str">
        <f>$A52</f>
        <v>92-22</v>
      </c>
      <c r="AK52" s="231"/>
      <c r="AL52" s="231"/>
      <c r="AM52" s="231"/>
      <c r="AN52" s="231"/>
      <c r="AO52" s="231"/>
      <c r="AP52" s="231"/>
    </row>
    <row r="53" spans="1:48" ht="15" customHeight="1" x14ac:dyDescent="0.25">
      <c r="A53" s="231" t="s">
        <v>150</v>
      </c>
      <c r="B53" s="232"/>
      <c r="C53" s="235">
        <f>ROUND(AVERAGE(C$7:C$37),-2)</f>
        <v>17100</v>
      </c>
      <c r="D53" s="233"/>
      <c r="E53" s="236"/>
      <c r="F53" s="236"/>
      <c r="G53" s="236"/>
      <c r="H53" s="237"/>
      <c r="I53" s="233"/>
      <c r="J53" s="235">
        <f>ROUND(AVERAGE(J$7:J$37),-2)</f>
        <v>20000</v>
      </c>
      <c r="K53" s="233"/>
      <c r="L53" s="233"/>
      <c r="M53" s="233"/>
      <c r="N53" s="233"/>
      <c r="O53" s="233"/>
      <c r="P53" s="235">
        <f>ROUND(AVERAGE(P$7:P$37),-2)</f>
        <v>2700</v>
      </c>
      <c r="Q53" s="994">
        <f>P53/V53</f>
        <v>0.135678391959799</v>
      </c>
      <c r="R53" s="994"/>
      <c r="S53" s="233"/>
      <c r="T53" s="233"/>
      <c r="U53" s="233"/>
      <c r="V53" s="235">
        <f>ROUND(AVERAGE(V$7:V$37),-2)</f>
        <v>19900</v>
      </c>
      <c r="W53" s="233"/>
      <c r="X53" s="233"/>
      <c r="Y53" s="233"/>
      <c r="Z53" s="233"/>
      <c r="AA53" s="233"/>
      <c r="AB53" s="233"/>
      <c r="AC53" s="233"/>
      <c r="AD53" s="233"/>
      <c r="AE53" s="233"/>
      <c r="AF53" s="233"/>
      <c r="AG53" s="235">
        <f>ROUND(AVERAGE(AG$7:AG$37),-2)</f>
        <v>31800</v>
      </c>
      <c r="AH53" s="235">
        <f>ROUND(AVERAGE(AH$7:AH$37),-2)</f>
        <v>1400</v>
      </c>
      <c r="AI53" s="235">
        <f>ROUND(AVERAGE(AI$7:AI$37),-2)</f>
        <v>33200</v>
      </c>
      <c r="AJ53" s="238">
        <f>AVERAGE(AJ$7:AJ$37)</f>
        <v>40.193094305151121</v>
      </c>
      <c r="AK53" s="239"/>
      <c r="AL53" s="239"/>
      <c r="AM53" s="239"/>
      <c r="AN53" s="239"/>
      <c r="AO53" s="239"/>
      <c r="AP53" s="239"/>
      <c r="AT53" s="215">
        <f>AT50-AT45</f>
        <v>0.14436052649425524</v>
      </c>
      <c r="AU53" s="215">
        <f>AU50-AU45</f>
        <v>-0.1343235718315296</v>
      </c>
      <c r="AV53" s="215">
        <f>AV50-AV45</f>
        <v>-1.0036954662725604E-2</v>
      </c>
    </row>
    <row r="54" spans="1:48" ht="12.75" customHeight="1" x14ac:dyDescent="0.25">
      <c r="A54" s="240" t="s">
        <v>115</v>
      </c>
      <c r="B54" s="232"/>
      <c r="C54" s="235">
        <f>ROUND(MIN(C$7:C$37),-2)</f>
        <v>5800</v>
      </c>
      <c r="D54" s="233"/>
      <c r="E54" s="236"/>
      <c r="F54" s="236"/>
      <c r="G54" s="236"/>
      <c r="H54" s="237"/>
      <c r="I54" s="233"/>
      <c r="J54" s="235">
        <f>ROUND(MIN(J$7:J$37),-2)</f>
        <v>7100</v>
      </c>
      <c r="K54" s="233"/>
      <c r="L54" s="233"/>
      <c r="M54" s="233"/>
      <c r="N54" s="233"/>
      <c r="O54" s="233"/>
      <c r="P54" s="235">
        <f>ROUND(MIN(P$7:P$37),-2)</f>
        <v>900</v>
      </c>
      <c r="Q54" s="994">
        <f>P54/V54</f>
        <v>0.13432835820895522</v>
      </c>
      <c r="R54" s="994"/>
      <c r="S54" s="233"/>
      <c r="T54" s="233"/>
      <c r="U54" s="233"/>
      <c r="V54" s="235">
        <f>ROUND(MIN(V$7:V$37),-2)</f>
        <v>6700</v>
      </c>
      <c r="W54" s="233"/>
      <c r="X54" s="233"/>
      <c r="Y54" s="233"/>
      <c r="Z54" s="233"/>
      <c r="AA54" s="233"/>
      <c r="AB54" s="233"/>
      <c r="AC54" s="233"/>
      <c r="AD54" s="233"/>
      <c r="AE54" s="233"/>
      <c r="AF54" s="233"/>
      <c r="AG54" s="235">
        <f>ROUND(MIN(AG$7:AG$37),-2)</f>
        <v>12800</v>
      </c>
      <c r="AH54" s="235">
        <f>ROUND(MIN(AH$7:AH$37),-2)</f>
        <v>200</v>
      </c>
      <c r="AI54" s="235">
        <f>ROUND(MIN(AI$7:AI$37),-2)</f>
        <v>13500</v>
      </c>
      <c r="AJ54" s="238">
        <f>MIN(AJ$7:AJ$37)</f>
        <v>22.447552567883971</v>
      </c>
      <c r="AK54" s="239"/>
      <c r="AL54" s="239"/>
      <c r="AM54" s="239"/>
      <c r="AN54" s="239"/>
      <c r="AO54" s="239"/>
      <c r="AP54" s="239"/>
    </row>
    <row r="55" spans="1:48" ht="12.75" customHeight="1" x14ac:dyDescent="0.25">
      <c r="A55" s="240" t="s">
        <v>117</v>
      </c>
      <c r="B55" s="232"/>
      <c r="C55" s="235">
        <f>ROUND(MAX(C$7:C$37),-2)</f>
        <v>30700</v>
      </c>
      <c r="D55" s="233"/>
      <c r="E55" s="233"/>
      <c r="F55" s="233"/>
      <c r="G55" s="233"/>
      <c r="H55" s="233"/>
      <c r="I55" s="233"/>
      <c r="J55" s="235">
        <f>ROUND(MAX(J$7:J$37),-2)</f>
        <v>35700</v>
      </c>
      <c r="K55" s="233"/>
      <c r="L55" s="233"/>
      <c r="M55" s="233"/>
      <c r="N55" s="233"/>
      <c r="O55" s="233"/>
      <c r="P55" s="235">
        <f>ROUND(MAX(P$7:P$37),-2)</f>
        <v>5800</v>
      </c>
      <c r="Q55" s="994">
        <f>P55/V55</f>
        <v>0.16909620991253643</v>
      </c>
      <c r="R55" s="994"/>
      <c r="S55" s="233"/>
      <c r="T55" s="233"/>
      <c r="U55" s="233"/>
      <c r="V55" s="235">
        <f>ROUND(MAX(V$7:V$37),-2)</f>
        <v>34300</v>
      </c>
      <c r="W55" s="233"/>
      <c r="X55" s="233"/>
      <c r="Y55" s="233"/>
      <c r="Z55" s="233"/>
      <c r="AA55" s="233"/>
      <c r="AB55" s="233"/>
      <c r="AC55" s="233"/>
      <c r="AD55" s="233"/>
      <c r="AE55" s="233"/>
      <c r="AF55" s="233"/>
      <c r="AG55" s="235">
        <f>ROUND(MAX(AG$7:AG$37),-2)</f>
        <v>49900</v>
      </c>
      <c r="AH55" s="235">
        <f>ROUND(MAX(AH$7:AH$37),-2)</f>
        <v>2300</v>
      </c>
      <c r="AI55" s="235">
        <f>ROUND(MAX(AI$7:AI$37),-2)</f>
        <v>52200</v>
      </c>
      <c r="AJ55" s="238">
        <f>MAX(AJ$7:AJ$37)</f>
        <v>56.267764262249919</v>
      </c>
      <c r="AK55" s="239"/>
      <c r="AL55" s="239"/>
      <c r="AM55" s="239"/>
      <c r="AN55" s="239"/>
      <c r="AO55" s="239"/>
      <c r="AP55" s="239"/>
    </row>
    <row r="56" spans="1:48" ht="12.75" customHeight="1" x14ac:dyDescent="0.25">
      <c r="A56" s="240"/>
      <c r="B56" s="241"/>
      <c r="C56" s="233"/>
      <c r="D56" s="233"/>
      <c r="E56" s="233"/>
      <c r="F56" s="233"/>
      <c r="G56" s="233"/>
      <c r="H56" s="233"/>
      <c r="I56" s="233"/>
      <c r="J56" s="233"/>
      <c r="K56" s="233"/>
      <c r="L56" s="233"/>
      <c r="M56" s="233"/>
      <c r="N56" s="233"/>
      <c r="O56" s="233"/>
      <c r="P56" s="233"/>
      <c r="Q56" s="233"/>
      <c r="R56" s="233"/>
      <c r="S56" s="233"/>
      <c r="T56" s="233"/>
      <c r="U56" s="233"/>
      <c r="V56" s="233"/>
      <c r="W56" s="233"/>
      <c r="X56" s="233"/>
      <c r="Y56" s="233"/>
      <c r="Z56" s="233"/>
      <c r="AA56" s="233"/>
      <c r="AB56" s="233"/>
      <c r="AC56" s="233"/>
      <c r="AD56" s="233"/>
      <c r="AE56" s="233"/>
      <c r="AF56" s="233"/>
      <c r="AG56" s="233"/>
      <c r="AH56" s="233"/>
      <c r="AI56" s="233"/>
      <c r="AJ56" s="157"/>
      <c r="AK56" s="157"/>
      <c r="AL56" s="157"/>
      <c r="AM56" s="157"/>
      <c r="AN56" s="157"/>
      <c r="AO56" s="157"/>
      <c r="AP56" s="157"/>
    </row>
    <row r="57" spans="1:48" ht="12.75" customHeight="1" x14ac:dyDescent="0.25">
      <c r="A57" s="242"/>
      <c r="B57" s="241"/>
      <c r="C57" s="235">
        <f>C44-C38</f>
        <v>6571.0464704460828</v>
      </c>
      <c r="D57" s="233"/>
      <c r="E57" s="233"/>
      <c r="F57" s="233"/>
      <c r="G57" s="233"/>
      <c r="H57" s="233"/>
      <c r="I57" s="233"/>
      <c r="J57" s="233"/>
      <c r="K57" s="233"/>
      <c r="L57" s="233"/>
      <c r="M57" s="233"/>
      <c r="N57" s="233"/>
      <c r="O57" s="233"/>
      <c r="P57" s="233"/>
      <c r="Q57" s="233"/>
      <c r="R57" s="233"/>
      <c r="S57" s="233"/>
      <c r="T57" s="233"/>
      <c r="U57" s="233"/>
      <c r="V57" s="233"/>
      <c r="W57" s="233"/>
      <c r="X57" s="233"/>
      <c r="Y57" s="233"/>
      <c r="Z57" s="233"/>
      <c r="AA57" s="233"/>
      <c r="AB57" s="233"/>
      <c r="AC57" s="233"/>
      <c r="AD57" s="233"/>
      <c r="AE57" s="233"/>
      <c r="AF57" s="233"/>
      <c r="AG57" s="243">
        <v>2024</v>
      </c>
      <c r="AH57" s="233"/>
      <c r="AI57" s="233"/>
      <c r="AJ57" s="157"/>
      <c r="AK57" s="157"/>
      <c r="AL57" s="157"/>
      <c r="AM57" s="157"/>
      <c r="AN57" s="157"/>
      <c r="AO57" s="157"/>
      <c r="AP57" s="157"/>
    </row>
    <row r="58" spans="1:48" ht="12.75" customHeight="1" x14ac:dyDescent="0.25">
      <c r="A58" s="242"/>
      <c r="B58" s="241"/>
      <c r="C58" s="233">
        <f>C57/C44</f>
        <v>0.40239108820857827</v>
      </c>
      <c r="D58" s="233"/>
      <c r="E58" s="233"/>
      <c r="F58" s="233"/>
      <c r="G58" s="233"/>
      <c r="H58" s="233"/>
      <c r="I58" s="233"/>
      <c r="J58" s="233"/>
      <c r="K58" s="233"/>
      <c r="L58" s="233"/>
      <c r="M58" s="233"/>
      <c r="N58" s="233"/>
      <c r="O58" s="233"/>
      <c r="P58" s="233"/>
      <c r="Q58" s="233"/>
      <c r="R58" s="233"/>
      <c r="S58" s="233"/>
      <c r="T58" s="233"/>
      <c r="U58" s="233"/>
      <c r="V58" s="233"/>
      <c r="W58" s="233"/>
      <c r="X58" s="233"/>
      <c r="Y58" s="233"/>
      <c r="Z58" s="233"/>
      <c r="AA58" s="233"/>
      <c r="AB58" s="233"/>
      <c r="AC58" s="233"/>
      <c r="AD58" s="233"/>
      <c r="AE58" s="233"/>
      <c r="AF58" s="233"/>
      <c r="AG58" s="244">
        <f>AG39/AG44</f>
        <v>0.81055315137673534</v>
      </c>
      <c r="AH58" s="233"/>
      <c r="AI58" s="233"/>
      <c r="AJ58" s="239">
        <f>AJ33-AJ44</f>
        <v>-10.658212586876942</v>
      </c>
      <c r="AK58" s="239"/>
      <c r="AL58" s="239"/>
      <c r="AM58" s="239"/>
      <c r="AN58" s="239"/>
      <c r="AO58" s="239"/>
      <c r="AP58" s="239"/>
    </row>
    <row r="59" spans="1:48" ht="12.75" customHeight="1" x14ac:dyDescent="0.25">
      <c r="A59" s="245"/>
      <c r="B59" s="241"/>
      <c r="C59" s="233"/>
      <c r="D59" s="233"/>
      <c r="E59" s="233"/>
      <c r="F59" s="233"/>
      <c r="G59" s="233"/>
      <c r="H59" s="233"/>
      <c r="I59" s="233"/>
      <c r="J59" s="243">
        <v>2024</v>
      </c>
      <c r="K59" s="233"/>
      <c r="L59" s="233"/>
      <c r="M59" s="233"/>
      <c r="N59" s="233"/>
      <c r="O59" s="233"/>
      <c r="P59" s="233"/>
      <c r="Q59" s="233"/>
      <c r="R59" s="233"/>
      <c r="S59" s="233"/>
      <c r="T59" s="233"/>
      <c r="U59" s="233"/>
      <c r="V59" s="233"/>
      <c r="W59" s="233"/>
      <c r="X59" s="233"/>
      <c r="Y59" s="233"/>
      <c r="Z59" s="233"/>
      <c r="AA59" s="233"/>
      <c r="AB59" s="233"/>
      <c r="AC59" s="233"/>
      <c r="AD59" s="233"/>
      <c r="AE59" s="233"/>
      <c r="AF59" s="233"/>
      <c r="AG59" s="246">
        <f>1-AG58</f>
        <v>0.18944684862326466</v>
      </c>
      <c r="AH59" s="233"/>
      <c r="AI59" s="233"/>
      <c r="AJ59" s="157"/>
      <c r="AK59" s="157"/>
      <c r="AL59" s="157"/>
      <c r="AM59" s="157"/>
      <c r="AN59" s="157"/>
      <c r="AO59" s="157"/>
      <c r="AP59" s="157"/>
    </row>
    <row r="60" spans="1:48" ht="12.75" customHeight="1" x14ac:dyDescent="0.25">
      <c r="A60" s="240"/>
      <c r="B60" s="232"/>
      <c r="C60" s="233"/>
      <c r="D60" s="233"/>
      <c r="E60" s="233"/>
      <c r="F60" s="233"/>
      <c r="G60" s="233"/>
      <c r="H60" s="233"/>
      <c r="I60" s="233"/>
      <c r="J60" s="244">
        <f>J39/J44</f>
        <v>0.796009217555253</v>
      </c>
      <c r="K60" s="233"/>
      <c r="L60" s="233"/>
      <c r="M60" s="233"/>
      <c r="N60" s="233"/>
      <c r="O60" s="233"/>
      <c r="P60" s="233"/>
      <c r="Q60" s="233"/>
      <c r="R60" s="233"/>
      <c r="S60" s="233"/>
      <c r="T60" s="233"/>
      <c r="U60" s="233"/>
      <c r="V60" s="233"/>
      <c r="W60" s="233"/>
      <c r="X60" s="233"/>
      <c r="Y60" s="233"/>
      <c r="Z60" s="233"/>
      <c r="AA60" s="233"/>
      <c r="AB60" s="233"/>
      <c r="AC60" s="233"/>
      <c r="AD60" s="233"/>
      <c r="AE60" s="233"/>
      <c r="AF60" s="233"/>
      <c r="AG60" s="235">
        <f>AG44-AG39</f>
        <v>5776.2344145233401</v>
      </c>
      <c r="AH60" s="233"/>
      <c r="AI60" s="233"/>
      <c r="AJ60" s="157"/>
      <c r="AK60" s="157"/>
      <c r="AL60" s="157"/>
      <c r="AM60" s="157"/>
      <c r="AN60" s="157"/>
      <c r="AO60" s="157"/>
      <c r="AP60" s="157"/>
    </row>
    <row r="61" spans="1:48" ht="12.75" customHeight="1" x14ac:dyDescent="0.25">
      <c r="A61" s="240"/>
      <c r="B61" s="232"/>
      <c r="C61" s="235">
        <f>C44-C38</f>
        <v>6571.0464704460828</v>
      </c>
      <c r="D61" s="233"/>
      <c r="E61" s="233"/>
      <c r="F61" s="233"/>
      <c r="G61" s="233"/>
      <c r="H61" s="233"/>
      <c r="I61" s="233"/>
      <c r="J61" s="246">
        <f>1-J60</f>
        <v>0.203990782444747</v>
      </c>
      <c r="K61" s="233"/>
      <c r="L61" s="233"/>
      <c r="M61" s="233"/>
      <c r="N61" s="233"/>
      <c r="O61" s="233"/>
      <c r="P61" s="233"/>
      <c r="Q61" s="233"/>
      <c r="R61" s="233"/>
      <c r="S61" s="233"/>
      <c r="T61" s="233"/>
      <c r="U61" s="233"/>
      <c r="V61" s="233"/>
      <c r="W61" s="233"/>
      <c r="X61" s="233"/>
      <c r="Y61" s="233"/>
      <c r="Z61" s="233"/>
      <c r="AA61" s="233"/>
      <c r="AB61" s="233"/>
      <c r="AC61" s="233"/>
      <c r="AD61" s="233"/>
      <c r="AE61" s="233"/>
      <c r="AF61" s="233"/>
      <c r="AG61" s="233"/>
      <c r="AH61" s="233"/>
      <c r="AI61" s="233"/>
      <c r="AJ61" s="157"/>
      <c r="AK61" s="157"/>
      <c r="AL61" s="157"/>
      <c r="AM61" s="157"/>
      <c r="AN61" s="157"/>
      <c r="AO61" s="157"/>
      <c r="AP61" s="157"/>
    </row>
    <row r="62" spans="1:48" ht="12.75" customHeight="1" x14ac:dyDescent="0.25">
      <c r="A62" s="240"/>
      <c r="B62" s="232"/>
      <c r="C62" s="233">
        <f>C38/C44</f>
        <v>0.59760891179142173</v>
      </c>
      <c r="D62" s="233"/>
      <c r="E62" s="233"/>
      <c r="F62" s="233"/>
      <c r="G62" s="233"/>
      <c r="H62" s="233"/>
      <c r="I62" s="233"/>
      <c r="J62" s="235">
        <f>J44-J39</f>
        <v>3895</v>
      </c>
      <c r="K62" s="233"/>
      <c r="L62" s="233"/>
      <c r="M62" s="233"/>
      <c r="N62" s="233"/>
      <c r="O62" s="233"/>
      <c r="P62" s="233"/>
      <c r="Q62" s="233"/>
      <c r="R62" s="233"/>
      <c r="S62" s="233"/>
      <c r="T62" s="233"/>
      <c r="U62" s="233"/>
      <c r="V62" s="233"/>
      <c r="W62" s="233"/>
      <c r="X62" s="233"/>
      <c r="Y62" s="233"/>
      <c r="Z62" s="233"/>
      <c r="AA62" s="233"/>
      <c r="AB62" s="233"/>
      <c r="AC62" s="233"/>
      <c r="AD62" s="233"/>
      <c r="AE62" s="233"/>
      <c r="AF62" s="233"/>
      <c r="AG62" s="233"/>
      <c r="AH62" s="233"/>
      <c r="AI62" s="233"/>
      <c r="AJ62" s="157"/>
      <c r="AK62" s="157"/>
      <c r="AL62" s="157"/>
      <c r="AM62" s="157"/>
      <c r="AN62" s="157"/>
      <c r="AO62" s="157"/>
      <c r="AP62" s="157"/>
    </row>
    <row r="63" spans="1:48" ht="12.75" customHeight="1" x14ac:dyDescent="0.25">
      <c r="A63" s="240"/>
      <c r="B63" s="247"/>
      <c r="C63" s="233">
        <f>1-C62</f>
        <v>0.40239108820857827</v>
      </c>
      <c r="D63" s="233"/>
      <c r="E63" s="233"/>
      <c r="F63" s="233"/>
      <c r="G63" s="233"/>
      <c r="H63" s="233"/>
      <c r="I63" s="233"/>
      <c r="J63" s="233"/>
      <c r="K63" s="233"/>
      <c r="L63" s="233"/>
      <c r="M63" s="233"/>
      <c r="N63" s="233"/>
      <c r="O63" s="233"/>
      <c r="P63" s="233"/>
      <c r="Q63" s="233"/>
      <c r="R63" s="233"/>
      <c r="S63" s="233"/>
      <c r="T63" s="233"/>
      <c r="U63" s="233"/>
      <c r="V63" s="233"/>
      <c r="W63" s="233"/>
      <c r="X63" s="233"/>
      <c r="Y63" s="233"/>
      <c r="Z63" s="233"/>
      <c r="AA63" s="233"/>
      <c r="AB63" s="233"/>
      <c r="AC63" s="233"/>
      <c r="AD63" s="233"/>
      <c r="AE63" s="233"/>
      <c r="AF63" s="233"/>
      <c r="AG63" s="233"/>
      <c r="AH63" s="233"/>
      <c r="AI63" s="233"/>
      <c r="AJ63" s="157"/>
      <c r="AK63" s="157"/>
      <c r="AL63" s="157"/>
      <c r="AM63" s="157"/>
      <c r="AN63" s="157"/>
      <c r="AO63" s="157"/>
      <c r="AP63" s="157"/>
    </row>
    <row r="64" spans="1:48" ht="12.75" customHeight="1" x14ac:dyDescent="0.25">
      <c r="A64" s="245"/>
      <c r="B64" s="232"/>
      <c r="C64" s="157"/>
      <c r="D64" s="157"/>
      <c r="E64" s="157"/>
      <c r="F64" s="157"/>
      <c r="G64" s="157"/>
      <c r="H64" s="157"/>
      <c r="I64" s="157"/>
      <c r="J64" s="157"/>
      <c r="K64" s="157"/>
      <c r="L64" s="157"/>
      <c r="M64" s="157"/>
      <c r="N64" s="157"/>
      <c r="O64" s="157"/>
      <c r="P64" s="157"/>
      <c r="Q64" s="157"/>
      <c r="R64" s="157"/>
      <c r="S64" s="157"/>
      <c r="T64" s="157"/>
      <c r="U64" s="157"/>
      <c r="V64" s="157"/>
      <c r="W64" s="157"/>
      <c r="X64" s="157"/>
      <c r="Y64" s="157"/>
      <c r="Z64" s="157"/>
      <c r="AA64" s="157"/>
      <c r="AB64" s="157"/>
      <c r="AC64" s="157"/>
      <c r="AD64" s="157"/>
      <c r="AE64" s="157"/>
      <c r="AF64" s="157"/>
      <c r="AG64" s="157"/>
      <c r="AH64" s="157"/>
      <c r="AI64" s="157"/>
      <c r="AJ64" s="157"/>
      <c r="AK64" s="157"/>
      <c r="AL64" s="157"/>
      <c r="AM64" s="157"/>
      <c r="AN64" s="157"/>
      <c r="AO64" s="157"/>
      <c r="AP64" s="157"/>
    </row>
    <row r="65" spans="1:42" ht="12.75" customHeight="1" x14ac:dyDescent="0.25">
      <c r="A65" s="240"/>
      <c r="B65" s="232"/>
      <c r="C65" s="157"/>
      <c r="D65" s="157"/>
      <c r="E65" s="157"/>
      <c r="F65" s="157"/>
      <c r="G65" s="157"/>
      <c r="H65" s="157"/>
      <c r="I65" s="157"/>
      <c r="J65" s="157"/>
      <c r="K65" s="157"/>
      <c r="L65" s="157"/>
      <c r="M65" s="157"/>
      <c r="N65" s="157"/>
      <c r="O65" s="157"/>
      <c r="P65" s="157"/>
      <c r="Q65" s="157"/>
      <c r="R65" s="157"/>
      <c r="S65" s="157"/>
      <c r="T65" s="157"/>
      <c r="U65" s="157"/>
      <c r="V65" s="157"/>
      <c r="W65" s="157"/>
      <c r="X65" s="157"/>
      <c r="Y65" s="157"/>
      <c r="Z65" s="157"/>
      <c r="AA65" s="157"/>
      <c r="AB65" s="157"/>
      <c r="AC65" s="157"/>
      <c r="AD65" s="157"/>
      <c r="AE65" s="157"/>
      <c r="AF65" s="157"/>
      <c r="AG65" s="157"/>
      <c r="AH65" s="157"/>
      <c r="AI65" s="157"/>
      <c r="AJ65" s="157"/>
      <c r="AK65" s="157"/>
      <c r="AL65" s="157"/>
      <c r="AM65" s="157"/>
      <c r="AN65" s="157"/>
      <c r="AO65" s="157"/>
      <c r="AP65" s="157"/>
    </row>
  </sheetData>
  <mergeCells count="52">
    <mergeCell ref="AI4:AI6"/>
    <mergeCell ref="AJ4:AJ6"/>
    <mergeCell ref="C5:C6"/>
    <mergeCell ref="E5:H5"/>
    <mergeCell ref="J5:J6"/>
    <mergeCell ref="K5:K6"/>
    <mergeCell ref="A7:B7"/>
    <mergeCell ref="C4:K4"/>
    <mergeCell ref="P4:T4"/>
    <mergeCell ref="V4:AE4"/>
    <mergeCell ref="AH4:AH6"/>
    <mergeCell ref="R5:T5"/>
    <mergeCell ref="V5:V6"/>
    <mergeCell ref="X5:AA5"/>
    <mergeCell ref="AC5:AE5"/>
    <mergeCell ref="AG5:AG6"/>
    <mergeCell ref="A19:B19"/>
    <mergeCell ref="A8:B8"/>
    <mergeCell ref="A9:B9"/>
    <mergeCell ref="A10:B10"/>
    <mergeCell ref="A11:B11"/>
    <mergeCell ref="A12:B12"/>
    <mergeCell ref="A13:B13"/>
    <mergeCell ref="A14:B14"/>
    <mergeCell ref="A15:B15"/>
    <mergeCell ref="A16:B16"/>
    <mergeCell ref="A17:B17"/>
    <mergeCell ref="A18:B18"/>
    <mergeCell ref="A31:B31"/>
    <mergeCell ref="A20:B20"/>
    <mergeCell ref="A21:B21"/>
    <mergeCell ref="A22:B22"/>
    <mergeCell ref="A23:B23"/>
    <mergeCell ref="A24:B24"/>
    <mergeCell ref="A25:B25"/>
    <mergeCell ref="A26:B26"/>
    <mergeCell ref="A27:B27"/>
    <mergeCell ref="A28:B28"/>
    <mergeCell ref="A29:B29"/>
    <mergeCell ref="A30:B30"/>
    <mergeCell ref="Q55:R55"/>
    <mergeCell ref="A32:B32"/>
    <mergeCell ref="A33:B33"/>
    <mergeCell ref="A34:B34"/>
    <mergeCell ref="A35:B35"/>
    <mergeCell ref="A36:B36"/>
    <mergeCell ref="A37:B37"/>
    <mergeCell ref="A38:B38"/>
    <mergeCell ref="A39:B39"/>
    <mergeCell ref="A40:B40"/>
    <mergeCell ref="Q53:R53"/>
    <mergeCell ref="Q54:R54"/>
  </mergeCells>
  <pageMargins left="0.7" right="0.7" top="0.75" bottom="0.75" header="0.3" footer="0.3"/>
  <pageSetup orientation="portrait" r:id="rId1"/>
  <headerFooter>
    <oddHeader>&amp;R&amp;"Calibri"&amp;12&amp;K000000 Unclassified - Non-Classifié&amp;1#_x000D_</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394AE-67E9-4D0F-9831-D50E9C32526F}">
  <sheetPr>
    <tabColor rgb="FFFFFF00"/>
  </sheetPr>
  <dimension ref="A1:AI41"/>
  <sheetViews>
    <sheetView zoomScale="110" zoomScaleNormal="110" workbookViewId="0">
      <pane xSplit="2" ySplit="7" topLeftCell="C8" activePane="bottomRight" state="frozen"/>
      <selection activeCell="C49" sqref="C49:E49"/>
      <selection pane="topRight" activeCell="C49" sqref="C49:E49"/>
      <selection pane="bottomLeft" activeCell="C49" sqref="C49:E49"/>
      <selection pane="bottomRight" activeCell="E10" sqref="E10"/>
    </sheetView>
  </sheetViews>
  <sheetFormatPr defaultColWidth="9.140625" defaultRowHeight="15" x14ac:dyDescent="0.25"/>
  <cols>
    <col min="1" max="1" width="17.85546875" style="148" bestFit="1" customWidth="1"/>
    <col min="2" max="2" width="9.140625" style="163"/>
    <col min="3" max="3" width="13.85546875" style="148" bestFit="1" customWidth="1"/>
    <col min="4" max="4" width="12.85546875" style="148" customWidth="1"/>
    <col min="5" max="5" width="9.140625" style="163"/>
    <col min="6" max="6" width="8.28515625" style="163" customWidth="1"/>
    <col min="7" max="7" width="1.7109375" style="163" customWidth="1"/>
    <col min="8" max="8" width="9.140625" style="163"/>
    <col min="9" max="9" width="7.42578125" style="163" customWidth="1"/>
    <col min="10" max="10" width="1.7109375" style="148" customWidth="1"/>
    <col min="11" max="11" width="9.140625" style="163"/>
    <col min="12" max="12" width="7.140625" style="163" customWidth="1"/>
    <col min="13" max="13" width="4.140625" style="148" customWidth="1"/>
    <col min="14" max="14" width="17.85546875" style="163" customWidth="1"/>
    <col min="15" max="15" width="10.85546875" style="248" bestFit="1" customWidth="1"/>
    <col min="16" max="16" width="5.28515625" style="148" customWidth="1"/>
    <col min="17" max="17" width="13.7109375" style="163" customWidth="1"/>
    <col min="18" max="18" width="11.85546875" style="163" customWidth="1"/>
    <col min="19" max="19" width="8.5703125" style="248" customWidth="1"/>
    <col min="20" max="20" width="4.85546875" style="148" customWidth="1"/>
    <col min="21" max="21" width="9.5703125" style="163" customWidth="1"/>
    <col min="22" max="22" width="7.140625" style="163" customWidth="1"/>
    <col min="23" max="23" width="4.7109375" style="163" bestFit="1" customWidth="1"/>
    <col min="24" max="24" width="4.42578125" style="163" bestFit="1" customWidth="1"/>
    <col min="25" max="26" width="9.140625" style="163"/>
    <col min="27" max="27" width="11.28515625" style="163" customWidth="1"/>
    <col min="28" max="28" width="2.140625" style="148" customWidth="1"/>
    <col min="29" max="29" width="8.85546875" style="148" customWidth="1"/>
    <col min="30" max="30" width="8.5703125" style="248" customWidth="1"/>
    <col min="31" max="16384" width="9.140625" style="148"/>
  </cols>
  <sheetData>
    <row r="1" spans="1:35" ht="15.75" thickBot="1" x14ac:dyDescent="0.3">
      <c r="A1" s="151" t="s">
        <v>199</v>
      </c>
    </row>
    <row r="2" spans="1:35" ht="15.75" thickBot="1" x14ac:dyDescent="0.3">
      <c r="E2" s="1006" t="s">
        <v>200</v>
      </c>
      <c r="F2" s="1007"/>
      <c r="G2" s="1007"/>
      <c r="H2" s="1007"/>
      <c r="I2" s="1007"/>
      <c r="J2" s="1007"/>
      <c r="K2" s="1007"/>
      <c r="L2" s="1008"/>
      <c r="N2" s="163" t="s">
        <v>201</v>
      </c>
      <c r="Q2" s="163" t="s">
        <v>105</v>
      </c>
      <c r="R2" s="163" t="s">
        <v>124</v>
      </c>
      <c r="V2" s="1009" t="s">
        <v>202</v>
      </c>
      <c r="W2" s="1010"/>
      <c r="X2" s="1010"/>
      <c r="Y2" s="1010"/>
      <c r="Z2" s="1010"/>
      <c r="AA2" s="1011"/>
    </row>
    <row r="3" spans="1:35" hidden="1" x14ac:dyDescent="0.25">
      <c r="A3" s="151" t="s">
        <v>203</v>
      </c>
    </row>
    <row r="4" spans="1:35" hidden="1" x14ac:dyDescent="0.25">
      <c r="A4" s="249" t="s">
        <v>204</v>
      </c>
    </row>
    <row r="5" spans="1:35" hidden="1" x14ac:dyDescent="0.25"/>
    <row r="6" spans="1:35" ht="30" x14ac:dyDescent="0.25">
      <c r="B6" s="152" t="s">
        <v>36</v>
      </c>
      <c r="C6" s="151" t="s">
        <v>205</v>
      </c>
      <c r="D6" s="250" t="s">
        <v>206</v>
      </c>
      <c r="E6" s="1012" t="s">
        <v>207</v>
      </c>
      <c r="F6" s="1012"/>
      <c r="G6" s="152"/>
      <c r="H6" s="1012" t="s">
        <v>208</v>
      </c>
      <c r="I6" s="1012"/>
      <c r="K6" s="1013" t="s">
        <v>209</v>
      </c>
      <c r="L6" s="1013"/>
      <c r="N6" s="253" t="s">
        <v>210</v>
      </c>
      <c r="O6" s="254" t="s">
        <v>211</v>
      </c>
      <c r="Q6" s="253" t="s">
        <v>212</v>
      </c>
      <c r="R6" s="253" t="s">
        <v>213</v>
      </c>
      <c r="S6" s="254" t="s">
        <v>214</v>
      </c>
      <c r="U6" s="255" t="s">
        <v>36</v>
      </c>
      <c r="V6" s="256" t="s">
        <v>177</v>
      </c>
      <c r="W6" s="256" t="s">
        <v>215</v>
      </c>
      <c r="X6" s="256" t="s">
        <v>216</v>
      </c>
      <c r="Y6" s="257" t="s">
        <v>217</v>
      </c>
      <c r="Z6" s="256" t="s">
        <v>51</v>
      </c>
      <c r="AA6" s="258" t="s">
        <v>218</v>
      </c>
      <c r="AC6" s="259" t="s">
        <v>219</v>
      </c>
      <c r="AD6" s="254"/>
      <c r="AF6" s="148" t="s">
        <v>220</v>
      </c>
    </row>
    <row r="7" spans="1:35" x14ac:dyDescent="0.25">
      <c r="B7" s="152"/>
      <c r="C7" s="151"/>
      <c r="D7" s="151"/>
      <c r="E7" s="251" t="s">
        <v>221</v>
      </c>
      <c r="F7" s="251" t="s">
        <v>222</v>
      </c>
      <c r="G7" s="152"/>
      <c r="H7" s="251" t="s">
        <v>221</v>
      </c>
      <c r="I7" s="251" t="s">
        <v>222</v>
      </c>
      <c r="K7" s="252" t="s">
        <v>221</v>
      </c>
      <c r="L7" s="252" t="s">
        <v>222</v>
      </c>
      <c r="N7" s="260" t="s">
        <v>223</v>
      </c>
      <c r="O7" s="261"/>
      <c r="Q7" s="260" t="s">
        <v>224</v>
      </c>
      <c r="R7" s="260" t="s">
        <v>124</v>
      </c>
      <c r="S7" s="261" t="s">
        <v>225</v>
      </c>
      <c r="U7" s="255"/>
      <c r="V7" s="256"/>
      <c r="W7" s="256"/>
      <c r="X7" s="256"/>
      <c r="Y7" s="256"/>
      <c r="Z7" s="256"/>
      <c r="AA7" s="258"/>
      <c r="AC7" s="252" t="s">
        <v>226</v>
      </c>
      <c r="AD7" s="261" t="s">
        <v>94</v>
      </c>
      <c r="AF7" s="148" t="s">
        <v>227</v>
      </c>
    </row>
    <row r="8" spans="1:35" x14ac:dyDescent="0.25">
      <c r="B8" s="163">
        <v>1992</v>
      </c>
      <c r="C8" s="151"/>
      <c r="D8" s="151"/>
      <c r="E8" s="251"/>
      <c r="F8" s="251"/>
      <c r="G8" s="152"/>
      <c r="H8" s="251"/>
      <c r="I8" s="251"/>
      <c r="K8" s="262">
        <f>'Bayesian SD Ests (10Feb26rev)'!U8</f>
        <v>20067.172775785148</v>
      </c>
      <c r="L8" s="252"/>
      <c r="N8" s="263">
        <v>20067.172775785148</v>
      </c>
      <c r="O8" s="261">
        <f t="shared" ref="O8:O9" si="0">K8-N8</f>
        <v>0</v>
      </c>
      <c r="Q8" s="263">
        <f>'A6-Chin (NEW2+Khutz)'!$L13</f>
        <v>20067.172775785148</v>
      </c>
      <c r="R8" s="263">
        <f t="shared" ref="R8:R41" si="1">Q8-AA8</f>
        <v>16808</v>
      </c>
      <c r="S8" s="261">
        <f>R8-'Data-PSC Chin (10Feb26)'!C7</f>
        <v>0</v>
      </c>
      <c r="U8" s="256">
        <v>1992</v>
      </c>
      <c r="V8" s="264">
        <f>'A6-Chin (NEW2+Khutz)'!G13</f>
        <v>612</v>
      </c>
      <c r="W8" s="265">
        <f>'Data-Sport-Inriver (CH - new)'!F5</f>
        <v>770.19723982345931</v>
      </c>
      <c r="X8" s="265">
        <f>'Data-Sport-Inriver (CH - new)'!G5</f>
        <v>568.8027601765408</v>
      </c>
      <c r="Y8" s="264">
        <f>'A6-Chin (NEW2+Khutz)'!H13</f>
        <v>1339</v>
      </c>
      <c r="Z8" s="264">
        <f>'A6-Chin (NEW2+Khutz)'!I13</f>
        <v>1308.1727757851456</v>
      </c>
      <c r="AA8" s="266">
        <f>SUM(Z8,Y8,V8)</f>
        <v>3259.1727757851459</v>
      </c>
      <c r="AC8" s="262">
        <f>'Bayesian SD Ests (10Feb26rev)'!S8</f>
        <v>3259.1727757851459</v>
      </c>
      <c r="AD8" s="261">
        <f t="shared" ref="AD8:AD41" si="2">AC8-AA8</f>
        <v>0</v>
      </c>
      <c r="AF8" s="191">
        <f t="shared" ref="AF8:AF41" si="3">SUM(W8:X8)</f>
        <v>1339</v>
      </c>
      <c r="AG8" s="191">
        <f t="shared" ref="AG8:AG41" si="4">Y8-AF8</f>
        <v>0</v>
      </c>
      <c r="AI8" s="191">
        <f>R8-'A6-Chin (NEW2+Khutz)'!C13</f>
        <v>0</v>
      </c>
    </row>
    <row r="9" spans="1:35" x14ac:dyDescent="0.25">
      <c r="B9" s="163">
        <v>1993</v>
      </c>
      <c r="C9" s="151"/>
      <c r="D9" s="151"/>
      <c r="E9" s="251"/>
      <c r="F9" s="251"/>
      <c r="G9" s="152"/>
      <c r="H9" s="251"/>
      <c r="I9" s="251"/>
      <c r="K9" s="262">
        <f>'Bayesian SD Ests (10Feb26rev)'!U9</f>
        <v>27923.11844982941</v>
      </c>
      <c r="L9" s="252"/>
      <c r="N9" s="263">
        <v>27923.11844982941</v>
      </c>
      <c r="O9" s="261">
        <f t="shared" si="0"/>
        <v>0</v>
      </c>
      <c r="Q9" s="263">
        <f>'A6-Chin (NEW2+Khutz)'!$L14</f>
        <v>27923.11844982941</v>
      </c>
      <c r="R9" s="263">
        <f t="shared" si="1"/>
        <v>24814</v>
      </c>
      <c r="S9" s="261">
        <f>R9-'Data-PSC Chin (10Feb26)'!C8</f>
        <v>0</v>
      </c>
      <c r="U9" s="256">
        <v>1993</v>
      </c>
      <c r="V9" s="264">
        <f>'A6-Chin (NEW2+Khutz)'!G14</f>
        <v>600</v>
      </c>
      <c r="W9" s="265">
        <f>'Data-Sport-Inriver (CH - new)'!F6</f>
        <v>565.42485940736412</v>
      </c>
      <c r="X9" s="265">
        <f>'Data-Sport-Inriver (CH - new)'!G6</f>
        <v>417.57514059263599</v>
      </c>
      <c r="Y9" s="264">
        <f>'A6-Chin (NEW2+Khutz)'!H14</f>
        <v>983</v>
      </c>
      <c r="Z9" s="264">
        <f>'A6-Chin (NEW2+Khutz)'!I14</f>
        <v>1526.1184498294112</v>
      </c>
      <c r="AA9" s="266">
        <f t="shared" ref="AA9:AA14" si="5">SUM(Z9,Y9,V9)</f>
        <v>3109.1184498294115</v>
      </c>
      <c r="AC9" s="262">
        <f>'Bayesian SD Ests (10Feb26rev)'!S9</f>
        <v>3109.1184498294115</v>
      </c>
      <c r="AD9" s="261">
        <f t="shared" si="2"/>
        <v>0</v>
      </c>
      <c r="AF9" s="191">
        <f t="shared" si="3"/>
        <v>983.00000000000011</v>
      </c>
      <c r="AG9" s="191">
        <f t="shared" si="4"/>
        <v>0</v>
      </c>
      <c r="AI9" s="191">
        <f>R9-'A6-Chin (NEW2+Khutz)'!C14</f>
        <v>0</v>
      </c>
    </row>
    <row r="10" spans="1:35" x14ac:dyDescent="0.25">
      <c r="B10" s="163">
        <v>1994</v>
      </c>
      <c r="C10" s="148" t="s">
        <v>228</v>
      </c>
      <c r="D10" s="148" t="s">
        <v>229</v>
      </c>
      <c r="E10" s="267">
        <f>'Bayesian SD Ests (10Feb26rev)'!C10</f>
        <v>20478</v>
      </c>
      <c r="F10" s="267">
        <f>'Bayesian SD Ests (10Feb26rev)'!D10</f>
        <v>3851</v>
      </c>
      <c r="G10" s="268"/>
      <c r="H10" s="267">
        <f>'Bayesian SD Ests (10Feb26rev)'!F10</f>
        <v>3933</v>
      </c>
      <c r="I10" s="267">
        <f>'Bayesian SD Ests (10Feb26rev)'!G10</f>
        <v>1470</v>
      </c>
      <c r="K10" s="262">
        <f>'Bayesian SD Ests (10Feb26rev)'!U10</f>
        <v>26750</v>
      </c>
      <c r="L10" s="262">
        <f>'Bayesian SD Ests (10Feb26rev)'!V10</f>
        <v>4080</v>
      </c>
      <c r="N10" s="263">
        <v>24279.664771236112</v>
      </c>
      <c r="O10" s="261">
        <f>K10-N10</f>
        <v>2470.3352287638882</v>
      </c>
      <c r="Q10" s="263">
        <f>'A6-Chin (NEW2+Khutz)'!$L15</f>
        <v>26750</v>
      </c>
      <c r="R10" s="263">
        <f t="shared" si="1"/>
        <v>23639.335228763888</v>
      </c>
      <c r="S10" s="261">
        <f>R10-'Data-PSC Chin (10Feb26)'!C9</f>
        <v>0</v>
      </c>
      <c r="U10" s="256">
        <v>1994</v>
      </c>
      <c r="V10" s="264">
        <f>'A6-Chin (NEW2+Khutz)'!G15</f>
        <v>120</v>
      </c>
      <c r="W10" s="265">
        <f>'Data-Sport-Inriver (CH - new)'!F7</f>
        <v>513.65656098756472</v>
      </c>
      <c r="X10" s="265">
        <f>'Data-Sport-Inriver (CH - new)'!G7</f>
        <v>379.34343901243534</v>
      </c>
      <c r="Y10" s="264">
        <f>'A6-Chin (NEW2+Khutz)'!H15</f>
        <v>893</v>
      </c>
      <c r="Z10" s="264">
        <f>'A6-Chin (NEW2+Khutz)'!I15</f>
        <v>2097.6647712361123</v>
      </c>
      <c r="AA10" s="266">
        <f t="shared" si="5"/>
        <v>3110.6647712361123</v>
      </c>
      <c r="AC10" s="262">
        <f>'Bayesian SD Ests (10Feb26rev)'!S10</f>
        <v>2459</v>
      </c>
      <c r="AD10" s="261">
        <f t="shared" si="2"/>
        <v>-651.6647712361123</v>
      </c>
      <c r="AF10" s="191">
        <f t="shared" si="3"/>
        <v>893</v>
      </c>
      <c r="AG10" s="191">
        <f t="shared" si="4"/>
        <v>0</v>
      </c>
      <c r="AI10" s="191">
        <f>R10-'A6-Chin (NEW2+Khutz)'!C15</f>
        <v>0</v>
      </c>
    </row>
    <row r="11" spans="1:35" x14ac:dyDescent="0.25">
      <c r="B11" s="163">
        <v>1995</v>
      </c>
      <c r="C11" s="148" t="s">
        <v>228</v>
      </c>
      <c r="D11" s="148" t="s">
        <v>229</v>
      </c>
      <c r="E11" s="267">
        <f>'Bayesian SD Ests (10Feb26rev)'!C11</f>
        <v>8067</v>
      </c>
      <c r="F11" s="267">
        <f>'Bayesian SD Ests (10Feb26rev)'!D11</f>
        <v>1951</v>
      </c>
      <c r="G11" s="268"/>
      <c r="H11" s="267">
        <f>'Bayesian SD Ests (10Feb26rev)'!F11</f>
        <v>1719</v>
      </c>
      <c r="I11" s="267">
        <f>'Bayesian SD Ests (10Feb26rev)'!G11</f>
        <v>687</v>
      </c>
      <c r="K11" s="262">
        <f>'Bayesian SD Ests (10Feb26rev)'!U11</f>
        <v>11764</v>
      </c>
      <c r="L11" s="262">
        <f>'Bayesian SD Ests (10Feb26rev)'!V11</f>
        <v>2133</v>
      </c>
      <c r="N11" s="263">
        <v>10423.390342052313</v>
      </c>
      <c r="O11" s="261">
        <f t="shared" ref="O11:O41" si="6">K11-N11</f>
        <v>1340.6096579476871</v>
      </c>
      <c r="Q11" s="263">
        <f>'A6-Chin (NEW2+Khutz)'!$L16</f>
        <v>11764</v>
      </c>
      <c r="R11" s="263">
        <f t="shared" si="1"/>
        <v>9184.6096579476871</v>
      </c>
      <c r="S11" s="261">
        <f>R11-'Data-PSC Chin (10Feb26)'!C10</f>
        <v>0</v>
      </c>
      <c r="U11" s="256">
        <v>1995</v>
      </c>
      <c r="V11" s="264">
        <f>'A6-Chin (NEW2+Khutz)'!G16</f>
        <v>72</v>
      </c>
      <c r="W11" s="265">
        <f>'Data-Sport-Inriver (CH - new)'!F8</f>
        <v>399.76630446400611</v>
      </c>
      <c r="X11" s="265">
        <f>'Data-Sport-Inriver (CH - new)'!G8</f>
        <v>295.23369553599389</v>
      </c>
      <c r="Y11" s="264">
        <f>'A6-Chin (NEW2+Khutz)'!H16</f>
        <v>695</v>
      </c>
      <c r="Z11" s="264">
        <f>'A6-Chin (NEW2+Khutz)'!I16</f>
        <v>1812.3903420523138</v>
      </c>
      <c r="AA11" s="266">
        <f t="shared" si="5"/>
        <v>2579.3903420523138</v>
      </c>
      <c r="AC11" s="262">
        <f>'Bayesian SD Ests (10Feb26rev)'!S11</f>
        <v>2050</v>
      </c>
      <c r="AD11" s="261">
        <f t="shared" si="2"/>
        <v>-529.39034205231383</v>
      </c>
      <c r="AF11" s="191">
        <f t="shared" si="3"/>
        <v>695</v>
      </c>
      <c r="AG11" s="191">
        <f t="shared" si="4"/>
        <v>0</v>
      </c>
      <c r="AI11" s="191">
        <f>R11-'A6-Chin (NEW2+Khutz)'!C16</f>
        <v>0</v>
      </c>
    </row>
    <row r="12" spans="1:35" x14ac:dyDescent="0.25">
      <c r="B12" s="163">
        <v>1996</v>
      </c>
      <c r="C12" s="148" t="s">
        <v>228</v>
      </c>
      <c r="D12" s="148" t="s">
        <v>229</v>
      </c>
      <c r="E12" s="267">
        <f>'Bayesian SD Ests (10Feb26rev)'!C12</f>
        <v>18476</v>
      </c>
      <c r="F12" s="267">
        <f>'Bayesian SD Ests (10Feb26rev)'!D12</f>
        <v>4880</v>
      </c>
      <c r="G12" s="268"/>
      <c r="H12" s="267">
        <f>'Bayesian SD Ests (10Feb26rev)'!F12</f>
        <v>3510</v>
      </c>
      <c r="I12" s="267">
        <f>'Bayesian SD Ests (10Feb26rev)'!G12</f>
        <v>1443</v>
      </c>
      <c r="K12" s="262">
        <f>'Bayesian SD Ests (10Feb26rev)'!U12</f>
        <v>24082</v>
      </c>
      <c r="L12" s="262">
        <f>'Bayesian SD Ests (10Feb26rev)'!V12</f>
        <v>5437</v>
      </c>
      <c r="N12" s="263">
        <v>24202.334528912605</v>
      </c>
      <c r="O12" s="261">
        <f t="shared" si="6"/>
        <v>-120.33452891260458</v>
      </c>
      <c r="Q12" s="263">
        <f>'A6-Chin (NEW2+Khutz)'!$L17</f>
        <v>24082</v>
      </c>
      <c r="R12" s="263">
        <f t="shared" si="1"/>
        <v>21721.665471087395</v>
      </c>
      <c r="S12" s="261">
        <f>R12-'Data-PSC Chin (10Feb26)'!C11</f>
        <v>0</v>
      </c>
      <c r="U12" s="256">
        <v>1996</v>
      </c>
      <c r="V12" s="264">
        <f>'A6-Chin (NEW2+Khutz)'!G17</f>
        <v>49</v>
      </c>
      <c r="W12" s="265">
        <f>'Data-Sport-Inriver (CH - new)'!F9</f>
        <v>274.37198162493661</v>
      </c>
      <c r="X12" s="265">
        <f>'Data-Sport-Inriver (CH - new)'!G9</f>
        <v>202.62801837506345</v>
      </c>
      <c r="Y12" s="264">
        <f>'A6-Chin (NEW2+Khutz)'!H17</f>
        <v>477</v>
      </c>
      <c r="Z12" s="264">
        <f>'A6-Chin (NEW2+Khutz)'!I17</f>
        <v>1834.3345289126059</v>
      </c>
      <c r="AA12" s="266">
        <f t="shared" si="5"/>
        <v>2360.3345289126059</v>
      </c>
      <c r="AC12" s="262">
        <f>'Bayesian SD Ests (10Feb26rev)'!S12</f>
        <v>2145</v>
      </c>
      <c r="AD12" s="261">
        <f t="shared" si="2"/>
        <v>-215.33452891260595</v>
      </c>
      <c r="AF12" s="191">
        <f t="shared" si="3"/>
        <v>477.00000000000006</v>
      </c>
      <c r="AG12" s="191">
        <f t="shared" si="4"/>
        <v>0</v>
      </c>
      <c r="AI12" s="191">
        <f>R12-'A6-Chin (NEW2+Khutz)'!C17</f>
        <v>0</v>
      </c>
    </row>
    <row r="13" spans="1:35" x14ac:dyDescent="0.25">
      <c r="A13" s="148" t="s">
        <v>230</v>
      </c>
      <c r="B13" s="269">
        <v>1997</v>
      </c>
      <c r="C13" s="270" t="s">
        <v>231</v>
      </c>
      <c r="D13" s="270" t="s">
        <v>232</v>
      </c>
      <c r="E13" s="267">
        <f>'Bayesian SD Ests (10Feb26rev)'!C13</f>
        <v>17868</v>
      </c>
      <c r="F13" s="267">
        <f>'Bayesian SD Ests (10Feb26rev)'!D13</f>
        <v>2187</v>
      </c>
      <c r="G13" s="268"/>
      <c r="H13" s="267">
        <f>'Bayesian SD Ests (10Feb26rev)'!F13</f>
        <v>3493</v>
      </c>
      <c r="I13" s="267">
        <f>'Bayesian SD Ests (10Feb26rev)'!G13</f>
        <v>1520</v>
      </c>
      <c r="K13" s="262">
        <f>'Bayesian SD Ests (10Feb26rev)'!U13</f>
        <v>23493</v>
      </c>
      <c r="L13" s="262">
        <f>'Bayesian SD Ests (10Feb26rev)'!V13</f>
        <v>2378</v>
      </c>
      <c r="N13" s="271">
        <v>20822.726708074533</v>
      </c>
      <c r="O13" s="272">
        <f t="shared" si="6"/>
        <v>2670.2732919254668</v>
      </c>
      <c r="Q13" s="263">
        <f>'A6-Chin (NEW2+Khutz)'!$L18</f>
        <v>23493</v>
      </c>
      <c r="R13" s="263">
        <f t="shared" si="1"/>
        <v>21372.273291925467</v>
      </c>
      <c r="S13" s="261">
        <f>R13-'Data-PSC Chin (10Feb26)'!C12</f>
        <v>0</v>
      </c>
      <c r="U13" s="256">
        <v>1997</v>
      </c>
      <c r="V13" s="264">
        <f>'A6-Chin (NEW2+Khutz)'!G18</f>
        <v>41</v>
      </c>
      <c r="W13" s="265">
        <f>'Data-Sport-Inriver (CH - new)'!F10</f>
        <v>116.76627310243633</v>
      </c>
      <c r="X13" s="265">
        <f>'Data-Sport-Inriver (CH - new)'!G10</f>
        <v>86.233726897563685</v>
      </c>
      <c r="Y13" s="264">
        <f>'A6-Chin (NEW2+Khutz)'!H18</f>
        <v>203</v>
      </c>
      <c r="Z13" s="264">
        <f>'A6-Chin (NEW2+Khutz)'!I18</f>
        <v>1876.7267080745341</v>
      </c>
      <c r="AA13" s="266">
        <f t="shared" si="5"/>
        <v>2120.7267080745341</v>
      </c>
      <c r="AC13" s="262">
        <f>'Bayesian SD Ests (10Feb26rev)'!S13</f>
        <v>2172</v>
      </c>
      <c r="AD13" s="261">
        <f t="shared" si="2"/>
        <v>51.273291925465855</v>
      </c>
      <c r="AF13" s="191">
        <f t="shared" si="3"/>
        <v>203</v>
      </c>
      <c r="AG13" s="191">
        <f t="shared" si="4"/>
        <v>0</v>
      </c>
      <c r="AI13" s="191">
        <f>R13-'A6-Chin (NEW2+Khutz)'!C18</f>
        <v>0</v>
      </c>
    </row>
    <row r="14" spans="1:35" x14ac:dyDescent="0.25">
      <c r="A14" s="148" t="s">
        <v>230</v>
      </c>
      <c r="B14" s="269">
        <v>1998</v>
      </c>
      <c r="C14" s="270" t="s">
        <v>228</v>
      </c>
      <c r="D14" s="270" t="s">
        <v>232</v>
      </c>
      <c r="E14" s="267">
        <f>'Bayesian SD Ests (10Feb26rev)'!C14</f>
        <v>21215</v>
      </c>
      <c r="F14" s="267">
        <f>'Bayesian SD Ests (10Feb26rev)'!D14</f>
        <v>2806</v>
      </c>
      <c r="G14" s="268"/>
      <c r="H14" s="267">
        <f>'Bayesian SD Ests (10Feb26rev)'!F14</f>
        <v>4033</v>
      </c>
      <c r="I14" s="267">
        <f>'Bayesian SD Ests (10Feb26rev)'!G14</f>
        <v>1800</v>
      </c>
      <c r="K14" s="262">
        <f>'Bayesian SD Ests (10Feb26rev)'!U14</f>
        <v>27044</v>
      </c>
      <c r="L14" s="262">
        <f>'Bayesian SD Ests (10Feb26rev)'!V14</f>
        <v>3197</v>
      </c>
      <c r="N14" s="271">
        <v>25348.997674418606</v>
      </c>
      <c r="O14" s="272">
        <f t="shared" si="6"/>
        <v>1695.002325581394</v>
      </c>
      <c r="Q14" s="263">
        <f>'A6-Chin (NEW2+Khutz)'!$L19</f>
        <v>27044</v>
      </c>
      <c r="R14" s="263">
        <f t="shared" si="1"/>
        <v>24908</v>
      </c>
      <c r="S14" s="261">
        <f>R14-'Data-PSC Chin (10Feb26)'!C13</f>
        <v>0</v>
      </c>
      <c r="U14" s="256">
        <v>1998</v>
      </c>
      <c r="V14" s="264">
        <f>'A6-Chin (NEW2+Khutz)'!G19</f>
        <v>345</v>
      </c>
      <c r="W14" s="265">
        <f>'Data-Sport-Inriver (CH - new)'!F11</f>
        <v>112.73984989200748</v>
      </c>
      <c r="X14" s="265">
        <f>'Data-Sport-Inriver (CH - new)'!G11</f>
        <v>83.26015010799253</v>
      </c>
      <c r="Y14" s="264">
        <f>'A6-Chin (NEW2+Khutz)'!H19</f>
        <v>196</v>
      </c>
      <c r="Z14" s="264">
        <f>'A6-Chin (NEW2+Khutz)'!I19</f>
        <v>1595</v>
      </c>
      <c r="AA14" s="266">
        <f t="shared" si="5"/>
        <v>2136</v>
      </c>
      <c r="AC14" s="262">
        <f>'Bayesian SD Ests (10Feb26rev)'!S14</f>
        <v>2141</v>
      </c>
      <c r="AD14" s="261">
        <f t="shared" si="2"/>
        <v>5</v>
      </c>
      <c r="AF14" s="191">
        <f t="shared" si="3"/>
        <v>196</v>
      </c>
      <c r="AG14" s="191">
        <f t="shared" si="4"/>
        <v>0</v>
      </c>
      <c r="AI14" s="191">
        <f>R14-'A6-Chin (NEW2+Khutz)'!C19</f>
        <v>0</v>
      </c>
    </row>
    <row r="15" spans="1:35" x14ac:dyDescent="0.25">
      <c r="A15" s="148" t="s">
        <v>230</v>
      </c>
      <c r="B15" s="269">
        <v>1999</v>
      </c>
      <c r="C15" s="270" t="s">
        <v>228</v>
      </c>
      <c r="D15" s="270" t="s">
        <v>232</v>
      </c>
      <c r="E15" s="267">
        <f>'Bayesian SD Ests (10Feb26rev)'!C15</f>
        <v>10985</v>
      </c>
      <c r="F15" s="267">
        <f>'Bayesian SD Ests (10Feb26rev)'!D15</f>
        <v>1502</v>
      </c>
      <c r="G15" s="268"/>
      <c r="H15" s="267">
        <f>'Bayesian SD Ests (10Feb26rev)'!F15</f>
        <v>2225</v>
      </c>
      <c r="I15" s="267">
        <f>'Bayesian SD Ests (10Feb26rev)'!G15</f>
        <v>985</v>
      </c>
      <c r="K15" s="262">
        <f>'Bayesian SD Ests (10Feb26rev)'!U15</f>
        <v>14952</v>
      </c>
      <c r="L15" s="262">
        <f>'Bayesian SD Ests (10Feb26rev)'!V15</f>
        <v>1797</v>
      </c>
      <c r="N15" s="271">
        <v>13427</v>
      </c>
      <c r="O15" s="272">
        <f t="shared" si="6"/>
        <v>1525</v>
      </c>
      <c r="Q15" s="263">
        <f>'A6-Chin (NEW2+Khutz)'!$L20</f>
        <v>14952</v>
      </c>
      <c r="R15" s="263">
        <f t="shared" si="1"/>
        <v>13069</v>
      </c>
      <c r="S15" s="261">
        <f>R15-'Data-PSC Chin (10Feb26)'!C14</f>
        <v>0</v>
      </c>
      <c r="U15" s="256">
        <v>1999</v>
      </c>
      <c r="V15" s="264">
        <f>'A6-Chin (NEW2+Khutz)'!G20</f>
        <v>193</v>
      </c>
      <c r="W15" s="265">
        <f>'Data-Sport-Inriver (CH - new)'!F12</f>
        <v>47.166671893594966</v>
      </c>
      <c r="X15" s="265">
        <f>'Data-Sport-Inriver (CH - new)'!G12</f>
        <v>34.833328106405034</v>
      </c>
      <c r="Y15" s="264">
        <f>'A6-Chin (NEW2+Khutz)'!H20</f>
        <v>82</v>
      </c>
      <c r="Z15" s="264">
        <f>'A6-Chin (NEW2+Khutz)'!I20</f>
        <v>1608</v>
      </c>
      <c r="AA15" s="266">
        <f>SUM(Z15,Y15,V15)</f>
        <v>1883</v>
      </c>
      <c r="AC15" s="262">
        <f>'Bayesian SD Ests (10Feb26rev)'!S15</f>
        <v>1934</v>
      </c>
      <c r="AD15" s="261">
        <f t="shared" si="2"/>
        <v>51</v>
      </c>
      <c r="AF15" s="191">
        <f t="shared" si="3"/>
        <v>82</v>
      </c>
      <c r="AG15" s="191">
        <f t="shared" si="4"/>
        <v>0</v>
      </c>
      <c r="AI15" s="191">
        <f>R15-'A6-Chin (NEW2+Khutz)'!C20</f>
        <v>0</v>
      </c>
    </row>
    <row r="16" spans="1:35" x14ac:dyDescent="0.25">
      <c r="A16" s="148" t="s">
        <v>230</v>
      </c>
      <c r="B16" s="269">
        <v>2000</v>
      </c>
      <c r="C16" s="270" t="s">
        <v>228</v>
      </c>
      <c r="D16" s="270" t="s">
        <v>232</v>
      </c>
      <c r="E16" s="267">
        <f>'Bayesian SD Ests (10Feb26rev)'!C16</f>
        <v>15500</v>
      </c>
      <c r="F16" s="267">
        <f>'Bayesian SD Ests (10Feb26rev)'!D16</f>
        <v>3216</v>
      </c>
      <c r="G16" s="268"/>
      <c r="H16" s="267">
        <f>'Bayesian SD Ests (10Feb26rev)'!F16</f>
        <v>3170</v>
      </c>
      <c r="I16" s="267">
        <f>'Bayesian SD Ests (10Feb26rev)'!G16</f>
        <v>1242</v>
      </c>
      <c r="K16" s="262">
        <f>'Bayesian SD Ests (10Feb26rev)'!U16</f>
        <v>21655</v>
      </c>
      <c r="L16" s="262">
        <f>'Bayesian SD Ests (10Feb26rev)'!V16</f>
        <v>3498</v>
      </c>
      <c r="N16" s="271">
        <v>21616.703991143764</v>
      </c>
      <c r="O16" s="272">
        <f t="shared" si="6"/>
        <v>38.296008856235858</v>
      </c>
      <c r="Q16" s="263">
        <f>'A6-Chin (NEW2+Khutz)'!$L21</f>
        <v>21655</v>
      </c>
      <c r="R16" s="263">
        <f t="shared" si="1"/>
        <v>18085</v>
      </c>
      <c r="S16" s="261">
        <f>R16-'Data-PSC Chin (10Feb26)'!C15</f>
        <v>0</v>
      </c>
      <c r="U16" s="256">
        <v>2000</v>
      </c>
      <c r="V16" s="264">
        <f>'A6-Chin (NEW2+Khutz)'!G21</f>
        <v>49</v>
      </c>
      <c r="W16" s="265">
        <f>'Data-Sport-Inriver (CH - new)'!F13</f>
        <v>623</v>
      </c>
      <c r="X16" s="265">
        <f>'Data-Sport-Inriver (CH - new)'!G13</f>
        <v>400</v>
      </c>
      <c r="Y16" s="264">
        <f>'A6-Chin (NEW2+Khutz)'!H21</f>
        <v>1023</v>
      </c>
      <c r="Z16" s="264">
        <f>'A6-Chin (NEW2+Khutz)'!I21</f>
        <v>2498</v>
      </c>
      <c r="AA16" s="266">
        <f t="shared" ref="AA16:AA41" si="7">SUM(Z16,Y16,V16)</f>
        <v>3570</v>
      </c>
      <c r="AC16" s="262">
        <f>'Bayesian SD Ests (10Feb26rev)'!S16</f>
        <v>3035</v>
      </c>
      <c r="AD16" s="261">
        <f t="shared" si="2"/>
        <v>-535</v>
      </c>
      <c r="AF16" s="191">
        <f t="shared" si="3"/>
        <v>1023</v>
      </c>
      <c r="AG16" s="191">
        <f t="shared" si="4"/>
        <v>0</v>
      </c>
      <c r="AI16" s="191">
        <f>R16-'A6-Chin (NEW2+Khutz)'!C21</f>
        <v>0</v>
      </c>
    </row>
    <row r="17" spans="1:35" x14ac:dyDescent="0.25">
      <c r="A17" s="148" t="s">
        <v>230</v>
      </c>
      <c r="B17" s="269">
        <v>2001</v>
      </c>
      <c r="C17" s="270" t="s">
        <v>228</v>
      </c>
      <c r="D17" s="270" t="s">
        <v>232</v>
      </c>
      <c r="E17" s="267">
        <f>'Bayesian SD Ests (10Feb26rev)'!C17</f>
        <v>24567</v>
      </c>
      <c r="F17" s="267">
        <f>'Bayesian SD Ests (10Feb26rev)'!D17</f>
        <v>2995</v>
      </c>
      <c r="G17" s="268"/>
      <c r="H17" s="267">
        <f>'Bayesian SD Ests (10Feb26rev)'!F17</f>
        <v>5317</v>
      </c>
      <c r="I17" s="267">
        <f>'Bayesian SD Ests (10Feb26rev)'!G17</f>
        <v>2321</v>
      </c>
      <c r="K17" s="262">
        <f>'Bayesian SD Ests (10Feb26rev)'!U17</f>
        <v>35715</v>
      </c>
      <c r="L17" s="262">
        <f>'Bayesian SD Ests (10Feb26rev)'!V17</f>
        <v>3313</v>
      </c>
      <c r="N17" s="271">
        <v>34703</v>
      </c>
      <c r="O17" s="272">
        <f t="shared" si="6"/>
        <v>1012</v>
      </c>
      <c r="Q17" s="263">
        <f>'A6-Chin (NEW2+Khutz)'!$L22</f>
        <v>35715</v>
      </c>
      <c r="R17" s="263">
        <f t="shared" si="1"/>
        <v>29341</v>
      </c>
      <c r="S17" s="261">
        <f>R17-'Data-PSC Chin (10Feb26)'!C16</f>
        <v>0</v>
      </c>
      <c r="U17" s="256">
        <v>2001</v>
      </c>
      <c r="V17" s="264">
        <f>'A6-Chin (NEW2+Khutz)'!G22</f>
        <v>195</v>
      </c>
      <c r="W17" s="265">
        <f>'Data-Sport-Inriver (CH - new)'!F14</f>
        <v>401</v>
      </c>
      <c r="X17" s="265">
        <f>'Data-Sport-Inriver (CH - new)'!G14</f>
        <v>321</v>
      </c>
      <c r="Y17" s="264">
        <f>'A6-Chin (NEW2+Khutz)'!H22</f>
        <v>722</v>
      </c>
      <c r="Z17" s="264">
        <f>'A6-Chin (NEW2+Khutz)'!I22</f>
        <v>5457</v>
      </c>
      <c r="AA17" s="266">
        <f t="shared" si="7"/>
        <v>6374</v>
      </c>
      <c r="AC17" s="262">
        <f>'Bayesian SD Ests (10Feb26rev)'!S17</f>
        <v>4126</v>
      </c>
      <c r="AD17" s="261">
        <f t="shared" si="2"/>
        <v>-2248</v>
      </c>
      <c r="AF17" s="191">
        <f t="shared" si="3"/>
        <v>722</v>
      </c>
      <c r="AG17" s="191">
        <f t="shared" si="4"/>
        <v>0</v>
      </c>
      <c r="AI17" s="191">
        <f>R17-'A6-Chin (NEW2+Khutz)'!C22</f>
        <v>0</v>
      </c>
    </row>
    <row r="18" spans="1:35" x14ac:dyDescent="0.25">
      <c r="A18" s="148" t="s">
        <v>230</v>
      </c>
      <c r="B18" s="269">
        <v>2002</v>
      </c>
      <c r="C18" s="270" t="s">
        <v>228</v>
      </c>
      <c r="D18" s="270" t="s">
        <v>232</v>
      </c>
      <c r="E18" s="267">
        <f>'Bayesian SD Ests (10Feb26rev)'!C18</f>
        <v>12398</v>
      </c>
      <c r="F18" s="267">
        <f>'Bayesian SD Ests (10Feb26rev)'!D18</f>
        <v>2477</v>
      </c>
      <c r="G18" s="268"/>
      <c r="H18" s="267">
        <f>'Bayesian SD Ests (10Feb26rev)'!F18</f>
        <v>2521</v>
      </c>
      <c r="I18" s="267">
        <f>'Bayesian SD Ests (10Feb26rev)'!G18</f>
        <v>998</v>
      </c>
      <c r="K18" s="262">
        <f>'Bayesian SD Ests (10Feb26rev)'!U18</f>
        <v>17089</v>
      </c>
      <c r="L18" s="262">
        <f>'Bayesian SD Ests (10Feb26rev)'!V18</f>
        <v>2692</v>
      </c>
      <c r="N18" s="271">
        <v>16081</v>
      </c>
      <c r="O18" s="272">
        <f t="shared" si="6"/>
        <v>1008</v>
      </c>
      <c r="Q18" s="263">
        <f>'A6-Chin (NEW2+Khutz)'!$L23</f>
        <v>17089</v>
      </c>
      <c r="R18" s="263">
        <f t="shared" si="1"/>
        <v>14360</v>
      </c>
      <c r="S18" s="261">
        <f>R18-'Data-PSC Chin (10Feb26)'!C17</f>
        <v>0</v>
      </c>
      <c r="U18" s="256">
        <v>2002</v>
      </c>
      <c r="V18" s="264">
        <f>'A6-Chin (NEW2+Khutz)'!G23</f>
        <v>151</v>
      </c>
      <c r="W18" s="265">
        <f>'Data-Sport-Inriver (CH - new)'!F15</f>
        <v>407</v>
      </c>
      <c r="X18" s="265">
        <f>'Data-Sport-Inriver (CH - new)'!G15</f>
        <v>296</v>
      </c>
      <c r="Y18" s="264">
        <f>'A6-Chin (NEW2+Khutz)'!H23</f>
        <v>703</v>
      </c>
      <c r="Z18" s="264">
        <f>'A6-Chin (NEW2+Khutz)'!I23</f>
        <v>1875</v>
      </c>
      <c r="AA18" s="266">
        <f t="shared" si="7"/>
        <v>2729</v>
      </c>
      <c r="AC18" s="262">
        <f>'Bayesian SD Ests (10Feb26rev)'!S18</f>
        <v>2322</v>
      </c>
      <c r="AD18" s="261">
        <f t="shared" si="2"/>
        <v>-407</v>
      </c>
      <c r="AF18" s="191">
        <f t="shared" si="3"/>
        <v>703</v>
      </c>
      <c r="AG18" s="191">
        <f t="shared" si="4"/>
        <v>0</v>
      </c>
      <c r="AI18" s="191">
        <f>R18-'A6-Chin (NEW2+Khutz)'!C23</f>
        <v>0</v>
      </c>
    </row>
    <row r="19" spans="1:35" x14ac:dyDescent="0.25">
      <c r="A19" s="148" t="s">
        <v>230</v>
      </c>
      <c r="B19" s="269">
        <v>2003</v>
      </c>
      <c r="C19" s="270" t="s">
        <v>228</v>
      </c>
      <c r="D19" s="270" t="s">
        <v>232</v>
      </c>
      <c r="E19" s="267">
        <f>'Bayesian SD Ests (10Feb26rev)'!C19</f>
        <v>26531</v>
      </c>
      <c r="F19" s="267">
        <f>'Bayesian SD Ests (10Feb26rev)'!D19</f>
        <v>5259</v>
      </c>
      <c r="G19" s="268"/>
      <c r="H19" s="267">
        <f>'Bayesian SD Ests (10Feb26rev)'!F19</f>
        <v>5016</v>
      </c>
      <c r="I19" s="267">
        <f>'Bayesian SD Ests (10Feb26rev)'!G19</f>
        <v>1912</v>
      </c>
      <c r="K19" s="262">
        <f>'Bayesian SD Ests (10Feb26rev)'!U19</f>
        <v>34354</v>
      </c>
      <c r="L19" s="262">
        <f>'Bayesian SD Ests (10Feb26rev)'!V19</f>
        <v>5642</v>
      </c>
      <c r="N19" s="271">
        <v>29462.367611499238</v>
      </c>
      <c r="O19" s="272">
        <f t="shared" si="6"/>
        <v>4891.6323885007623</v>
      </c>
      <c r="Q19" s="263">
        <f>'A6-Chin (NEW2+Khutz)'!$L24</f>
        <v>34354</v>
      </c>
      <c r="R19" s="263">
        <f t="shared" si="1"/>
        <v>30740</v>
      </c>
      <c r="S19" s="261">
        <f>R19-'Data-PSC Chin (10Feb26)'!C18</f>
        <v>0</v>
      </c>
      <c r="U19" s="256">
        <v>2003</v>
      </c>
      <c r="V19" s="264">
        <f>'A6-Chin (NEW2+Khutz)'!G24</f>
        <v>181</v>
      </c>
      <c r="W19" s="265">
        <f>'Data-Sport-Inriver (CH - new)'!F16</f>
        <v>630</v>
      </c>
      <c r="X19" s="265">
        <f>'Data-Sport-Inriver (CH - new)'!G16</f>
        <v>400</v>
      </c>
      <c r="Y19" s="264">
        <f>'A6-Chin (NEW2+Khutz)'!H24</f>
        <v>1030</v>
      </c>
      <c r="Z19" s="264">
        <f>'A6-Chin (NEW2+Khutz)'!I24</f>
        <v>2403</v>
      </c>
      <c r="AA19" s="266">
        <f t="shared" si="7"/>
        <v>3614</v>
      </c>
      <c r="AC19" s="262">
        <f>'Bayesian SD Ests (10Feb26rev)'!S19</f>
        <v>2988</v>
      </c>
      <c r="AD19" s="261">
        <f t="shared" si="2"/>
        <v>-626</v>
      </c>
      <c r="AF19" s="191">
        <f t="shared" si="3"/>
        <v>1030</v>
      </c>
      <c r="AG19" s="191">
        <f t="shared" si="4"/>
        <v>0</v>
      </c>
      <c r="AI19" s="191">
        <f>R19-'A6-Chin (NEW2+Khutz)'!C24</f>
        <v>0</v>
      </c>
    </row>
    <row r="20" spans="1:35" x14ac:dyDescent="0.25">
      <c r="B20" s="163">
        <v>2004</v>
      </c>
      <c r="C20" s="148" t="s">
        <v>228</v>
      </c>
      <c r="D20" s="148" t="s">
        <v>229</v>
      </c>
      <c r="E20" s="267">
        <f>'Bayesian SD Ests (10Feb26rev)'!C20</f>
        <v>11954</v>
      </c>
      <c r="F20" s="267">
        <f>'Bayesian SD Ests (10Feb26rev)'!D20</f>
        <v>2864</v>
      </c>
      <c r="G20" s="268"/>
      <c r="H20" s="267">
        <f>'Bayesian SD Ests (10Feb26rev)'!F20</f>
        <v>2401</v>
      </c>
      <c r="I20" s="267">
        <f>'Bayesian SD Ests (10Feb26rev)'!G20</f>
        <v>864</v>
      </c>
      <c r="K20" s="262">
        <f>'Bayesian SD Ests (10Feb26rev)'!U20</f>
        <v>16604</v>
      </c>
      <c r="L20" s="262">
        <f>'Bayesian SD Ests (10Feb26rev)'!V20</f>
        <v>3003</v>
      </c>
      <c r="N20" s="263">
        <v>17983.751738356423</v>
      </c>
      <c r="O20" s="261">
        <f t="shared" si="6"/>
        <v>-1379.7517383564227</v>
      </c>
      <c r="Q20" s="263">
        <f>'A6-Chin (NEW2+Khutz)'!$L25</f>
        <v>16604</v>
      </c>
      <c r="R20" s="263">
        <f t="shared" si="1"/>
        <v>13736.6</v>
      </c>
      <c r="S20" s="261">
        <f>R20-'Data-PSC Chin (10Feb26)'!C19</f>
        <v>0</v>
      </c>
      <c r="U20" s="256">
        <v>2004</v>
      </c>
      <c r="V20" s="264">
        <f>'A6-Chin (NEW2+Khutz)'!G25</f>
        <v>230</v>
      </c>
      <c r="W20" s="265">
        <f>'Data-Sport-Inriver (CH - new)'!F17</f>
        <v>323</v>
      </c>
      <c r="X20" s="265">
        <f>'Data-Sport-Inriver (CH - new)'!G17</f>
        <v>320</v>
      </c>
      <c r="Y20" s="264">
        <f>'A6-Chin (NEW2+Khutz)'!H25</f>
        <v>643</v>
      </c>
      <c r="Z20" s="264">
        <f>'A6-Chin (NEW2+Khutz)'!I25</f>
        <v>1994.4</v>
      </c>
      <c r="AA20" s="266">
        <f t="shared" si="7"/>
        <v>2867.4</v>
      </c>
      <c r="AC20" s="262">
        <f>'Bayesian SD Ests (10Feb26rev)'!S20</f>
        <v>2479</v>
      </c>
      <c r="AD20" s="261">
        <f t="shared" si="2"/>
        <v>-388.40000000000009</v>
      </c>
      <c r="AF20" s="191">
        <f t="shared" si="3"/>
        <v>643</v>
      </c>
      <c r="AG20" s="191">
        <f t="shared" si="4"/>
        <v>0</v>
      </c>
      <c r="AI20" s="191">
        <f>R20-'A6-Chin (NEW2+Khutz)'!C25</f>
        <v>0</v>
      </c>
    </row>
    <row r="21" spans="1:35" x14ac:dyDescent="0.25">
      <c r="B21" s="163">
        <v>2005</v>
      </c>
      <c r="C21" s="148" t="s">
        <v>228</v>
      </c>
      <c r="D21" s="148" t="s">
        <v>229</v>
      </c>
      <c r="E21" s="267">
        <f>'Bayesian SD Ests (10Feb26rev)'!C21</f>
        <v>11641</v>
      </c>
      <c r="F21" s="267">
        <f>'Bayesian SD Ests (10Feb26rev)'!D21</f>
        <v>2392</v>
      </c>
      <c r="G21" s="268"/>
      <c r="H21" s="267">
        <f>'Bayesian SD Ests (10Feb26rev)'!F21</f>
        <v>2333</v>
      </c>
      <c r="I21" s="267">
        <f>'Bayesian SD Ests (10Feb26rev)'!G21</f>
        <v>804</v>
      </c>
      <c r="K21" s="262">
        <f>'Bayesian SD Ests (10Feb26rev)'!U21</f>
        <v>16178.999999999998</v>
      </c>
      <c r="L21" s="262">
        <f>'Bayesian SD Ests (10Feb26rev)'!V21</f>
        <v>2404</v>
      </c>
      <c r="N21" s="263">
        <v>16764.486895266942</v>
      </c>
      <c r="O21" s="261">
        <f t="shared" si="6"/>
        <v>-585.48689526694398</v>
      </c>
      <c r="Q21" s="263">
        <f>'A6-Chin (NEW2+Khutz)'!$L26</f>
        <v>16178.999999999998</v>
      </c>
      <c r="R21" s="263">
        <f t="shared" si="1"/>
        <v>13109.8</v>
      </c>
      <c r="S21" s="261">
        <f>R21-'Data-PSC Chin (10Feb26)'!C20</f>
        <v>0</v>
      </c>
      <c r="U21" s="256">
        <v>2005</v>
      </c>
      <c r="V21" s="264">
        <f>'A6-Chin (NEW2+Khutz)'!G26</f>
        <v>179</v>
      </c>
      <c r="W21" s="265">
        <f>'Data-Sport-Inriver (CH - new)'!F18</f>
        <v>347</v>
      </c>
      <c r="X21" s="265">
        <f>'Data-Sport-Inriver (CH - new)'!G18</f>
        <v>253</v>
      </c>
      <c r="Y21" s="264">
        <f>'A6-Chin (NEW2+Khutz)'!H26</f>
        <v>600</v>
      </c>
      <c r="Z21" s="264">
        <f>'A6-Chin (NEW2+Khutz)'!I26</f>
        <v>2290.1999999999998</v>
      </c>
      <c r="AA21" s="266">
        <f t="shared" si="7"/>
        <v>3069.2</v>
      </c>
      <c r="AC21" s="262">
        <f>'Bayesian SD Ests (10Feb26rev)'!S21</f>
        <v>2384</v>
      </c>
      <c r="AD21" s="261">
        <f t="shared" si="2"/>
        <v>-685.19999999999982</v>
      </c>
      <c r="AF21" s="191">
        <f t="shared" si="3"/>
        <v>600</v>
      </c>
      <c r="AG21" s="191">
        <f t="shared" si="4"/>
        <v>0</v>
      </c>
      <c r="AI21" s="191">
        <f>R21-'A6-Chin (NEW2+Khutz)'!C26</f>
        <v>0</v>
      </c>
    </row>
    <row r="22" spans="1:35" x14ac:dyDescent="0.25">
      <c r="B22" s="163">
        <v>2006</v>
      </c>
      <c r="C22" s="148" t="s">
        <v>228</v>
      </c>
      <c r="D22" s="148" t="s">
        <v>229</v>
      </c>
      <c r="E22" s="267">
        <f>'Bayesian SD Ests (10Feb26rev)'!C22</f>
        <v>19938</v>
      </c>
      <c r="F22" s="267">
        <f>'Bayesian SD Ests (10Feb26rev)'!D22</f>
        <v>3527</v>
      </c>
      <c r="G22" s="268"/>
      <c r="H22" s="267">
        <f>'Bayesian SD Ests (10Feb26rev)'!F22</f>
        <v>4062</v>
      </c>
      <c r="I22" s="267">
        <f>'Bayesian SD Ests (10Feb26rev)'!G22</f>
        <v>1480</v>
      </c>
      <c r="K22" s="262">
        <f>'Bayesian SD Ests (10Feb26rev)'!U22</f>
        <v>27633</v>
      </c>
      <c r="L22" s="262">
        <f>'Bayesian SD Ests (10Feb26rev)'!V22</f>
        <v>3483</v>
      </c>
      <c r="N22" s="263">
        <v>28609.274081002797</v>
      </c>
      <c r="O22" s="261">
        <f t="shared" si="6"/>
        <v>-976.27408100279717</v>
      </c>
      <c r="Q22" s="263">
        <f>'A6-Chin (NEW2+Khutz)'!$L27</f>
        <v>27633</v>
      </c>
      <c r="R22" s="263">
        <f t="shared" si="1"/>
        <v>22580.6</v>
      </c>
      <c r="S22" s="261">
        <f>R22-'Data-PSC Chin (10Feb26)'!C21</f>
        <v>0</v>
      </c>
      <c r="U22" s="256">
        <v>2006</v>
      </c>
      <c r="V22" s="264">
        <f>'A6-Chin (NEW2+Khutz)'!G27</f>
        <v>456</v>
      </c>
      <c r="W22" s="265">
        <f>'Data-Sport-Inriver (CH - new)'!F19</f>
        <v>581</v>
      </c>
      <c r="X22" s="265">
        <f>'Data-Sport-Inriver (CH - new)'!G19</f>
        <v>431</v>
      </c>
      <c r="Y22" s="264">
        <f>'A6-Chin (NEW2+Khutz)'!H27</f>
        <v>1012</v>
      </c>
      <c r="Z22" s="264">
        <f>'A6-Chin (NEW2+Khutz)'!I27</f>
        <v>3584.4</v>
      </c>
      <c r="AA22" s="266">
        <f t="shared" si="7"/>
        <v>5052.3999999999996</v>
      </c>
      <c r="AC22" s="262">
        <f>'Bayesian SD Ests (10Feb26rev)'!S22</f>
        <v>3058</v>
      </c>
      <c r="AD22" s="261">
        <f t="shared" si="2"/>
        <v>-1994.3999999999996</v>
      </c>
      <c r="AF22" s="191">
        <f t="shared" si="3"/>
        <v>1012</v>
      </c>
      <c r="AG22" s="191">
        <f t="shared" si="4"/>
        <v>0</v>
      </c>
      <c r="AI22" s="191">
        <f>R22-'A6-Chin (NEW2+Khutz)'!C27</f>
        <v>0</v>
      </c>
    </row>
    <row r="23" spans="1:35" x14ac:dyDescent="0.25">
      <c r="B23" s="163">
        <v>2007</v>
      </c>
      <c r="C23" s="148" t="s">
        <v>228</v>
      </c>
      <c r="D23" s="148" t="s">
        <v>229</v>
      </c>
      <c r="E23" s="267">
        <f>'Bayesian SD Ests (10Feb26rev)'!C23</f>
        <v>17030</v>
      </c>
      <c r="F23" s="267">
        <f>'Bayesian SD Ests (10Feb26rev)'!D23</f>
        <v>3225</v>
      </c>
      <c r="G23" s="268"/>
      <c r="H23" s="267">
        <f>'Bayesian SD Ests (10Feb26rev)'!F23</f>
        <v>4255</v>
      </c>
      <c r="I23" s="267">
        <f>'Bayesian SD Ests (10Feb26rev)'!G23</f>
        <v>906</v>
      </c>
      <c r="K23" s="262">
        <f>'Bayesian SD Ests (10Feb26rev)'!U23</f>
        <v>25722</v>
      </c>
      <c r="L23" s="262">
        <f>'Bayesian SD Ests (10Feb26rev)'!V23</f>
        <v>3575</v>
      </c>
      <c r="N23" s="263">
        <v>27165.31290378391</v>
      </c>
      <c r="O23" s="261">
        <f t="shared" si="6"/>
        <v>-1443.3129037839099</v>
      </c>
      <c r="Q23" s="263">
        <f>'A6-Chin (NEW2+Khutz)'!$L28</f>
        <v>25722</v>
      </c>
      <c r="R23" s="263">
        <f t="shared" si="1"/>
        <v>20640.400000000001</v>
      </c>
      <c r="S23" s="261">
        <f>R23-'Data-PSC Chin (10Feb26)'!C22</f>
        <v>0</v>
      </c>
      <c r="U23" s="256">
        <v>2007</v>
      </c>
      <c r="V23" s="264">
        <f>'A6-Chin (NEW2+Khutz)'!G28</f>
        <v>24</v>
      </c>
      <c r="W23" s="265">
        <f>'Data-Sport-Inriver (CH - new)'!F20</f>
        <v>554</v>
      </c>
      <c r="X23" s="265">
        <f>'Data-Sport-Inriver (CH - new)'!G20</f>
        <v>411</v>
      </c>
      <c r="Y23" s="264">
        <f>'A6-Chin (NEW2+Khutz)'!H28</f>
        <v>965</v>
      </c>
      <c r="Z23" s="264">
        <f>'A6-Chin (NEW2+Khutz)'!I28</f>
        <v>4092.6</v>
      </c>
      <c r="AA23" s="266">
        <f t="shared" si="7"/>
        <v>5081.6000000000004</v>
      </c>
      <c r="AC23" s="262">
        <f>'Bayesian SD Ests (10Feb26rev)'!S23</f>
        <v>2458</v>
      </c>
      <c r="AD23" s="261">
        <f t="shared" si="2"/>
        <v>-2623.6000000000004</v>
      </c>
      <c r="AF23" s="191">
        <f t="shared" si="3"/>
        <v>965</v>
      </c>
      <c r="AG23" s="191">
        <f t="shared" si="4"/>
        <v>0</v>
      </c>
      <c r="AI23" s="191">
        <f>R23-'A6-Chin (NEW2+Khutz)'!C28</f>
        <v>0</v>
      </c>
    </row>
    <row r="24" spans="1:35" x14ac:dyDescent="0.25">
      <c r="B24" s="163">
        <v>2008</v>
      </c>
      <c r="C24" s="148" t="s">
        <v>228</v>
      </c>
      <c r="D24" s="148" t="s">
        <v>229</v>
      </c>
      <c r="E24" s="267">
        <f>'Bayesian SD Ests (10Feb26rev)'!C24</f>
        <v>18262</v>
      </c>
      <c r="F24" s="267">
        <f>'Bayesian SD Ests (10Feb26rev)'!D24</f>
        <v>4073.0000000000005</v>
      </c>
      <c r="G24" s="268"/>
      <c r="H24" s="267">
        <f>'Bayesian SD Ests (10Feb26rev)'!F24</f>
        <v>3401</v>
      </c>
      <c r="I24" s="267">
        <f>'Bayesian SD Ests (10Feb26rev)'!G24</f>
        <v>1408</v>
      </c>
      <c r="K24" s="262">
        <f>'Bayesian SD Ests (10Feb26rev)'!U24</f>
        <v>23088</v>
      </c>
      <c r="L24" s="262">
        <f>'Bayesian SD Ests (10Feb26rev)'!V24</f>
        <v>4523</v>
      </c>
      <c r="N24" s="263">
        <v>21681</v>
      </c>
      <c r="O24" s="261">
        <f t="shared" si="6"/>
        <v>1407</v>
      </c>
      <c r="Q24" s="263">
        <f>'A6-Chin (NEW2+Khutz)'!$L29</f>
        <v>23088</v>
      </c>
      <c r="R24" s="263">
        <f t="shared" si="1"/>
        <v>21046.799999999999</v>
      </c>
      <c r="S24" s="261">
        <f>R24-'Data-PSC Chin (10Feb26)'!C23</f>
        <v>0</v>
      </c>
      <c r="U24" s="256">
        <v>2008</v>
      </c>
      <c r="V24" s="264">
        <f>'A6-Chin (NEW2+Khutz)'!G29</f>
        <v>174</v>
      </c>
      <c r="W24" s="265">
        <f>'Data-Sport-Inriver (CH - new)'!F21</f>
        <v>445</v>
      </c>
      <c r="X24" s="265">
        <f>'Data-Sport-Inriver (CH - new)'!G21</f>
        <v>330</v>
      </c>
      <c r="Y24" s="264">
        <f>'A6-Chin (NEW2+Khutz)'!H29</f>
        <v>775</v>
      </c>
      <c r="Z24" s="264">
        <f>'A6-Chin (NEW2+Khutz)'!I29</f>
        <v>1092.2</v>
      </c>
      <c r="AA24" s="266">
        <f t="shared" si="7"/>
        <v>2041.2</v>
      </c>
      <c r="AC24" s="262">
        <f>'Bayesian SD Ests (10Feb26rev)'!S24</f>
        <v>1598</v>
      </c>
      <c r="AD24" s="261">
        <f t="shared" si="2"/>
        <v>-443.20000000000005</v>
      </c>
      <c r="AF24" s="191">
        <f t="shared" si="3"/>
        <v>775</v>
      </c>
      <c r="AG24" s="191">
        <f t="shared" si="4"/>
        <v>0</v>
      </c>
      <c r="AI24" s="191">
        <f>R24-'A6-Chin (NEW2+Khutz)'!C29</f>
        <v>0</v>
      </c>
    </row>
    <row r="25" spans="1:35" x14ac:dyDescent="0.25">
      <c r="B25" s="163">
        <v>2009</v>
      </c>
      <c r="C25" s="148" t="s">
        <v>228</v>
      </c>
      <c r="D25" s="148" t="s">
        <v>229</v>
      </c>
      <c r="E25" s="267">
        <f>'Bayesian SD Ests (10Feb26rev)'!C25</f>
        <v>22816</v>
      </c>
      <c r="F25" s="267">
        <f>'Bayesian SD Ests (10Feb26rev)'!D25</f>
        <v>3933</v>
      </c>
      <c r="G25" s="268"/>
      <c r="H25" s="267">
        <f>'Bayesian SD Ests (10Feb26rev)'!F25</f>
        <v>4451</v>
      </c>
      <c r="I25" s="267">
        <f>'Bayesian SD Ests (10Feb26rev)'!G25</f>
        <v>1618</v>
      </c>
      <c r="K25" s="262">
        <f>'Bayesian SD Ests (10Feb26rev)'!U25</f>
        <v>30523</v>
      </c>
      <c r="L25" s="262">
        <f>'Bayesian SD Ests (10Feb26rev)'!V25</f>
        <v>4049.0000000000005</v>
      </c>
      <c r="N25" s="263">
        <v>30253</v>
      </c>
      <c r="O25" s="261">
        <f t="shared" si="6"/>
        <v>270</v>
      </c>
      <c r="Q25" s="263">
        <f>'A6-Chin (NEW2+Khutz)'!$L30</f>
        <v>30523</v>
      </c>
      <c r="R25" s="263">
        <f t="shared" si="1"/>
        <v>26500.400000000001</v>
      </c>
      <c r="S25" s="261">
        <f>R25-'Data-PSC Chin (10Feb26)'!C24</f>
        <v>0</v>
      </c>
      <c r="U25" s="256">
        <v>2009</v>
      </c>
      <c r="V25" s="264">
        <f>'A6-Chin (NEW2+Khutz)'!G30</f>
        <v>148</v>
      </c>
      <c r="W25" s="265">
        <f>'Data-Sport-Inriver (CH - new)'!F22</f>
        <v>615</v>
      </c>
      <c r="X25" s="265">
        <f>'Data-Sport-Inriver (CH - new)'!G22</f>
        <v>456</v>
      </c>
      <c r="Y25" s="264">
        <f>'A6-Chin (NEW2+Khutz)'!H30</f>
        <v>1071</v>
      </c>
      <c r="Z25" s="264">
        <f>'A6-Chin (NEW2+Khutz)'!I30</f>
        <v>2803.6</v>
      </c>
      <c r="AA25" s="266">
        <f t="shared" si="7"/>
        <v>4022.6</v>
      </c>
      <c r="AC25" s="262">
        <f>'Bayesian SD Ests (10Feb26rev)'!S25</f>
        <v>2374</v>
      </c>
      <c r="AD25" s="261">
        <f t="shared" si="2"/>
        <v>-1648.6</v>
      </c>
      <c r="AF25" s="191">
        <f t="shared" si="3"/>
        <v>1071</v>
      </c>
      <c r="AG25" s="191">
        <f t="shared" si="4"/>
        <v>0</v>
      </c>
      <c r="AI25" s="191">
        <f>R25-'A6-Chin (NEW2+Khutz)'!C30</f>
        <v>0</v>
      </c>
    </row>
    <row r="26" spans="1:35" x14ac:dyDescent="0.25">
      <c r="B26" s="163">
        <v>2010</v>
      </c>
      <c r="C26" s="148" t="s">
        <v>228</v>
      </c>
      <c r="D26" s="148" t="s">
        <v>229</v>
      </c>
      <c r="E26" s="267">
        <f>'Bayesian SD Ests (10Feb26rev)'!C26</f>
        <v>15934</v>
      </c>
      <c r="F26" s="267">
        <f>'Bayesian SD Ests (10Feb26rev)'!D26</f>
        <v>6033</v>
      </c>
      <c r="G26" s="268"/>
      <c r="H26" s="267">
        <f>'Bayesian SD Ests (10Feb26rev)'!F26</f>
        <v>2235</v>
      </c>
      <c r="I26" s="267">
        <f>'Bayesian SD Ests (10Feb26rev)'!G26</f>
        <v>1005</v>
      </c>
      <c r="K26" s="262">
        <f>'Bayesian SD Ests (10Feb26rev)'!U26</f>
        <v>20143</v>
      </c>
      <c r="L26" s="262">
        <f>'Bayesian SD Ests (10Feb26rev)'!V26</f>
        <v>6708</v>
      </c>
      <c r="N26" s="263">
        <v>20720</v>
      </c>
      <c r="O26" s="261">
        <f t="shared" si="6"/>
        <v>-577</v>
      </c>
      <c r="Q26" s="263">
        <f>'A6-Chin (NEW2+Khutz)'!$L31</f>
        <v>20143</v>
      </c>
      <c r="R26" s="263">
        <f t="shared" si="1"/>
        <v>17801.2</v>
      </c>
      <c r="S26" s="261">
        <f>R26-'Data-PSC Chin (10Feb26)'!C25</f>
        <v>0</v>
      </c>
      <c r="U26" s="256">
        <v>2010</v>
      </c>
      <c r="V26" s="264">
        <f>'A6-Chin (NEW2+Khutz)'!G31</f>
        <v>88</v>
      </c>
      <c r="W26" s="265">
        <f>'Data-Sport-Inriver (CH - new)'!F23</f>
        <v>264</v>
      </c>
      <c r="X26" s="265">
        <f>'Data-Sport-Inriver (CH - new)'!G23</f>
        <v>270</v>
      </c>
      <c r="Y26" s="264">
        <f>'A6-Chin (NEW2+Khutz)'!H31</f>
        <v>534</v>
      </c>
      <c r="Z26" s="264">
        <f>'A6-Chin (NEW2+Khutz)'!I31</f>
        <v>1719.8</v>
      </c>
      <c r="AA26" s="266">
        <f t="shared" si="7"/>
        <v>2341.8000000000002</v>
      </c>
      <c r="AC26" s="262">
        <f>'Bayesian SD Ests (10Feb26rev)'!S26</f>
        <v>1907</v>
      </c>
      <c r="AD26" s="261">
        <f t="shared" si="2"/>
        <v>-434.80000000000018</v>
      </c>
      <c r="AF26" s="191">
        <f t="shared" si="3"/>
        <v>534</v>
      </c>
      <c r="AG26" s="191">
        <f t="shared" si="4"/>
        <v>0</v>
      </c>
      <c r="AI26" s="191">
        <f>R26-'A6-Chin (NEW2+Khutz)'!C31</f>
        <v>0</v>
      </c>
    </row>
    <row r="27" spans="1:35" x14ac:dyDescent="0.25">
      <c r="A27" s="148" t="s">
        <v>230</v>
      </c>
      <c r="B27" s="269">
        <v>2011</v>
      </c>
      <c r="C27" s="270" t="s">
        <v>231</v>
      </c>
      <c r="D27" s="270" t="s">
        <v>232</v>
      </c>
      <c r="E27" s="267">
        <f>'Bayesian SD Ests (10Feb26rev)'!C27</f>
        <v>9812</v>
      </c>
      <c r="F27" s="267">
        <f>'Bayesian SD Ests (10Feb26rev)'!D27</f>
        <v>1085</v>
      </c>
      <c r="G27" s="268"/>
      <c r="H27" s="267">
        <f>'Bayesian SD Ests (10Feb26rev)'!F27</f>
        <v>1273</v>
      </c>
      <c r="I27" s="267">
        <f>'Bayesian SD Ests (10Feb26rev)'!G27</f>
        <v>524</v>
      </c>
      <c r="K27" s="262">
        <f>'Bayesian SD Ests (10Feb26rev)'!U27</f>
        <v>12437</v>
      </c>
      <c r="L27" s="262">
        <f>'Bayesian SD Ests (10Feb26rev)'!V27</f>
        <v>1234</v>
      </c>
      <c r="N27" s="271">
        <v>11572.809203142537</v>
      </c>
      <c r="O27" s="272">
        <f t="shared" si="6"/>
        <v>864.19079685746328</v>
      </c>
      <c r="Q27" s="263">
        <f>'A6-Chin (NEW2+Khutz)'!$L32</f>
        <v>12437</v>
      </c>
      <c r="R27" s="263">
        <f t="shared" si="1"/>
        <v>10555.2</v>
      </c>
      <c r="S27" s="261">
        <f>R27-'Data-PSC Chin (10Feb26)'!C26</f>
        <v>0</v>
      </c>
      <c r="U27" s="256">
        <v>2011</v>
      </c>
      <c r="V27" s="264">
        <f>'A6-Chin (NEW2+Khutz)'!G32</f>
        <v>103</v>
      </c>
      <c r="W27" s="265">
        <f>'Data-Sport-Inriver (CH - new)'!F24</f>
        <v>421</v>
      </c>
      <c r="X27" s="265">
        <f>'Data-Sport-Inriver (CH - new)'!G24</f>
        <v>121</v>
      </c>
      <c r="Y27" s="264">
        <f>'A6-Chin (NEW2+Khutz)'!H32</f>
        <v>542</v>
      </c>
      <c r="Z27" s="264">
        <f>'A6-Chin (NEW2+Khutz)'!I32</f>
        <v>1236.8</v>
      </c>
      <c r="AA27" s="266">
        <f t="shared" si="7"/>
        <v>1881.8</v>
      </c>
      <c r="AC27" s="262">
        <f>'Bayesian SD Ests (10Feb26rev)'!S27</f>
        <v>1455</v>
      </c>
      <c r="AD27" s="261">
        <f t="shared" si="2"/>
        <v>-426.79999999999995</v>
      </c>
      <c r="AF27" s="191">
        <f t="shared" si="3"/>
        <v>542</v>
      </c>
      <c r="AG27" s="191">
        <f t="shared" si="4"/>
        <v>0</v>
      </c>
      <c r="AI27" s="191">
        <f>R27-'A6-Chin (NEW2+Khutz)'!C32</f>
        <v>0</v>
      </c>
    </row>
    <row r="28" spans="1:35" x14ac:dyDescent="0.25">
      <c r="A28" s="148" t="s">
        <v>230</v>
      </c>
      <c r="B28" s="269">
        <v>2012</v>
      </c>
      <c r="C28" s="270" t="s">
        <v>231</v>
      </c>
      <c r="D28" s="270" t="s">
        <v>232</v>
      </c>
      <c r="E28" s="267">
        <f>'Bayesian SD Ests (10Feb26rev)'!C28</f>
        <v>8522</v>
      </c>
      <c r="F28" s="267">
        <f>'Bayesian SD Ests (10Feb26rev)'!D28</f>
        <v>637</v>
      </c>
      <c r="G28" s="268"/>
      <c r="H28" s="267">
        <f>'Bayesian SD Ests (10Feb26rev)'!F28</f>
        <v>1202</v>
      </c>
      <c r="I28" s="267">
        <f>'Bayesian SD Ests (10Feb26rev)'!G28</f>
        <v>413</v>
      </c>
      <c r="K28" s="262">
        <f>'Bayesian SD Ests (10Feb26rev)'!U28</f>
        <v>11485</v>
      </c>
      <c r="L28" s="262">
        <f>'Bayesian SD Ests (10Feb26rev)'!V28</f>
        <v>740</v>
      </c>
      <c r="N28" s="271">
        <v>10784.658926218708</v>
      </c>
      <c r="O28" s="272">
        <f t="shared" si="6"/>
        <v>700.34107378129193</v>
      </c>
      <c r="Q28" s="263">
        <f>'A6-Chin (NEW2+Khutz)'!$L33</f>
        <v>11485</v>
      </c>
      <c r="R28" s="263">
        <f t="shared" si="1"/>
        <v>9380.7999999999993</v>
      </c>
      <c r="S28" s="261">
        <f>R28-'Data-PSC Chin (10Feb26)'!C27</f>
        <v>0</v>
      </c>
      <c r="U28" s="256">
        <v>2012</v>
      </c>
      <c r="V28" s="264">
        <f>'A6-Chin (NEW2+Khutz)'!G33</f>
        <v>105</v>
      </c>
      <c r="W28" s="265">
        <f>'Data-Sport-Inriver (CH - new)'!F25</f>
        <v>203</v>
      </c>
      <c r="X28" s="265">
        <f>'Data-Sport-Inriver (CH - new)'!G25</f>
        <v>329</v>
      </c>
      <c r="Y28" s="264">
        <f>'A6-Chin (NEW2+Khutz)'!H33</f>
        <v>532</v>
      </c>
      <c r="Z28" s="264">
        <f>'A6-Chin (NEW2+Khutz)'!I33</f>
        <v>1467.2</v>
      </c>
      <c r="AA28" s="266">
        <f t="shared" si="7"/>
        <v>2104.1999999999998</v>
      </c>
      <c r="AC28" s="262">
        <f>'Bayesian SD Ests (10Feb26rev)'!S28</f>
        <v>1866</v>
      </c>
      <c r="AD28" s="261">
        <f t="shared" si="2"/>
        <v>-238.19999999999982</v>
      </c>
      <c r="AF28" s="191">
        <f t="shared" si="3"/>
        <v>532</v>
      </c>
      <c r="AG28" s="191">
        <f t="shared" si="4"/>
        <v>0</v>
      </c>
      <c r="AI28" s="191">
        <f>R28-'A6-Chin (NEW2+Khutz)'!C33</f>
        <v>0</v>
      </c>
    </row>
    <row r="29" spans="1:35" x14ac:dyDescent="0.25">
      <c r="A29" s="148" t="s">
        <v>230</v>
      </c>
      <c r="B29" s="269">
        <v>2013</v>
      </c>
      <c r="C29" s="270" t="s">
        <v>231</v>
      </c>
      <c r="D29" s="270" t="s">
        <v>232</v>
      </c>
      <c r="E29" s="267">
        <f>'Bayesian SD Ests (10Feb26rev)'!C29</f>
        <v>8057</v>
      </c>
      <c r="F29" s="267">
        <f>'Bayesian SD Ests (10Feb26rev)'!D29</f>
        <v>844</v>
      </c>
      <c r="G29" s="268"/>
      <c r="H29" s="267">
        <f>'Bayesian SD Ests (10Feb26rev)'!F29</f>
        <v>1596</v>
      </c>
      <c r="I29" s="267">
        <f>'Bayesian SD Ests (10Feb26rev)'!G29</f>
        <v>349</v>
      </c>
      <c r="K29" s="262">
        <f>'Bayesian SD Ests (10Feb26rev)'!U29</f>
        <v>11596</v>
      </c>
      <c r="L29" s="262">
        <f>'Bayesian SD Ests (10Feb26rev)'!V29</f>
        <v>987</v>
      </c>
      <c r="N29" s="271">
        <v>10239.835630965006</v>
      </c>
      <c r="O29" s="272">
        <f t="shared" si="6"/>
        <v>1356.1643690349938</v>
      </c>
      <c r="Q29" s="263">
        <f>'A6-Chin (NEW2+Khutz)'!$L34</f>
        <v>11596</v>
      </c>
      <c r="R29" s="263">
        <f t="shared" si="1"/>
        <v>9342.4</v>
      </c>
      <c r="S29" s="261">
        <f>R29-'Data-PSC Chin (10Feb26)'!C28</f>
        <v>0</v>
      </c>
      <c r="U29" s="256">
        <v>2013</v>
      </c>
      <c r="V29" s="264">
        <f>'A6-Chin (NEW2+Khutz)'!G34</f>
        <v>52</v>
      </c>
      <c r="W29" s="265">
        <f>'Data-Sport-Inriver (CH - new)'!F26</f>
        <v>235</v>
      </c>
      <c r="X29" s="265">
        <f>'Data-Sport-Inriver (CH - new)'!G26</f>
        <v>231</v>
      </c>
      <c r="Y29" s="264">
        <f>'A6-Chin (NEW2+Khutz)'!H34</f>
        <v>466</v>
      </c>
      <c r="Z29" s="264">
        <f>'A6-Chin (NEW2+Khutz)'!I34</f>
        <v>1735.6</v>
      </c>
      <c r="AA29" s="266">
        <f t="shared" si="7"/>
        <v>2253.6</v>
      </c>
      <c r="AC29" s="262">
        <f>'Bayesian SD Ests (10Feb26rev)'!S29</f>
        <v>1995</v>
      </c>
      <c r="AD29" s="261">
        <f t="shared" si="2"/>
        <v>-258.59999999999991</v>
      </c>
      <c r="AF29" s="191">
        <f t="shared" si="3"/>
        <v>466</v>
      </c>
      <c r="AG29" s="191">
        <f t="shared" si="4"/>
        <v>0</v>
      </c>
      <c r="AI29" s="191">
        <f>R29-'A6-Chin (NEW2+Khutz)'!C34</f>
        <v>0</v>
      </c>
    </row>
    <row r="30" spans="1:35" x14ac:dyDescent="0.25">
      <c r="A30" s="148" t="s">
        <v>230</v>
      </c>
      <c r="B30" s="269">
        <v>2014</v>
      </c>
      <c r="C30" s="270" t="s">
        <v>231</v>
      </c>
      <c r="D30" s="270" t="s">
        <v>232</v>
      </c>
      <c r="E30" s="267">
        <f>'Bayesian SD Ests (10Feb26rev)'!C30</f>
        <v>11786</v>
      </c>
      <c r="F30" s="267">
        <f>'Bayesian SD Ests (10Feb26rev)'!D30</f>
        <v>1993</v>
      </c>
      <c r="G30" s="268"/>
      <c r="H30" s="267">
        <f>'Bayesian SD Ests (10Feb26rev)'!F30</f>
        <v>2555</v>
      </c>
      <c r="I30" s="267">
        <f>'Bayesian SD Ests (10Feb26rev)'!G30</f>
        <v>661</v>
      </c>
      <c r="K30" s="262">
        <f>'Bayesian SD Ests (10Feb26rev)'!U30</f>
        <v>16790</v>
      </c>
      <c r="L30" s="262">
        <f>'Bayesian SD Ests (10Feb26rev)'!V30</f>
        <v>2370</v>
      </c>
      <c r="N30" s="271">
        <v>14354</v>
      </c>
      <c r="O30" s="272">
        <f t="shared" si="6"/>
        <v>2436</v>
      </c>
      <c r="Q30" s="263">
        <f>'A6-Chin (NEW2+Khutz)'!$L35</f>
        <v>16790</v>
      </c>
      <c r="R30" s="263">
        <f t="shared" si="1"/>
        <v>13909.2</v>
      </c>
      <c r="S30" s="261">
        <f>R30-'Data-PSC Chin (10Feb26)'!C29</f>
        <v>0</v>
      </c>
      <c r="U30" s="256">
        <v>2014</v>
      </c>
      <c r="V30" s="264">
        <f>'A6-Chin (NEW2+Khutz)'!G35</f>
        <v>72</v>
      </c>
      <c r="W30" s="265">
        <f>'Data-Sport-Inriver (CH - new)'!F27</f>
        <v>333</v>
      </c>
      <c r="X30" s="265">
        <f>'Data-Sport-Inriver (CH - new)'!G27</f>
        <v>530</v>
      </c>
      <c r="Y30" s="264">
        <f>'A6-Chin (NEW2+Khutz)'!H35</f>
        <v>863</v>
      </c>
      <c r="Z30" s="264">
        <f>'A6-Chin (NEW2+Khutz)'!I35</f>
        <v>1945.8</v>
      </c>
      <c r="AA30" s="266">
        <f t="shared" si="7"/>
        <v>2880.8</v>
      </c>
      <c r="AC30" s="262">
        <f>'Bayesian SD Ests (10Feb26rev)'!S30</f>
        <v>2521</v>
      </c>
      <c r="AD30" s="261">
        <f t="shared" si="2"/>
        <v>-359.80000000000018</v>
      </c>
      <c r="AF30" s="191">
        <f t="shared" si="3"/>
        <v>863</v>
      </c>
      <c r="AG30" s="191">
        <f t="shared" si="4"/>
        <v>0</v>
      </c>
      <c r="AI30" s="191">
        <f>R30-'A6-Chin (NEW2+Khutz)'!C35</f>
        <v>0</v>
      </c>
    </row>
    <row r="31" spans="1:35" x14ac:dyDescent="0.25">
      <c r="A31" s="148" t="s">
        <v>230</v>
      </c>
      <c r="B31" s="269">
        <v>2015</v>
      </c>
      <c r="C31" s="270" t="s">
        <v>231</v>
      </c>
      <c r="D31" s="270" t="s">
        <v>232</v>
      </c>
      <c r="E31" s="267">
        <f>'Bayesian SD Ests (10Feb26rev)'!C31</f>
        <v>16571</v>
      </c>
      <c r="F31" s="267">
        <f>'Bayesian SD Ests (10Feb26rev)'!D31</f>
        <v>2094</v>
      </c>
      <c r="G31" s="268"/>
      <c r="H31" s="267">
        <f>'Bayesian SD Ests (10Feb26rev)'!F31</f>
        <v>3497</v>
      </c>
      <c r="I31" s="267">
        <f>'Bayesian SD Ests (10Feb26rev)'!G31</f>
        <v>1581</v>
      </c>
      <c r="K31" s="262">
        <f>'Bayesian SD Ests (10Feb26rev)'!U31</f>
        <v>23555</v>
      </c>
      <c r="L31" s="262">
        <f>'Bayesian SD Ests (10Feb26rev)'!V31</f>
        <v>2481</v>
      </c>
      <c r="N31" s="271">
        <v>22262</v>
      </c>
      <c r="O31" s="272">
        <f t="shared" si="6"/>
        <v>1293</v>
      </c>
      <c r="Q31" s="263">
        <f>'A6-Chin (NEW2+Khutz)'!$L36</f>
        <v>23555</v>
      </c>
      <c r="R31" s="263">
        <f t="shared" si="1"/>
        <v>19532.2</v>
      </c>
      <c r="S31" s="261">
        <f>R31-'Data-PSC Chin (10Feb26)'!C30</f>
        <v>0</v>
      </c>
      <c r="U31" s="256">
        <v>2015</v>
      </c>
      <c r="V31" s="264">
        <f>'A6-Chin (NEW2+Khutz)'!G36</f>
        <v>252</v>
      </c>
      <c r="W31" s="265">
        <f>'Data-Sport-Inriver (CH - new)'!F28</f>
        <v>264</v>
      </c>
      <c r="X31" s="265">
        <f>'Data-Sport-Inriver (CH - new)'!G28</f>
        <v>309</v>
      </c>
      <c r="Y31" s="264">
        <f>'A6-Chin (NEW2+Khutz)'!H36</f>
        <v>573</v>
      </c>
      <c r="Z31" s="264">
        <f>'A6-Chin (NEW2+Khutz)'!I36</f>
        <v>3197.8</v>
      </c>
      <c r="AA31" s="266">
        <f t="shared" si="7"/>
        <v>4022.8</v>
      </c>
      <c r="AC31" s="262">
        <f>'Bayesian SD Ests (10Feb26rev)'!S31</f>
        <v>3738</v>
      </c>
      <c r="AD31" s="261">
        <f t="shared" si="2"/>
        <v>-284.80000000000018</v>
      </c>
      <c r="AF31" s="191">
        <f t="shared" si="3"/>
        <v>573</v>
      </c>
      <c r="AG31" s="191">
        <f t="shared" si="4"/>
        <v>0</v>
      </c>
      <c r="AI31" s="191">
        <f>R31-'A6-Chin (NEW2+Khutz)'!C36</f>
        <v>0</v>
      </c>
    </row>
    <row r="32" spans="1:35" x14ac:dyDescent="0.25">
      <c r="A32" s="148" t="s">
        <v>230</v>
      </c>
      <c r="B32" s="269">
        <v>2016</v>
      </c>
      <c r="C32" s="270" t="s">
        <v>231</v>
      </c>
      <c r="D32" s="270" t="s">
        <v>232</v>
      </c>
      <c r="E32" s="267">
        <f>'Bayesian SD Ests (10Feb26rev)'!C32</f>
        <v>9415</v>
      </c>
      <c r="F32" s="267">
        <f>'Bayesian SD Ests (10Feb26rev)'!D32</f>
        <v>1227</v>
      </c>
      <c r="G32" s="268"/>
      <c r="H32" s="267">
        <f>'Bayesian SD Ests (10Feb26rev)'!F32</f>
        <v>1953</v>
      </c>
      <c r="I32" s="267">
        <f>'Bayesian SD Ests (10Feb26rev)'!G32</f>
        <v>999</v>
      </c>
      <c r="K32" s="262">
        <f>'Bayesian SD Ests (10Feb26rev)'!U32</f>
        <v>12998</v>
      </c>
      <c r="L32" s="262">
        <f>'Bayesian SD Ests (10Feb26rev)'!V32</f>
        <v>1622</v>
      </c>
      <c r="N32" s="271">
        <v>11009.17808219178</v>
      </c>
      <c r="O32" s="272">
        <f t="shared" si="6"/>
        <v>1988.82191780822</v>
      </c>
      <c r="Q32" s="263">
        <f>'A6-Chin (NEW2+Khutz)'!$L37</f>
        <v>12998</v>
      </c>
      <c r="R32" s="263">
        <f t="shared" si="1"/>
        <v>11020.6</v>
      </c>
      <c r="S32" s="261">
        <f>R32-'Data-PSC Chin (10Feb26)'!C31</f>
        <v>0</v>
      </c>
      <c r="U32" s="256">
        <v>2016</v>
      </c>
      <c r="V32" s="264">
        <f>'A6-Chin (NEW2+Khutz)'!G37</f>
        <v>114</v>
      </c>
      <c r="W32" s="265">
        <f>'Data-Sport-Inriver (CH - new)'!F29</f>
        <v>228</v>
      </c>
      <c r="X32" s="265">
        <f>'Data-Sport-Inriver (CH - new)'!G29</f>
        <v>111</v>
      </c>
      <c r="Y32" s="264">
        <f>'A6-Chin (NEW2+Khutz)'!H37</f>
        <v>339</v>
      </c>
      <c r="Z32" s="264">
        <f>'A6-Chin (NEW2+Khutz)'!I37</f>
        <v>1524.4</v>
      </c>
      <c r="AA32" s="266">
        <f t="shared" si="7"/>
        <v>1977.4</v>
      </c>
      <c r="AC32" s="262">
        <f>'Bayesian SD Ests (10Feb26rev)'!S32</f>
        <v>1744</v>
      </c>
      <c r="AD32" s="261">
        <f t="shared" si="2"/>
        <v>-233.40000000000009</v>
      </c>
      <c r="AF32" s="191">
        <f t="shared" si="3"/>
        <v>339</v>
      </c>
      <c r="AG32" s="191">
        <f t="shared" si="4"/>
        <v>0</v>
      </c>
      <c r="AI32" s="191">
        <f>R32-'A6-Chin (NEW2+Khutz)'!C37</f>
        <v>0</v>
      </c>
    </row>
    <row r="33" spans="1:35" x14ac:dyDescent="0.25">
      <c r="A33" s="148" t="s">
        <v>230</v>
      </c>
      <c r="B33" s="269">
        <v>2017</v>
      </c>
      <c r="C33" s="270" t="s">
        <v>231</v>
      </c>
      <c r="D33" s="270" t="s">
        <v>232</v>
      </c>
      <c r="E33" s="267">
        <f>'Bayesian SD Ests (10Feb26rev)'!C33</f>
        <v>4812</v>
      </c>
      <c r="F33" s="267">
        <f>'Bayesian SD Ests (10Feb26rev)'!D33</f>
        <v>1240</v>
      </c>
      <c r="G33" s="268"/>
      <c r="H33" s="267">
        <f>'Bayesian SD Ests (10Feb26rev)'!F33</f>
        <v>1202</v>
      </c>
      <c r="I33" s="267">
        <f>'Bayesian SD Ests (10Feb26rev)'!G33</f>
        <v>449</v>
      </c>
      <c r="K33" s="262">
        <f>'Bayesian SD Ests (10Feb26rev)'!U33</f>
        <v>7070</v>
      </c>
      <c r="L33" s="262">
        <f>'Bayesian SD Ests (10Feb26rev)'!V33</f>
        <v>1514</v>
      </c>
      <c r="N33" s="271">
        <v>5677.2475499677621</v>
      </c>
      <c r="O33" s="272">
        <f t="shared" si="6"/>
        <v>1392.7524500322379</v>
      </c>
      <c r="Q33" s="263">
        <f>'A6-Chin (NEW2+Khutz)'!$L38</f>
        <v>7070</v>
      </c>
      <c r="R33" s="263">
        <f t="shared" si="1"/>
        <v>5793.8</v>
      </c>
      <c r="S33" s="261">
        <f>R33-'Data-PSC Chin (10Feb26)'!C32</f>
        <v>0</v>
      </c>
      <c r="U33" s="256">
        <v>2017</v>
      </c>
      <c r="V33" s="264">
        <f>'A6-Chin (NEW2+Khutz)'!G38</f>
        <v>76</v>
      </c>
      <c r="W33" s="265">
        <f>'Data-Sport-Inriver (CH - new)'!F30</f>
        <v>138</v>
      </c>
      <c r="X33" s="265">
        <f>'Data-Sport-Inriver (CH - new)'!G30</f>
        <v>8</v>
      </c>
      <c r="Y33" s="264">
        <f>'A6-Chin (NEW2+Khutz)'!H38</f>
        <v>146</v>
      </c>
      <c r="Z33" s="264">
        <f>'A6-Chin (NEW2+Khutz)'!I38</f>
        <v>1054.2</v>
      </c>
      <c r="AA33" s="266">
        <f t="shared" si="7"/>
        <v>1276.2</v>
      </c>
      <c r="AC33" s="262">
        <f>'Bayesian SD Ests (10Feb26rev)'!S33</f>
        <v>1132</v>
      </c>
      <c r="AD33" s="261">
        <f t="shared" si="2"/>
        <v>-144.20000000000005</v>
      </c>
      <c r="AF33" s="191">
        <f t="shared" si="3"/>
        <v>146</v>
      </c>
      <c r="AG33" s="191">
        <f t="shared" si="4"/>
        <v>0</v>
      </c>
      <c r="AI33" s="191">
        <f>R33-'A6-Chin (NEW2+Khutz)'!C38</f>
        <v>0</v>
      </c>
    </row>
    <row r="34" spans="1:35" x14ac:dyDescent="0.25">
      <c r="A34" s="148" t="s">
        <v>230</v>
      </c>
      <c r="B34" s="269">
        <v>2018</v>
      </c>
      <c r="C34" s="270" t="s">
        <v>228</v>
      </c>
      <c r="D34" s="270" t="s">
        <v>232</v>
      </c>
      <c r="E34" s="267">
        <f>'Bayesian SD Ests (10Feb26rev)'!C34</f>
        <v>14913</v>
      </c>
      <c r="F34" s="267">
        <f>'Bayesian SD Ests (10Feb26rev)'!D34</f>
        <v>3468</v>
      </c>
      <c r="G34" s="268"/>
      <c r="H34" s="267">
        <f>'Bayesian SD Ests (10Feb26rev)'!F34</f>
        <v>3247</v>
      </c>
      <c r="I34" s="267">
        <f>'Bayesian SD Ests (10Feb26rev)'!G34</f>
        <v>1027</v>
      </c>
      <c r="K34" s="262">
        <f>'Bayesian SD Ests (10Feb26rev)'!U34</f>
        <v>20083</v>
      </c>
      <c r="L34" s="262">
        <f>'Bayesian SD Ests (10Feb26rev)'!V34</f>
        <v>4154</v>
      </c>
      <c r="N34" s="271">
        <v>16289</v>
      </c>
      <c r="O34" s="272">
        <f t="shared" si="6"/>
        <v>3794</v>
      </c>
      <c r="Q34" s="263">
        <f>'A6-Chin (NEW2+Khutz)'!$L39</f>
        <v>20083</v>
      </c>
      <c r="R34" s="263">
        <f t="shared" si="1"/>
        <v>17886.500664740754</v>
      </c>
      <c r="S34" s="261">
        <f>R34-'Data-PSC Chin (10Feb26)'!C33</f>
        <v>0</v>
      </c>
      <c r="U34" s="256">
        <v>2018</v>
      </c>
      <c r="V34" s="264">
        <f>'A6-Chin (NEW2+Khutz)'!G39</f>
        <v>40</v>
      </c>
      <c r="W34" s="265">
        <f>'Data-Sport-Inriver (CH - new)'!F31</f>
        <v>195.05106201840317</v>
      </c>
      <c r="X34" s="265">
        <f>'Data-Sport-Inriver (CH - new)'!G31</f>
        <v>144.04827324084386</v>
      </c>
      <c r="Y34" s="264">
        <f>'A6-Chin (NEW2+Khutz)'!H39</f>
        <v>339.09933525924703</v>
      </c>
      <c r="Z34" s="264">
        <f>'A6-Chin (NEW2+Khutz)'!I39</f>
        <v>1817.4</v>
      </c>
      <c r="AA34" s="266">
        <f t="shared" si="7"/>
        <v>2196.4993352592473</v>
      </c>
      <c r="AC34" s="262">
        <f>'Bayesian SD Ests (10Feb26rev)'!S34</f>
        <v>1965</v>
      </c>
      <c r="AD34" s="261">
        <f t="shared" si="2"/>
        <v>-231.49933525924735</v>
      </c>
      <c r="AF34" s="191">
        <f t="shared" si="3"/>
        <v>339.09933525924703</v>
      </c>
      <c r="AG34" s="191">
        <f t="shared" si="4"/>
        <v>0</v>
      </c>
      <c r="AI34" s="191">
        <f>R34-'A6-Chin (NEW2+Khutz)'!C39</f>
        <v>0</v>
      </c>
    </row>
    <row r="35" spans="1:35" x14ac:dyDescent="0.25">
      <c r="A35" s="148" t="s">
        <v>230</v>
      </c>
      <c r="B35" s="269">
        <v>2019</v>
      </c>
      <c r="C35" s="270" t="s">
        <v>231</v>
      </c>
      <c r="D35" s="270" t="s">
        <v>232</v>
      </c>
      <c r="E35" s="267">
        <f>'Bayesian SD Ests (10Feb26rev)'!C35</f>
        <v>9540</v>
      </c>
      <c r="F35" s="267">
        <f>'Bayesian SD Ests (10Feb26rev)'!D35</f>
        <v>1209</v>
      </c>
      <c r="G35" s="268"/>
      <c r="H35" s="267">
        <f>'Bayesian SD Ests (10Feb26rev)'!F35</f>
        <v>2449</v>
      </c>
      <c r="I35" s="267">
        <f>'Bayesian SD Ests (10Feb26rev)'!G35</f>
        <v>582</v>
      </c>
      <c r="K35" s="262">
        <f>'Bayesian SD Ests (10Feb26rev)'!U35</f>
        <v>14318</v>
      </c>
      <c r="L35" s="262">
        <f>'Bayesian SD Ests (10Feb26rev)'!V35</f>
        <v>1471</v>
      </c>
      <c r="N35" s="271">
        <v>13210.571428571428</v>
      </c>
      <c r="O35" s="272">
        <f t="shared" si="6"/>
        <v>1107.4285714285725</v>
      </c>
      <c r="Q35" s="263">
        <f>'A6-Chin (NEW2+Khutz)'!$L40</f>
        <v>14318</v>
      </c>
      <c r="R35" s="263">
        <f t="shared" si="1"/>
        <v>11713.507023075654</v>
      </c>
      <c r="S35" s="261">
        <f>R35-'Data-PSC Chin (10Feb26)'!C34</f>
        <v>0</v>
      </c>
      <c r="U35" s="256">
        <v>2019</v>
      </c>
      <c r="V35" s="264">
        <f>'A6-Chin (NEW2+Khutz)'!G40</f>
        <v>110</v>
      </c>
      <c r="W35" s="265">
        <f>'Data-Sport-Inriver (CH - new)'!F32</f>
        <v>145.11975687376798</v>
      </c>
      <c r="X35" s="265">
        <f>'Data-Sport-Inriver (CH - new)'!G32</f>
        <v>107.17322005057849</v>
      </c>
      <c r="Y35" s="264">
        <f>'A6-Chin (NEW2+Khutz)'!H40</f>
        <v>252.29297692434648</v>
      </c>
      <c r="Z35" s="264">
        <f>'A6-Chin (NEW2+Khutz)'!I40</f>
        <v>2242.1999999999998</v>
      </c>
      <c r="AA35" s="266">
        <f t="shared" si="7"/>
        <v>2604.4929769243463</v>
      </c>
      <c r="AC35" s="262">
        <f>'Bayesian SD Ests (10Feb26rev)'!S35</f>
        <v>2440</v>
      </c>
      <c r="AD35" s="261">
        <f t="shared" si="2"/>
        <v>-164.49297692434629</v>
      </c>
      <c r="AF35" s="191">
        <f t="shared" si="3"/>
        <v>252.29297692434648</v>
      </c>
      <c r="AG35" s="191">
        <f t="shared" si="4"/>
        <v>0</v>
      </c>
      <c r="AI35" s="191">
        <f>R35-'A6-Chin (NEW2+Khutz)'!C40</f>
        <v>0</v>
      </c>
    </row>
    <row r="36" spans="1:35" x14ac:dyDescent="0.25">
      <c r="B36" s="273">
        <v>2020</v>
      </c>
      <c r="C36" s="274" t="s">
        <v>231</v>
      </c>
      <c r="D36" s="274" t="s">
        <v>232</v>
      </c>
      <c r="E36" s="267">
        <f>'Bayesian SD Ests (10Feb26rev)'!C36</f>
        <v>10636</v>
      </c>
      <c r="F36" s="267">
        <f>'Bayesian SD Ests (10Feb26rev)'!D36</f>
        <v>1086</v>
      </c>
      <c r="G36" s="268"/>
      <c r="H36" s="267">
        <f>'Bayesian SD Ests (10Feb26rev)'!F36</f>
        <v>2590</v>
      </c>
      <c r="I36" s="267">
        <f>'Bayesian SD Ests (10Feb26rev)'!G36</f>
        <v>669</v>
      </c>
      <c r="K36" s="262">
        <f>'Bayesian SD Ests (10Feb26rev)'!U36</f>
        <v>15309</v>
      </c>
      <c r="L36" s="262">
        <f>'Bayesian SD Ests (10Feb26rev)'!V36</f>
        <v>1406</v>
      </c>
      <c r="N36" s="263">
        <v>14930.648310387985</v>
      </c>
      <c r="O36" s="261">
        <f t="shared" si="6"/>
        <v>378.35168961201452</v>
      </c>
      <c r="Q36" s="263">
        <f>'A6-Chin (NEW2+Khutz)'!$L41</f>
        <v>15309</v>
      </c>
      <c r="R36" s="263">
        <f t="shared" si="1"/>
        <v>12828.597538855378</v>
      </c>
      <c r="S36" s="261">
        <f>R36-'Data-PSC Chin (10Feb26)'!C35</f>
        <v>0</v>
      </c>
      <c r="U36" s="256">
        <v>2020</v>
      </c>
      <c r="V36" s="264">
        <f>'A6-Chin (NEW2+Khutz)'!G41</f>
        <v>266</v>
      </c>
      <c r="W36" s="265">
        <f>'Data-Sport-Inriver (CH - new)'!F33</f>
        <v>132.06809696061282</v>
      </c>
      <c r="X36" s="265">
        <f>'Data-Sport-Inriver (CH - new)'!G33</f>
        <v>97.534364184008751</v>
      </c>
      <c r="Y36" s="264">
        <f>'A6-Chin (NEW2+Khutz)'!H41</f>
        <v>229.60246114462157</v>
      </c>
      <c r="Z36" s="264">
        <f>'A6-Chin (NEW2+Khutz)'!I41</f>
        <v>1984.8</v>
      </c>
      <c r="AA36" s="266">
        <f t="shared" si="7"/>
        <v>2480.4024611446216</v>
      </c>
      <c r="AC36" s="262">
        <f>'Bayesian SD Ests (10Feb26rev)'!S36</f>
        <v>2350</v>
      </c>
      <c r="AD36" s="261">
        <f t="shared" si="2"/>
        <v>-130.40246114462161</v>
      </c>
      <c r="AF36" s="191">
        <f t="shared" si="3"/>
        <v>229.60246114462157</v>
      </c>
      <c r="AG36" s="191">
        <f t="shared" si="4"/>
        <v>0</v>
      </c>
      <c r="AI36" s="191">
        <f>R36-'A6-Chin (NEW2+Khutz)'!C41</f>
        <v>0</v>
      </c>
    </row>
    <row r="37" spans="1:35" x14ac:dyDescent="0.25">
      <c r="B37" s="273">
        <v>2021</v>
      </c>
      <c r="C37" s="274" t="s">
        <v>231</v>
      </c>
      <c r="D37" s="274" t="s">
        <v>232</v>
      </c>
      <c r="E37" s="267">
        <f>'Bayesian SD Ests (10Feb26rev)'!C37</f>
        <v>10627</v>
      </c>
      <c r="F37" s="267">
        <f>'Bayesian SD Ests (10Feb26rev)'!D37</f>
        <v>904</v>
      </c>
      <c r="G37" s="268"/>
      <c r="H37" s="267">
        <f>'Bayesian SD Ests (10Feb26rev)'!F37</f>
        <v>1632</v>
      </c>
      <c r="I37" s="267">
        <f>'Bayesian SD Ests (10Feb26rev)'!G37</f>
        <v>495</v>
      </c>
      <c r="K37" s="262">
        <f>'Bayesian SD Ests (10Feb26rev)'!U37</f>
        <v>13380</v>
      </c>
      <c r="L37" s="262">
        <f>'Bayesian SD Ests (10Feb26rev)'!V37</f>
        <v>1101</v>
      </c>
      <c r="N37" s="263">
        <v>12967.867777777778</v>
      </c>
      <c r="O37" s="261">
        <f t="shared" si="6"/>
        <v>412.13222222222248</v>
      </c>
      <c r="Q37" s="263">
        <f>'A6-Chin (NEW2+Khutz)'!$L42</f>
        <v>13380</v>
      </c>
      <c r="R37" s="263">
        <f t="shared" si="1"/>
        <v>11766.207465205587</v>
      </c>
      <c r="S37" s="261">
        <f>R37-'Data-PSC Chin (10Feb26)'!C36</f>
        <v>0</v>
      </c>
      <c r="U37" s="256">
        <v>2021</v>
      </c>
      <c r="V37" s="264">
        <f>'A6-Chin (NEW2+Khutz)'!G42</f>
        <v>299</v>
      </c>
      <c r="W37" s="265">
        <f>'Data-Sport-Inriver (CH - new)'!F34</f>
        <v>144.25669758550066</v>
      </c>
      <c r="X37" s="265">
        <f>'Data-Sport-Inriver (CH - new)'!G34</f>
        <v>106.53583720891189</v>
      </c>
      <c r="Y37" s="264">
        <f>'A6-Chin (NEW2+Khutz)'!H42</f>
        <v>250.79253479441255</v>
      </c>
      <c r="Z37" s="264">
        <f>'A6-Chin (NEW2+Khutz)'!I42</f>
        <v>1064</v>
      </c>
      <c r="AA37" s="266">
        <f t="shared" si="7"/>
        <v>1613.7925347944126</v>
      </c>
      <c r="AC37" s="262">
        <f>'Bayesian SD Ests (10Feb26rev)'!S37</f>
        <v>1421</v>
      </c>
      <c r="AD37" s="261">
        <f t="shared" si="2"/>
        <v>-192.79253479441263</v>
      </c>
      <c r="AF37" s="191">
        <f t="shared" si="3"/>
        <v>250.79253479441255</v>
      </c>
      <c r="AG37" s="191">
        <f t="shared" si="4"/>
        <v>0</v>
      </c>
      <c r="AI37" s="191">
        <f>R37-'A6-Chin (NEW2+Khutz)'!C42</f>
        <v>0</v>
      </c>
    </row>
    <row r="38" spans="1:35" x14ac:dyDescent="0.25">
      <c r="B38" s="273">
        <v>2022</v>
      </c>
      <c r="C38" s="274" t="s">
        <v>231</v>
      </c>
      <c r="D38" s="274" t="s">
        <v>232</v>
      </c>
      <c r="E38" s="267">
        <f>'Bayesian SD Ests (10Feb26rev)'!C38</f>
        <v>12227</v>
      </c>
      <c r="F38" s="267">
        <f>'Bayesian SD Ests (10Feb26rev)'!D38</f>
        <v>1667</v>
      </c>
      <c r="G38" s="268"/>
      <c r="H38" s="267">
        <f>'Bayesian SD Ests (10Feb26rev)'!F38</f>
        <v>2383</v>
      </c>
      <c r="I38" s="267">
        <f>'Bayesian SD Ests (10Feb26rev)'!G38</f>
        <v>666</v>
      </c>
      <c r="K38" s="262">
        <f>'Bayesian SD Ests (10Feb26rev)'!U38</f>
        <v>16061</v>
      </c>
      <c r="L38" s="262">
        <f>'Bayesian SD Ests (10Feb26rev)'!V38</f>
        <v>2048</v>
      </c>
      <c r="N38" s="263">
        <v>15149.493367742924</v>
      </c>
      <c r="O38" s="261">
        <f t="shared" si="6"/>
        <v>911.50663225707649</v>
      </c>
      <c r="Q38" s="263">
        <f>'A6-Chin (NEW2+Khutz)'!$L43</f>
        <v>16061</v>
      </c>
      <c r="R38" s="263">
        <f t="shared" si="1"/>
        <v>14410.16048847821</v>
      </c>
      <c r="S38" s="261">
        <f>R38-'Data-PSC Chin (10Feb26)'!C37</f>
        <v>0</v>
      </c>
      <c r="U38" s="256">
        <v>2022</v>
      </c>
      <c r="V38" s="264">
        <f>'A6-Chin (NEW2+Khutz)'!G43</f>
        <v>38</v>
      </c>
      <c r="W38" s="265">
        <f>'Data-Sport-Inriver (CH - new)'!F35</f>
        <v>152.45160583886536</v>
      </c>
      <c r="X38" s="265">
        <f>'Data-Sport-Inriver (CH - new)'!G35</f>
        <v>112.58790568292483</v>
      </c>
      <c r="Y38" s="264">
        <f>'A6-Chin (NEW2+Khutz)'!H43</f>
        <v>265.03951152179019</v>
      </c>
      <c r="Z38" s="264">
        <f>'A6-Chin (NEW2+Khutz)'!I43</f>
        <v>1347.8</v>
      </c>
      <c r="AA38" s="266">
        <f t="shared" si="7"/>
        <v>1650.8395115217902</v>
      </c>
      <c r="AC38" s="262">
        <f>'Bayesian SD Ests (10Feb26rev)'!S38</f>
        <v>1489</v>
      </c>
      <c r="AD38" s="261">
        <f t="shared" si="2"/>
        <v>-161.8395115217902</v>
      </c>
      <c r="AF38" s="191">
        <f t="shared" si="3"/>
        <v>265.03951152179019</v>
      </c>
      <c r="AG38" s="191">
        <f t="shared" si="4"/>
        <v>0</v>
      </c>
      <c r="AI38" s="191">
        <f>R38-'A6-Chin (NEW2+Khutz)'!C43</f>
        <v>0</v>
      </c>
    </row>
    <row r="39" spans="1:35" x14ac:dyDescent="0.25">
      <c r="B39" s="273">
        <v>2023</v>
      </c>
      <c r="C39" s="274" t="s">
        <v>231</v>
      </c>
      <c r="D39" s="274" t="s">
        <v>232</v>
      </c>
      <c r="E39" s="267">
        <f>'Bayesian SD Ests (10Feb26rev)'!C39</f>
        <v>8442</v>
      </c>
      <c r="F39" s="267">
        <f>'Bayesian SD Ests (10Feb26rev)'!D39</f>
        <v>981</v>
      </c>
      <c r="G39" s="268"/>
      <c r="H39" s="267">
        <f>'Bayesian SD Ests (10Feb26rev)'!F39</f>
        <v>1908</v>
      </c>
      <c r="I39" s="267">
        <f>'Bayesian SD Ests (10Feb26rev)'!G39</f>
        <v>504</v>
      </c>
      <c r="K39" s="262">
        <f>'Bayesian SD Ests (10Feb26rev)'!U39</f>
        <v>11606</v>
      </c>
      <c r="L39" s="262">
        <f>'Bayesian SD Ests (10Feb26rev)'!V39</f>
        <v>1236</v>
      </c>
      <c r="N39" s="263">
        <v>12229.074191399255</v>
      </c>
      <c r="O39" s="261">
        <f t="shared" si="6"/>
        <v>-623.07419139925514</v>
      </c>
      <c r="Q39" s="263">
        <f>'A6-Chin (NEW2+Khutz)'!$L44</f>
        <v>11606</v>
      </c>
      <c r="R39" s="263">
        <f t="shared" si="1"/>
        <v>9758.9535295539172</v>
      </c>
      <c r="S39" s="261">
        <f>R39-'Data-PSC Chin (10Feb26)'!C38</f>
        <v>0</v>
      </c>
      <c r="U39" s="256">
        <v>2023</v>
      </c>
      <c r="V39" s="264">
        <f>'A6-Chin (NEW2+Khutz)'!G44</f>
        <v>66</v>
      </c>
      <c r="W39" s="265">
        <f>'Data-Sport-Inriver (CH - new)'!F36</f>
        <v>111.15601056250853</v>
      </c>
      <c r="X39" s="265">
        <f>'Data-Sport-Inriver (CH - new)'!G36</f>
        <v>82.090459883574624</v>
      </c>
      <c r="Y39" s="264">
        <f>'A6-Chin (NEW2+Khutz)'!H44</f>
        <v>193.24647044608315</v>
      </c>
      <c r="Z39" s="264">
        <f>'A6-Chin (NEW2+Khutz)'!I44</f>
        <v>1587.8</v>
      </c>
      <c r="AA39" s="266">
        <f t="shared" si="7"/>
        <v>1847.046470446083</v>
      </c>
      <c r="AC39" s="262">
        <f>'Bayesian SD Ests (10Feb26rev)'!S39</f>
        <v>1321</v>
      </c>
      <c r="AD39" s="261">
        <f t="shared" si="2"/>
        <v>-526.04647044608305</v>
      </c>
      <c r="AF39" s="191">
        <f t="shared" si="3"/>
        <v>193.24647044608315</v>
      </c>
      <c r="AG39" s="191">
        <f t="shared" si="4"/>
        <v>0</v>
      </c>
      <c r="AI39" s="191">
        <f>R39-'A6-Chin (NEW2+Khutz)'!C44</f>
        <v>0</v>
      </c>
    </row>
    <row r="40" spans="1:35" x14ac:dyDescent="0.25">
      <c r="B40" s="273">
        <v>2024</v>
      </c>
      <c r="C40" s="274" t="s">
        <v>228</v>
      </c>
      <c r="D40" s="274" t="s">
        <v>232</v>
      </c>
      <c r="E40" s="267">
        <f>'Bayesian SD Ests (10Feb26rev)'!C40</f>
        <v>10519</v>
      </c>
      <c r="F40" s="267">
        <f>'Bayesian SD Ests (10Feb26rev)'!D40</f>
        <v>1394</v>
      </c>
      <c r="G40" s="268"/>
      <c r="H40" s="267">
        <f>'Bayesian SD Ests (10Feb26rev)'!F40</f>
        <v>2281</v>
      </c>
      <c r="I40" s="267">
        <f>'Bayesian SD Ests (10Feb26rev)'!G40</f>
        <v>534</v>
      </c>
      <c r="K40" s="262">
        <f>'Bayesian SD Ests (10Feb26rev)'!U40</f>
        <v>15199</v>
      </c>
      <c r="L40" s="262">
        <f>'Bayesian SD Ests (10Feb26rev)'!V40</f>
        <v>1675</v>
      </c>
      <c r="N40" s="263">
        <v>15104.63019257586</v>
      </c>
      <c r="O40" s="261">
        <f t="shared" si="6"/>
        <v>94.369807424140163</v>
      </c>
      <c r="Q40" s="263">
        <f>'A6-Chin (NEW2+Khutz)'!$L45</f>
        <v>15199</v>
      </c>
      <c r="R40" s="263">
        <f t="shared" si="1"/>
        <v>12477.710267528219</v>
      </c>
      <c r="S40" s="261">
        <f>R40-'Data-PSC Chin (10Feb26)'!C39</f>
        <v>0</v>
      </c>
      <c r="U40" s="256">
        <v>2024</v>
      </c>
      <c r="V40" s="264">
        <f>'A6-Chin (NEW2+Khutz)'!G45</f>
        <v>99</v>
      </c>
      <c r="W40" s="265">
        <f>'Data-Sport-Inriver (CH - new)'!F37</f>
        <v>138.24294430029295</v>
      </c>
      <c r="X40" s="265">
        <f>'Data-Sport-Inriver (CH - new)'!G37</f>
        <v>102.09678817148932</v>
      </c>
      <c r="Y40" s="264">
        <f>'A6-Chin (NEW2+Khutz)'!H45</f>
        <v>240.33973247178227</v>
      </c>
      <c r="Z40" s="264">
        <f>'A6-Chin (NEW2+Khutz)'!I45</f>
        <v>2381.9500000000003</v>
      </c>
      <c r="AA40" s="266">
        <f t="shared" si="7"/>
        <v>2721.2897324717824</v>
      </c>
      <c r="AC40" s="262">
        <f>'Bayesian SD Ests (10Feb26rev)'!S40</f>
        <v>2498</v>
      </c>
      <c r="AD40" s="261">
        <f t="shared" si="2"/>
        <v>-223.28973247178237</v>
      </c>
      <c r="AF40" s="191">
        <f t="shared" si="3"/>
        <v>240.33973247178227</v>
      </c>
      <c r="AG40" s="191">
        <f t="shared" si="4"/>
        <v>0</v>
      </c>
      <c r="AI40" s="191">
        <f>R40-'A6-Chin (NEW2+Khutz)'!C45</f>
        <v>0</v>
      </c>
    </row>
    <row r="41" spans="1:35" x14ac:dyDescent="0.25">
      <c r="B41" s="273">
        <v>2025</v>
      </c>
      <c r="C41" s="274" t="s">
        <v>231</v>
      </c>
      <c r="D41" s="274" t="s">
        <v>232</v>
      </c>
      <c r="E41" s="267">
        <f>'Bayesian SD Ests (10Feb26rev)'!C41</f>
        <v>8896</v>
      </c>
      <c r="F41" s="267">
        <f>'Bayesian SD Ests (10Feb26rev)'!D41</f>
        <v>880</v>
      </c>
      <c r="H41" s="267">
        <f>'Bayesian SD Ests (10Feb26rev)'!F41</f>
        <v>1830</v>
      </c>
      <c r="I41" s="267">
        <f>'Bayesian SD Ests (10Feb26rev)'!G41</f>
        <v>811</v>
      </c>
      <c r="K41" s="262">
        <f>'Bayesian SD Ests (10Feb26rev)'!U41</f>
        <v>12326</v>
      </c>
      <c r="L41" s="262">
        <f>'Bayesian SD Ests (10Feb26rev)'!V41</f>
        <v>1119</v>
      </c>
      <c r="N41" s="263">
        <v>12165.337354934092</v>
      </c>
      <c r="O41" s="261">
        <f t="shared" si="6"/>
        <v>160.66264506590778</v>
      </c>
      <c r="Q41" s="263">
        <f>'A6-Chin (NEW2+Khutz)'!$L46</f>
        <v>12326</v>
      </c>
      <c r="R41" s="263">
        <f t="shared" si="1"/>
        <v>10359.972690145158</v>
      </c>
      <c r="S41" s="261">
        <f>R41-'Data-PSC Chin (10Feb26)'!C40</f>
        <v>0</v>
      </c>
      <c r="U41" s="256">
        <v>2025</v>
      </c>
      <c r="V41" s="264">
        <f>'A6-Chin (NEW2+Khutz)'!G46</f>
        <v>55</v>
      </c>
      <c r="W41" s="265">
        <f>'Data-Sport-Inriver (CH - new)'!F38</f>
        <v>114.3373677294494</v>
      </c>
      <c r="X41" s="265">
        <f>'Data-Sport-Inriver (CH - new)'!G38</f>
        <v>84.439942125393827</v>
      </c>
      <c r="Y41" s="264">
        <f>'A6-Chin (NEW2+Khutz)'!H46</f>
        <v>198.77730985484322</v>
      </c>
      <c r="Z41" s="264">
        <f>'A6-Chin (NEW2+Khutz)'!I46</f>
        <v>1712.25</v>
      </c>
      <c r="AA41" s="266">
        <f t="shared" si="7"/>
        <v>1966.0273098548432</v>
      </c>
      <c r="AC41" s="262">
        <f>'Bayesian SD Ests (10Feb26rev)'!S41</f>
        <v>1654</v>
      </c>
      <c r="AD41" s="261">
        <f t="shared" si="2"/>
        <v>-312.02730985484322</v>
      </c>
      <c r="AF41" s="191">
        <f t="shared" si="3"/>
        <v>198.77730985484322</v>
      </c>
      <c r="AG41" s="191">
        <f t="shared" si="4"/>
        <v>0</v>
      </c>
      <c r="AI41" s="191">
        <f>R41-'A6-Chin (NEW2+Khutz)'!C46</f>
        <v>0</v>
      </c>
    </row>
  </sheetData>
  <mergeCells count="5">
    <mergeCell ref="E2:L2"/>
    <mergeCell ref="V2:AA2"/>
    <mergeCell ref="E6:F6"/>
    <mergeCell ref="H6:I6"/>
    <mergeCell ref="K6:L6"/>
  </mergeCells>
  <conditionalFormatting sqref="O8:O41">
    <cfRule type="cellIs" dxfId="2" priority="3" operator="lessThan">
      <formula>0</formula>
    </cfRule>
  </conditionalFormatting>
  <conditionalFormatting sqref="S8:S41">
    <cfRule type="cellIs" dxfId="1" priority="1" operator="lessThan">
      <formula>0</formula>
    </cfRule>
  </conditionalFormatting>
  <conditionalFormatting sqref="AD8:AD41">
    <cfRule type="cellIs" dxfId="0" priority="2" operator="lessThan">
      <formula>0</formula>
    </cfRule>
  </conditionalFormatting>
  <pageMargins left="0.7" right="0.7" top="0.75" bottom="0.75" header="0.3" footer="0.3"/>
  <headerFooter>
    <oddHeader>&amp;R&amp;"Calibri"&amp;12&amp;K000000 Unclassified - Non-Classifié&amp;1#_x000D_</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FB189-A2E9-4B69-8E75-CD0157CA2952}">
  <sheetPr>
    <tabColor rgb="FFFFFF00"/>
  </sheetPr>
  <dimension ref="A1:DE66"/>
  <sheetViews>
    <sheetView workbookViewId="0">
      <pane ySplit="7" topLeftCell="A8" activePane="bottomLeft" state="frozen"/>
      <selection activeCell="C49" sqref="C49:E49"/>
      <selection pane="bottomLeft" activeCell="M14" sqref="M14"/>
    </sheetView>
  </sheetViews>
  <sheetFormatPr defaultColWidth="9.42578125" defaultRowHeight="15" x14ac:dyDescent="0.25"/>
  <cols>
    <col min="1" max="1" width="5.5703125" style="148" customWidth="1"/>
    <col min="2" max="2" width="0.85546875" style="148" customWidth="1"/>
    <col min="3" max="4" width="11.42578125" style="148" customWidth="1"/>
    <col min="5" max="5" width="1.28515625" style="148" customWidth="1"/>
    <col min="6" max="7" width="11.42578125" style="148" customWidth="1"/>
    <col min="8" max="8" width="1.42578125" style="148" customWidth="1"/>
    <col min="9" max="9" width="9.42578125" style="148"/>
    <col min="10" max="10" width="0.85546875" style="148" customWidth="1"/>
    <col min="11" max="11" width="4.42578125" style="148" customWidth="1"/>
    <col min="12" max="12" width="1.28515625" style="148" customWidth="1"/>
    <col min="13" max="13" width="7.85546875" style="148" customWidth="1"/>
    <col min="14" max="14" width="4.140625" style="148" bestFit="1" customWidth="1"/>
    <col min="15" max="15" width="1.5703125" style="148" customWidth="1"/>
    <col min="16" max="16" width="9.140625" style="148" customWidth="1"/>
    <col min="17" max="17" width="4.140625" style="148" bestFit="1" customWidth="1"/>
    <col min="18" max="18" width="1.5703125" style="148" customWidth="1"/>
    <col min="19" max="19" width="6.85546875" style="148" customWidth="1"/>
    <col min="20" max="20" width="0.85546875" style="148" customWidth="1"/>
    <col min="21" max="21" width="9.42578125" style="148"/>
    <col min="22" max="22" width="5.5703125" style="148" bestFit="1" customWidth="1"/>
    <col min="23" max="23" width="1.42578125" style="148" customWidth="1"/>
    <col min="24" max="24" width="7.42578125" style="148" bestFit="1" customWidth="1"/>
    <col min="25" max="27" width="7.42578125" style="148" hidden="1" customWidth="1"/>
    <col min="28" max="28" width="0.85546875" style="148" customWidth="1"/>
    <col min="29" max="29" width="7.7109375" style="148" customWidth="1"/>
    <col min="30" max="30" width="1.85546875" style="148" customWidth="1"/>
    <col min="31" max="31" width="5.5703125" style="148" bestFit="1" customWidth="1"/>
    <col min="32" max="32" width="6.85546875" style="148" bestFit="1" customWidth="1"/>
    <col min="33" max="33" width="9.42578125" style="148"/>
    <col min="34" max="34" width="0.85546875" style="148" customWidth="1"/>
    <col min="35" max="35" width="7.7109375" style="148" bestFit="1" customWidth="1"/>
    <col min="36" max="36" width="0.85546875" style="148" customWidth="1"/>
    <col min="37" max="37" width="4.85546875" style="148" customWidth="1"/>
    <col min="38" max="38" width="5.85546875" style="148" bestFit="1" customWidth="1"/>
    <col min="39" max="40" width="6.85546875" style="148" bestFit="1" customWidth="1"/>
    <col min="41" max="41" width="0.85546875" style="148" customWidth="1"/>
    <col min="42" max="42" width="7" style="148" customWidth="1"/>
    <col min="43" max="43" width="7.42578125" style="148" customWidth="1"/>
    <col min="44" max="44" width="8.85546875" style="148" customWidth="1"/>
    <col min="45" max="45" width="0.85546875" style="148" customWidth="1"/>
    <col min="46" max="46" width="9.42578125" style="148"/>
    <col min="47" max="47" width="8.42578125" style="148" customWidth="1"/>
    <col min="48" max="48" width="6.85546875" style="148" bestFit="1" customWidth="1"/>
    <col min="49" max="56" width="11.140625" style="148" customWidth="1"/>
    <col min="57" max="57" width="9.42578125" style="148"/>
    <col min="58" max="58" width="4.85546875" style="148" bestFit="1" customWidth="1"/>
    <col min="59" max="59" width="13.140625" style="148" customWidth="1"/>
    <col min="60" max="60" width="9.42578125" style="148"/>
    <col min="61" max="61" width="13.140625" style="148" customWidth="1"/>
    <col min="62" max="75" width="9.42578125" style="148"/>
    <col min="76" max="76" width="3.85546875" style="148" customWidth="1"/>
    <col min="77" max="80" width="9.42578125" style="148"/>
    <col min="81" max="81" width="1.85546875" style="148" customWidth="1"/>
    <col min="82" max="82" width="9.42578125" style="148"/>
    <col min="83" max="83" width="4.42578125" style="148" customWidth="1"/>
    <col min="84" max="86" width="9.42578125" style="148"/>
    <col min="87" max="87" width="3.42578125" style="148" customWidth="1"/>
    <col min="88" max="90" width="9.42578125" style="148"/>
    <col min="91" max="91" width="3.42578125" style="148" customWidth="1"/>
    <col min="92" max="92" width="9.42578125" style="148"/>
    <col min="93" max="93" width="3.42578125" style="148" customWidth="1"/>
    <col min="94" max="97" width="9.42578125" style="148"/>
    <col min="98" max="98" width="3.140625" style="148" customWidth="1"/>
    <col min="99" max="101" width="9.42578125" style="148"/>
    <col min="102" max="102" width="4.140625" style="148" hidden="1" customWidth="1"/>
    <col min="103" max="103" width="8.42578125" style="148" hidden="1" customWidth="1"/>
    <col min="104" max="104" width="8.5703125" style="148" hidden="1" customWidth="1"/>
    <col min="105" max="105" width="8.140625" style="148" hidden="1" customWidth="1"/>
    <col min="106" max="16384" width="9.42578125" style="148"/>
  </cols>
  <sheetData>
    <row r="1" spans="1:109" ht="15.75" customHeight="1" x14ac:dyDescent="0.25">
      <c r="A1" s="148" t="s">
        <v>233</v>
      </c>
      <c r="B1" s="147"/>
      <c r="C1" s="147"/>
      <c r="D1" s="147"/>
      <c r="E1" s="147"/>
      <c r="F1" s="147"/>
      <c r="G1" s="147"/>
      <c r="H1" s="147"/>
      <c r="K1" s="149"/>
      <c r="L1" s="149"/>
      <c r="M1" s="149"/>
      <c r="N1" s="149"/>
      <c r="O1" s="149"/>
      <c r="P1" s="149"/>
      <c r="Q1" s="149"/>
      <c r="R1" s="149"/>
      <c r="S1" s="149"/>
      <c r="T1" s="149"/>
      <c r="U1" s="149"/>
      <c r="V1" s="149"/>
      <c r="W1" s="149"/>
      <c r="X1" s="149"/>
      <c r="Y1" s="149"/>
      <c r="Z1" s="149"/>
      <c r="AA1" s="149"/>
      <c r="AB1" s="149"/>
      <c r="AC1" s="149"/>
      <c r="AD1" s="149"/>
      <c r="AE1" s="149"/>
      <c r="AF1" s="149"/>
      <c r="AG1" s="149"/>
      <c r="AH1" s="149"/>
      <c r="AI1" s="149"/>
      <c r="AJ1" s="149"/>
      <c r="AK1" s="149"/>
      <c r="AL1" s="149"/>
      <c r="AM1" s="149"/>
      <c r="AN1" s="149"/>
      <c r="AO1" s="149"/>
      <c r="AQ1" s="150"/>
      <c r="AR1" s="150"/>
      <c r="AS1" s="150"/>
      <c r="AT1" s="150"/>
      <c r="AW1" s="151"/>
      <c r="AX1" s="151"/>
      <c r="AY1" s="151"/>
      <c r="AZ1" s="150" t="s">
        <v>154</v>
      </c>
      <c r="BA1" s="151"/>
      <c r="BB1" s="151"/>
      <c r="BC1" s="151"/>
      <c r="BD1" s="151"/>
      <c r="BE1" s="151"/>
      <c r="BF1" s="151"/>
      <c r="BV1" s="148" t="s">
        <v>155</v>
      </c>
    </row>
    <row r="2" spans="1:109" ht="15.75" customHeight="1" x14ac:dyDescent="0.25">
      <c r="A2" s="153" t="s">
        <v>234</v>
      </c>
      <c r="B2" s="154"/>
      <c r="C2" s="154"/>
      <c r="D2" s="154"/>
      <c r="E2" s="154"/>
      <c r="F2" s="154"/>
      <c r="G2" s="154"/>
      <c r="H2" s="154"/>
      <c r="I2" s="155"/>
      <c r="J2" s="156"/>
      <c r="K2" s="156"/>
      <c r="L2" s="156"/>
      <c r="M2" s="156"/>
      <c r="N2" s="156"/>
      <c r="O2" s="156"/>
      <c r="P2" s="156"/>
      <c r="Q2" s="156"/>
      <c r="R2" s="156"/>
      <c r="S2" s="156"/>
      <c r="T2" s="156"/>
      <c r="U2" s="156"/>
      <c r="V2" s="156"/>
      <c r="W2" s="156"/>
      <c r="X2" s="156"/>
      <c r="Y2" s="156"/>
      <c r="Z2" s="156"/>
      <c r="AA2" s="156"/>
      <c r="AB2" s="156"/>
      <c r="AC2" s="156"/>
      <c r="AD2" s="156"/>
      <c r="AE2" s="156"/>
      <c r="AF2" s="149"/>
      <c r="AG2" s="149"/>
      <c r="AH2" s="149"/>
      <c r="AI2" s="149"/>
      <c r="AJ2" s="149"/>
      <c r="AK2" s="149"/>
      <c r="AL2" s="149"/>
      <c r="AM2" s="149"/>
      <c r="AN2" s="149"/>
      <c r="AO2" s="149"/>
      <c r="AQ2" s="150"/>
      <c r="AR2" s="150"/>
      <c r="AS2" s="150"/>
      <c r="AT2" s="157"/>
      <c r="AU2" s="158"/>
      <c r="AV2" s="158"/>
      <c r="AW2" s="159"/>
      <c r="AX2" s="159"/>
      <c r="AY2" s="159"/>
      <c r="AZ2" s="159"/>
      <c r="BA2" s="159"/>
      <c r="BB2" s="159"/>
      <c r="BC2" s="159"/>
      <c r="BD2" s="159"/>
      <c r="BE2" s="159"/>
      <c r="BF2" s="159"/>
    </row>
    <row r="3" spans="1:109" x14ac:dyDescent="0.25">
      <c r="B3" s="161"/>
      <c r="C3" s="161"/>
      <c r="D3" s="161"/>
      <c r="E3" s="161"/>
      <c r="F3" s="161"/>
      <c r="G3" s="161"/>
      <c r="H3" s="161"/>
      <c r="I3" s="161"/>
      <c r="J3" s="161"/>
      <c r="K3" s="161"/>
      <c r="L3" s="161"/>
      <c r="M3" s="161"/>
      <c r="N3" s="161"/>
      <c r="O3" s="161"/>
      <c r="P3" s="161"/>
      <c r="Q3" s="161"/>
      <c r="R3" s="161"/>
      <c r="S3" s="161"/>
      <c r="T3" s="161"/>
      <c r="U3" s="161"/>
      <c r="V3" s="161"/>
      <c r="W3" s="161"/>
      <c r="X3" s="161"/>
      <c r="Y3" s="161"/>
      <c r="Z3" s="161"/>
      <c r="AA3" s="161"/>
      <c r="AB3" s="161"/>
      <c r="AC3" s="161"/>
      <c r="AD3" s="161"/>
      <c r="AE3" s="161"/>
      <c r="AF3" s="161"/>
      <c r="AG3" s="161"/>
      <c r="AH3" s="161"/>
      <c r="AI3" s="161"/>
      <c r="AJ3" s="161"/>
      <c r="AK3" s="161"/>
      <c r="AL3" s="161"/>
      <c r="AM3" s="161"/>
      <c r="AN3" s="161"/>
      <c r="AO3" s="161"/>
      <c r="AP3" s="161"/>
      <c r="AQ3" s="161"/>
      <c r="AR3" s="161"/>
      <c r="AS3" s="162"/>
      <c r="AT3" s="162"/>
      <c r="AU3" s="161"/>
      <c r="AV3" s="161"/>
    </row>
    <row r="4" spans="1:109" x14ac:dyDescent="0.25">
      <c r="A4" s="164"/>
      <c r="B4" s="164"/>
      <c r="C4" s="996" t="s">
        <v>18</v>
      </c>
      <c r="D4" s="996"/>
      <c r="E4" s="996"/>
      <c r="F4" s="996"/>
      <c r="G4" s="996"/>
      <c r="H4" s="996"/>
      <c r="I4" s="996"/>
      <c r="J4" s="996"/>
      <c r="K4" s="996"/>
      <c r="L4" s="996"/>
      <c r="M4" s="996"/>
      <c r="N4" s="996"/>
      <c r="O4" s="996"/>
      <c r="P4" s="996"/>
      <c r="Q4" s="996"/>
      <c r="R4" s="996"/>
      <c r="S4" s="996"/>
      <c r="T4" s="996"/>
      <c r="U4" s="996"/>
      <c r="V4" s="996"/>
      <c r="W4" s="996"/>
      <c r="X4" s="996"/>
      <c r="Y4" s="165"/>
      <c r="Z4" s="165"/>
      <c r="AA4" s="165"/>
      <c r="AB4" s="164"/>
      <c r="AC4" s="1016" t="s">
        <v>19</v>
      </c>
      <c r="AD4" s="1016"/>
      <c r="AE4" s="1016"/>
      <c r="AF4" s="1016"/>
      <c r="AG4" s="1016"/>
      <c r="AH4" s="164"/>
      <c r="AI4" s="996" t="s">
        <v>20</v>
      </c>
      <c r="AJ4" s="996"/>
      <c r="AK4" s="996"/>
      <c r="AL4" s="996"/>
      <c r="AM4" s="996"/>
      <c r="AN4" s="996"/>
      <c r="AO4" s="996"/>
      <c r="AP4" s="996"/>
      <c r="AQ4" s="996"/>
      <c r="AR4" s="996"/>
      <c r="AS4" s="166"/>
      <c r="AT4" s="275"/>
      <c r="AU4" s="1017" t="s">
        <v>157</v>
      </c>
      <c r="AV4" s="1017" t="s">
        <v>158</v>
      </c>
      <c r="AW4" s="1019" t="s">
        <v>159</v>
      </c>
      <c r="AX4" s="168"/>
      <c r="AY4" s="168"/>
      <c r="AZ4" s="168"/>
      <c r="BA4" s="168"/>
      <c r="BB4" s="168"/>
      <c r="BC4" s="168"/>
      <c r="BD4" s="276"/>
      <c r="BL4" s="148" t="s">
        <v>161</v>
      </c>
      <c r="BV4" s="170"/>
      <c r="BW4" s="170" t="s">
        <v>18</v>
      </c>
      <c r="BX4" s="170"/>
      <c r="BY4" s="170"/>
      <c r="BZ4" s="170"/>
      <c r="CA4" s="170"/>
      <c r="CB4" s="170"/>
      <c r="CC4" s="170"/>
      <c r="CD4" s="170"/>
      <c r="CE4" s="170"/>
      <c r="CF4" s="170"/>
      <c r="CG4" s="170"/>
      <c r="CH4" s="170" t="s">
        <v>19</v>
      </c>
      <c r="CI4" s="170"/>
      <c r="CJ4" s="170"/>
      <c r="CK4" s="170"/>
      <c r="CL4" s="170"/>
      <c r="CM4" s="170"/>
      <c r="CN4" s="170" t="s">
        <v>20</v>
      </c>
      <c r="CO4" s="170"/>
      <c r="CP4" s="170"/>
      <c r="CQ4" s="170"/>
      <c r="CR4" s="170"/>
      <c r="CS4" s="170"/>
      <c r="CT4" s="170"/>
      <c r="CU4" s="170"/>
      <c r="CV4" s="170"/>
      <c r="CW4" s="170"/>
      <c r="CX4" s="170"/>
      <c r="CY4" s="170"/>
      <c r="CZ4" s="170"/>
      <c r="DA4" s="170"/>
      <c r="DB4" s="170"/>
      <c r="DC4" s="170" t="s">
        <v>162</v>
      </c>
      <c r="DD4" s="170" t="s">
        <v>163</v>
      </c>
    </row>
    <row r="5" spans="1:109" ht="20.25" customHeight="1" x14ac:dyDescent="0.25">
      <c r="A5" s="171"/>
      <c r="B5" s="171"/>
      <c r="C5" s="171"/>
      <c r="D5" s="171"/>
      <c r="E5" s="171"/>
      <c r="F5" s="171"/>
      <c r="G5" s="171"/>
      <c r="H5" s="171"/>
      <c r="I5" s="998" t="s">
        <v>235</v>
      </c>
      <c r="J5" s="171"/>
      <c r="K5" s="1005" t="s">
        <v>165</v>
      </c>
      <c r="L5" s="1005"/>
      <c r="M5" s="1005"/>
      <c r="N5" s="1005"/>
      <c r="O5" s="1005"/>
      <c r="P5" s="1005"/>
      <c r="Q5" s="1005"/>
      <c r="R5" s="1005"/>
      <c r="S5" s="1005"/>
      <c r="T5" s="171"/>
      <c r="U5" s="998" t="s">
        <v>166</v>
      </c>
      <c r="V5" s="998"/>
      <c r="W5" s="173"/>
      <c r="X5" s="998" t="s">
        <v>167</v>
      </c>
      <c r="Y5" s="173"/>
      <c r="Z5" s="173"/>
      <c r="AA5" s="173"/>
      <c r="AB5" s="171"/>
      <c r="AC5" s="277"/>
      <c r="AD5" s="277"/>
      <c r="AE5" s="1016" t="s">
        <v>165</v>
      </c>
      <c r="AF5" s="1016"/>
      <c r="AG5" s="1016"/>
      <c r="AH5" s="277"/>
      <c r="AI5" s="1017" t="s">
        <v>164</v>
      </c>
      <c r="AJ5" s="277"/>
      <c r="AK5" s="1016" t="s">
        <v>165</v>
      </c>
      <c r="AL5" s="1016"/>
      <c r="AM5" s="1016"/>
      <c r="AN5" s="1016"/>
      <c r="AO5" s="277"/>
      <c r="AP5" s="1016" t="s">
        <v>168</v>
      </c>
      <c r="AQ5" s="1016"/>
      <c r="AR5" s="1016"/>
      <c r="AS5" s="171"/>
      <c r="AT5" s="1018" t="s">
        <v>169</v>
      </c>
      <c r="AU5" s="1018"/>
      <c r="AV5" s="1018"/>
      <c r="AW5" s="1020"/>
      <c r="AX5" s="168"/>
      <c r="AY5" s="168"/>
      <c r="AZ5" s="168"/>
      <c r="BA5" s="168"/>
      <c r="BB5" s="168"/>
      <c r="BC5" s="168"/>
      <c r="BD5" s="276"/>
      <c r="BL5" s="148" t="s">
        <v>170</v>
      </c>
      <c r="BQ5" s="148" t="s">
        <v>171</v>
      </c>
      <c r="BV5" s="170"/>
      <c r="BW5" s="170" t="s">
        <v>172</v>
      </c>
      <c r="BX5" s="170"/>
      <c r="BY5" s="170" t="s">
        <v>25</v>
      </c>
      <c r="BZ5" s="170"/>
      <c r="CA5" s="170"/>
      <c r="CB5" s="170"/>
      <c r="CC5" s="170"/>
      <c r="CD5" s="170" t="s">
        <v>173</v>
      </c>
      <c r="CE5" s="170"/>
      <c r="CF5" s="170"/>
      <c r="CG5" s="170"/>
      <c r="CH5" s="170"/>
      <c r="CI5" s="170"/>
      <c r="CJ5" s="170" t="s">
        <v>25</v>
      </c>
      <c r="CK5" s="170"/>
      <c r="CL5" s="170"/>
      <c r="CM5" s="170"/>
      <c r="CN5" s="170" t="s">
        <v>174</v>
      </c>
      <c r="CO5" s="170"/>
      <c r="CP5" s="170" t="s">
        <v>25</v>
      </c>
      <c r="CQ5" s="170"/>
      <c r="CR5" s="170"/>
      <c r="CS5" s="170"/>
      <c r="CT5" s="170"/>
      <c r="CU5" s="170" t="s">
        <v>175</v>
      </c>
      <c r="CV5" s="170"/>
      <c r="CW5" s="170"/>
      <c r="CX5" s="170"/>
      <c r="CY5" s="170" t="s">
        <v>29</v>
      </c>
      <c r="CZ5" s="170"/>
      <c r="DA5" s="170"/>
      <c r="DB5" s="170" t="s">
        <v>176</v>
      </c>
      <c r="DC5" s="170"/>
      <c r="DD5" s="170"/>
    </row>
    <row r="6" spans="1:109" ht="20.25" customHeight="1" x14ac:dyDescent="0.25">
      <c r="A6" s="171" t="s">
        <v>36</v>
      </c>
      <c r="B6" s="171"/>
      <c r="C6" s="1005" t="s">
        <v>236</v>
      </c>
      <c r="D6" s="1005"/>
      <c r="E6" s="171"/>
      <c r="F6" s="1005" t="s">
        <v>237</v>
      </c>
      <c r="G6" s="1005"/>
      <c r="H6" s="171"/>
      <c r="I6" s="998"/>
      <c r="J6" s="173"/>
      <c r="K6" s="173" t="s">
        <v>177</v>
      </c>
      <c r="L6" s="173"/>
      <c r="M6" s="1015" t="s">
        <v>49</v>
      </c>
      <c r="N6" s="1015"/>
      <c r="O6" s="167"/>
      <c r="P6" s="996" t="s">
        <v>51</v>
      </c>
      <c r="Q6" s="996"/>
      <c r="R6" s="171"/>
      <c r="S6" s="171" t="s">
        <v>43</v>
      </c>
      <c r="T6" s="171"/>
      <c r="U6" s="999"/>
      <c r="V6" s="999"/>
      <c r="W6" s="173"/>
      <c r="X6" s="998"/>
      <c r="Y6" s="173" t="s">
        <v>178</v>
      </c>
      <c r="Z6" s="173" t="s">
        <v>179</v>
      </c>
      <c r="AA6" s="173" t="s">
        <v>180</v>
      </c>
      <c r="AB6" s="173"/>
      <c r="AC6" s="277" t="s">
        <v>164</v>
      </c>
      <c r="AD6" s="277"/>
      <c r="AE6" s="278" t="s">
        <v>49</v>
      </c>
      <c r="AF6" s="277" t="s">
        <v>51</v>
      </c>
      <c r="AG6" s="277" t="s">
        <v>43</v>
      </c>
      <c r="AH6" s="277"/>
      <c r="AI6" s="1018"/>
      <c r="AJ6" s="277"/>
      <c r="AK6" s="278" t="s">
        <v>177</v>
      </c>
      <c r="AL6" s="278" t="s">
        <v>49</v>
      </c>
      <c r="AM6" s="277" t="s">
        <v>51</v>
      </c>
      <c r="AN6" s="277" t="s">
        <v>43</v>
      </c>
      <c r="AO6" s="277"/>
      <c r="AP6" s="277" t="s">
        <v>48</v>
      </c>
      <c r="AQ6" s="277" t="s">
        <v>49</v>
      </c>
      <c r="AR6" s="277" t="s">
        <v>43</v>
      </c>
      <c r="AS6" s="171"/>
      <c r="AT6" s="1018"/>
      <c r="AU6" s="1018"/>
      <c r="AV6" s="1018"/>
      <c r="AW6" s="1020"/>
      <c r="AX6" s="168"/>
      <c r="AY6" s="168" t="s">
        <v>181</v>
      </c>
      <c r="AZ6" s="168" t="s">
        <v>182</v>
      </c>
      <c r="BA6" s="175" t="s">
        <v>56</v>
      </c>
      <c r="BB6" s="168"/>
      <c r="BC6" s="168"/>
      <c r="BD6" s="276"/>
      <c r="BE6" s="163" t="s">
        <v>56</v>
      </c>
      <c r="BF6" s="163" t="s">
        <v>184</v>
      </c>
      <c r="BG6" s="163" t="s">
        <v>185</v>
      </c>
      <c r="BH6" s="163" t="s">
        <v>186</v>
      </c>
      <c r="BI6" s="163" t="s">
        <v>187</v>
      </c>
      <c r="BJ6" s="163"/>
      <c r="BL6" s="148" t="s">
        <v>124</v>
      </c>
      <c r="BM6" s="148" t="s">
        <v>105</v>
      </c>
      <c r="BN6" s="148" t="s">
        <v>62</v>
      </c>
      <c r="BO6" s="148" t="s">
        <v>63</v>
      </c>
      <c r="BQ6" s="148" t="s">
        <v>124</v>
      </c>
      <c r="BR6" s="148" t="s">
        <v>105</v>
      </c>
      <c r="BS6" s="148" t="s">
        <v>62</v>
      </c>
      <c r="BT6" s="148" t="s">
        <v>63</v>
      </c>
      <c r="BV6" s="170" t="s">
        <v>36</v>
      </c>
      <c r="BW6" s="170"/>
      <c r="BX6" s="170"/>
      <c r="BY6" s="170" t="s">
        <v>188</v>
      </c>
      <c r="BZ6" s="170" t="s">
        <v>189</v>
      </c>
      <c r="CA6" s="170" t="s">
        <v>190</v>
      </c>
      <c r="CB6" s="170" t="s">
        <v>43</v>
      </c>
      <c r="CC6" s="170"/>
      <c r="CD6" s="170"/>
      <c r="CE6" s="170"/>
      <c r="CF6" s="170" t="s">
        <v>191</v>
      </c>
      <c r="CG6" s="170" t="s">
        <v>46</v>
      </c>
      <c r="CH6" s="170" t="s">
        <v>192</v>
      </c>
      <c r="CI6" s="170"/>
      <c r="CJ6" s="170" t="s">
        <v>189</v>
      </c>
      <c r="CK6" s="170" t="s">
        <v>190</v>
      </c>
      <c r="CL6" s="170" t="s">
        <v>43</v>
      </c>
      <c r="CM6" s="170"/>
      <c r="CN6" s="170"/>
      <c r="CO6" s="170"/>
      <c r="CP6" s="170" t="s">
        <v>188</v>
      </c>
      <c r="CQ6" s="170" t="s">
        <v>189</v>
      </c>
      <c r="CR6" s="170" t="s">
        <v>190</v>
      </c>
      <c r="CS6" s="170" t="s">
        <v>43</v>
      </c>
      <c r="CT6" s="170"/>
      <c r="CU6" s="170" t="s">
        <v>48</v>
      </c>
      <c r="CV6" s="170" t="s">
        <v>49</v>
      </c>
      <c r="CW6" s="170" t="s">
        <v>43</v>
      </c>
      <c r="CX6" s="170"/>
      <c r="CY6" s="170" t="s">
        <v>50</v>
      </c>
      <c r="CZ6" s="170" t="s">
        <v>49</v>
      </c>
      <c r="DA6" s="170" t="s">
        <v>51</v>
      </c>
      <c r="DB6" s="170"/>
      <c r="DC6" s="170"/>
      <c r="DD6" s="170"/>
    </row>
    <row r="7" spans="1:109" ht="20.25" customHeight="1" x14ac:dyDescent="0.25">
      <c r="A7" s="172"/>
      <c r="B7" s="172"/>
      <c r="C7" s="172" t="s">
        <v>221</v>
      </c>
      <c r="D7" s="172" t="s">
        <v>222</v>
      </c>
      <c r="E7" s="172"/>
      <c r="F7" s="172" t="s">
        <v>221</v>
      </c>
      <c r="G7" s="172" t="s">
        <v>222</v>
      </c>
      <c r="H7" s="172"/>
      <c r="I7" s="174"/>
      <c r="J7" s="174"/>
      <c r="K7" s="174"/>
      <c r="L7" s="174"/>
      <c r="M7" s="174" t="s">
        <v>221</v>
      </c>
      <c r="N7" s="174" t="s">
        <v>222</v>
      </c>
      <c r="O7" s="174"/>
      <c r="P7" s="174" t="s">
        <v>221</v>
      </c>
      <c r="Q7" s="174" t="s">
        <v>222</v>
      </c>
      <c r="R7" s="174"/>
      <c r="S7" s="172"/>
      <c r="T7" s="172"/>
      <c r="U7" s="174" t="s">
        <v>221</v>
      </c>
      <c r="V7" s="174" t="s">
        <v>222</v>
      </c>
      <c r="W7" s="174"/>
      <c r="X7" s="174"/>
      <c r="Y7" s="174"/>
      <c r="Z7" s="174"/>
      <c r="AA7" s="174"/>
      <c r="AB7" s="174"/>
      <c r="AC7" s="279"/>
      <c r="AD7" s="279"/>
      <c r="AE7" s="280"/>
      <c r="AF7" s="279"/>
      <c r="AG7" s="279"/>
      <c r="AH7" s="279"/>
      <c r="AI7" s="280"/>
      <c r="AJ7" s="279"/>
      <c r="AK7" s="280"/>
      <c r="AL7" s="280"/>
      <c r="AM7" s="279"/>
      <c r="AN7" s="279"/>
      <c r="AO7" s="279"/>
      <c r="AP7" s="279"/>
      <c r="AQ7" s="279"/>
      <c r="AR7" s="279"/>
      <c r="AS7" s="172"/>
      <c r="AT7" s="280"/>
      <c r="AU7" s="280"/>
      <c r="AV7" s="280"/>
      <c r="AW7" s="281"/>
      <c r="AX7" s="168"/>
      <c r="AY7" s="168"/>
      <c r="AZ7" s="168"/>
      <c r="BA7" s="175"/>
      <c r="BB7" s="168"/>
      <c r="BC7" s="168"/>
      <c r="BD7" s="276"/>
      <c r="BE7" s="163"/>
      <c r="BF7" s="163"/>
      <c r="BG7" s="163"/>
      <c r="BH7" s="163"/>
      <c r="BI7" s="163"/>
      <c r="BJ7" s="163"/>
      <c r="BV7" s="170"/>
      <c r="BW7" s="170"/>
      <c r="BX7" s="170"/>
      <c r="BY7" s="170"/>
      <c r="BZ7" s="170"/>
      <c r="CA7" s="170"/>
      <c r="CB7" s="170"/>
      <c r="CC7" s="170"/>
      <c r="CD7" s="170"/>
      <c r="CE7" s="170"/>
      <c r="CF7" s="170"/>
      <c r="CG7" s="170"/>
      <c r="CH7" s="170"/>
      <c r="CI7" s="170"/>
      <c r="CJ7" s="170"/>
      <c r="CK7" s="170"/>
      <c r="CL7" s="170"/>
      <c r="CM7" s="170"/>
      <c r="CN7" s="170"/>
      <c r="CO7" s="170"/>
      <c r="CP7" s="170"/>
      <c r="CQ7" s="170"/>
      <c r="CR7" s="170"/>
      <c r="CS7" s="170"/>
      <c r="CT7" s="170"/>
      <c r="CU7" s="170"/>
      <c r="CV7" s="170"/>
      <c r="CW7" s="170"/>
      <c r="CX7" s="170"/>
      <c r="CY7" s="170"/>
      <c r="CZ7" s="170"/>
      <c r="DA7" s="170"/>
      <c r="DB7" s="170"/>
      <c r="DC7" s="170"/>
      <c r="DD7" s="170"/>
    </row>
    <row r="8" spans="1:109" x14ac:dyDescent="0.25">
      <c r="A8" s="995">
        <v>1992</v>
      </c>
      <c r="B8" s="995"/>
      <c r="C8" s="177"/>
      <c r="D8" s="177"/>
      <c r="E8" s="177"/>
      <c r="F8" s="177"/>
      <c r="G8" s="177"/>
      <c r="H8" s="177"/>
      <c r="I8" s="180">
        <f t="shared" ref="I8:I9" si="0">U8-S8</f>
        <v>16808</v>
      </c>
      <c r="J8" s="179"/>
      <c r="K8" s="180">
        <v>612</v>
      </c>
      <c r="L8" s="180"/>
      <c r="M8" s="180">
        <v>1339</v>
      </c>
      <c r="N8" s="180"/>
      <c r="O8" s="180"/>
      <c r="P8" s="180">
        <v>1308.1727757851456</v>
      </c>
      <c r="Q8" s="180"/>
      <c r="R8" s="180"/>
      <c r="S8" s="180">
        <f>SUM(K8,M8,P8)</f>
        <v>3259.1727757851459</v>
      </c>
      <c r="T8" s="179"/>
      <c r="U8" s="180">
        <v>20067.172775785148</v>
      </c>
      <c r="V8" s="180"/>
      <c r="W8" s="180"/>
      <c r="X8" s="282">
        <f t="shared" ref="X8:X40" si="1">P8/U8 * 100</f>
        <v>6.518969016720205</v>
      </c>
      <c r="Y8" s="182">
        <v>0.18777770989835516</v>
      </c>
      <c r="Z8" s="182">
        <v>0.4108404469834927</v>
      </c>
      <c r="AA8" s="182">
        <v>0.40138184311815206</v>
      </c>
      <c r="AB8" s="182"/>
      <c r="AC8" s="180">
        <v>907.5</v>
      </c>
      <c r="AD8" s="179"/>
      <c r="AE8" s="180">
        <v>0</v>
      </c>
      <c r="AF8" s="180">
        <v>5750.8272242148541</v>
      </c>
      <c r="AG8" s="180">
        <v>5750.8272242148541</v>
      </c>
      <c r="AH8" s="179"/>
      <c r="AI8" s="180">
        <f>I8+AC8</f>
        <v>17715.5</v>
      </c>
      <c r="AJ8" s="179"/>
      <c r="AK8" s="180">
        <v>612</v>
      </c>
      <c r="AL8" s="180">
        <f>M8+AE8</f>
        <v>1339</v>
      </c>
      <c r="AM8" s="180">
        <f>P8+AF8</f>
        <v>7059</v>
      </c>
      <c r="AN8" s="180">
        <f>SUM(AK8:AM8)</f>
        <v>9010</v>
      </c>
      <c r="AO8" s="179"/>
      <c r="AP8" s="180">
        <v>5464.5208808217485</v>
      </c>
      <c r="AQ8" s="180">
        <v>3207.1457858449157</v>
      </c>
      <c r="AR8" s="180">
        <v>8671.6666666666642</v>
      </c>
      <c r="AS8" s="180"/>
      <c r="AT8" s="180">
        <v>35397.166666666664</v>
      </c>
      <c r="AU8" s="180">
        <v>1800</v>
      </c>
      <c r="AV8" s="180">
        <v>37197.166666666664</v>
      </c>
      <c r="AW8" s="184">
        <v>52.374060748354488</v>
      </c>
      <c r="AX8" s="185"/>
      <c r="AY8" s="148">
        <f>RANK(I8,$I$8:$I$41,1)</f>
        <v>19</v>
      </c>
      <c r="AZ8" s="186">
        <v>0.16241315167814552</v>
      </c>
      <c r="BA8" s="187">
        <v>0.5237406074835449</v>
      </c>
      <c r="BB8" s="186"/>
      <c r="BC8" s="186"/>
      <c r="BD8" s="283"/>
      <c r="BE8" s="163"/>
      <c r="BF8" s="163"/>
      <c r="BG8" s="190">
        <f t="shared" ref="BG8:BG33" si="2">P8/$S8</f>
        <v>0.40138184311815206</v>
      </c>
      <c r="BH8" s="190">
        <f t="shared" ref="BH8:BH33" si="3">M8/$S8</f>
        <v>0.4108404469834927</v>
      </c>
      <c r="BI8" s="190">
        <f t="shared" ref="BI8:BI33" si="4">K8/$S8</f>
        <v>0.18777770989835516</v>
      </c>
      <c r="BJ8" s="163"/>
      <c r="BL8" s="191">
        <v>16808</v>
      </c>
      <c r="BM8" s="191">
        <v>20067.172775785148</v>
      </c>
      <c r="BN8" s="191">
        <v>35397.166666666664</v>
      </c>
      <c r="BO8" s="191">
        <v>37197.166666666664</v>
      </c>
      <c r="BQ8" s="191">
        <f>I8-BL8</f>
        <v>0</v>
      </c>
      <c r="BR8" s="191">
        <f>U8-BM8</f>
        <v>0</v>
      </c>
      <c r="BS8" s="191">
        <f>AT8-BN8</f>
        <v>0</v>
      </c>
      <c r="BT8" s="191">
        <f>AV8-BO8</f>
        <v>0</v>
      </c>
      <c r="BV8" s="192">
        <v>1992</v>
      </c>
      <c r="BW8" s="56">
        <v>16808</v>
      </c>
      <c r="BX8" s="47"/>
      <c r="BY8" s="56">
        <v>612</v>
      </c>
      <c r="BZ8" s="56">
        <v>1339</v>
      </c>
      <c r="CA8" s="56">
        <v>1308.1727757851456</v>
      </c>
      <c r="CB8" s="56">
        <v>3259.1727757851459</v>
      </c>
      <c r="CC8" s="47"/>
      <c r="CD8" s="56">
        <v>20067.172775785148</v>
      </c>
      <c r="CE8" s="47"/>
      <c r="CF8" s="56">
        <v>605</v>
      </c>
      <c r="CG8" s="193">
        <v>1.5</v>
      </c>
      <c r="CH8" s="56">
        <v>907.5</v>
      </c>
      <c r="CI8" s="47"/>
      <c r="CJ8" s="47">
        <v>0</v>
      </c>
      <c r="CK8" s="56">
        <v>5750.8272242148541</v>
      </c>
      <c r="CL8" s="56">
        <v>5750.8272242148541</v>
      </c>
      <c r="CM8" s="47"/>
      <c r="CN8" s="56">
        <v>17715.5</v>
      </c>
      <c r="CO8" s="47"/>
      <c r="CP8" s="56">
        <v>612</v>
      </c>
      <c r="CQ8" s="56">
        <v>1339</v>
      </c>
      <c r="CR8" s="56">
        <v>7059</v>
      </c>
      <c r="CS8" s="56">
        <v>9010</v>
      </c>
      <c r="CT8" s="47"/>
      <c r="CU8" s="56">
        <v>5464.5208808217485</v>
      </c>
      <c r="CV8" s="56">
        <v>3207.1457858449157</v>
      </c>
      <c r="CW8" s="56">
        <v>8671.6666666666642</v>
      </c>
      <c r="CX8" s="47"/>
      <c r="CY8" s="47"/>
      <c r="CZ8" s="47"/>
      <c r="DA8" s="47"/>
      <c r="DB8" s="56">
        <v>35397.166666666664</v>
      </c>
      <c r="DC8" s="47">
        <v>700</v>
      </c>
      <c r="DD8" s="56">
        <v>36097.166666666664</v>
      </c>
      <c r="DE8" s="191">
        <f>DD8-AV8</f>
        <v>-1100</v>
      </c>
    </row>
    <row r="9" spans="1:109" x14ac:dyDescent="0.25">
      <c r="A9" s="995">
        <v>1993</v>
      </c>
      <c r="B9" s="995"/>
      <c r="C9" s="177"/>
      <c r="D9" s="177"/>
      <c r="E9" s="177"/>
      <c r="F9" s="177"/>
      <c r="G9" s="177"/>
      <c r="H9" s="177"/>
      <c r="I9" s="180">
        <f t="shared" si="0"/>
        <v>24814</v>
      </c>
      <c r="J9" s="179"/>
      <c r="K9" s="180">
        <v>600</v>
      </c>
      <c r="L9" s="180"/>
      <c r="M9" s="180">
        <v>983</v>
      </c>
      <c r="N9" s="180"/>
      <c r="O9" s="180"/>
      <c r="P9" s="180">
        <v>1526.1184498294112</v>
      </c>
      <c r="Q9" s="180"/>
      <c r="R9" s="180"/>
      <c r="S9" s="180">
        <f t="shared" ref="S9" si="5">SUM(K9,M9,P9)</f>
        <v>3109.1184498294115</v>
      </c>
      <c r="T9" s="179"/>
      <c r="U9" s="180">
        <v>27923.11844982941</v>
      </c>
      <c r="V9" s="180"/>
      <c r="W9" s="180"/>
      <c r="X9" s="282">
        <f t="shared" si="1"/>
        <v>5.4654298464960123</v>
      </c>
      <c r="Y9" s="182">
        <v>0.19298074669137172</v>
      </c>
      <c r="Z9" s="182">
        <v>0.31616678999603071</v>
      </c>
      <c r="AA9" s="182">
        <v>0.49085246331259752</v>
      </c>
      <c r="AB9" s="182"/>
      <c r="AC9" s="180">
        <v>1038.758236354696</v>
      </c>
      <c r="AD9" s="179"/>
      <c r="AE9" s="180">
        <v>0</v>
      </c>
      <c r="AF9" s="180">
        <v>4059.8815501705885</v>
      </c>
      <c r="AG9" s="180">
        <v>4059.8815501705885</v>
      </c>
      <c r="AH9" s="179"/>
      <c r="AI9" s="180">
        <f t="shared" ref="AI9:AI41" si="6">I9+AC9</f>
        <v>25852.758236354697</v>
      </c>
      <c r="AJ9" s="179"/>
      <c r="AK9" s="180">
        <v>600</v>
      </c>
      <c r="AL9" s="180">
        <f t="shared" ref="AL9:AL41" si="7">M9+AE9</f>
        <v>983</v>
      </c>
      <c r="AM9" s="180">
        <f t="shared" ref="AM9:AM41" si="8">P9+AF9</f>
        <v>5586</v>
      </c>
      <c r="AN9" s="180">
        <f t="shared" ref="AN9:AN41" si="9">SUM(AK9:AM9)</f>
        <v>7169</v>
      </c>
      <c r="AO9" s="179"/>
      <c r="AP9" s="180">
        <v>7809.3391238589656</v>
      </c>
      <c r="AQ9" s="180">
        <v>4583.3275428076986</v>
      </c>
      <c r="AR9" s="180">
        <v>12392.666666666664</v>
      </c>
      <c r="AS9" s="180"/>
      <c r="AT9" s="180">
        <v>45414.424903021361</v>
      </c>
      <c r="AU9" s="180">
        <v>2300</v>
      </c>
      <c r="AV9" s="180">
        <v>47714.424903021361</v>
      </c>
      <c r="AW9" s="184">
        <v>45.81773061521767</v>
      </c>
      <c r="AX9" s="185"/>
      <c r="AY9" s="148">
        <f t="shared" ref="AY9:AY41" si="10">RANK(I9,$I$8:$I$41,1)</f>
        <v>30</v>
      </c>
      <c r="AZ9" s="186">
        <v>0.11134567420955112</v>
      </c>
      <c r="BA9" s="187">
        <v>0.45817730615217672</v>
      </c>
      <c r="BB9" s="186"/>
      <c r="BC9" s="186"/>
      <c r="BD9" s="283"/>
      <c r="BE9" s="190">
        <f t="shared" ref="BE9:BE31" si="11">(AN9+AR9+AU9)/AV9</f>
        <v>0.45817730615217672</v>
      </c>
      <c r="BF9" s="190">
        <f t="shared" ref="BF9:BF33" si="12">P9/U9</f>
        <v>5.4654298464960123E-2</v>
      </c>
      <c r="BG9" s="190">
        <f t="shared" si="2"/>
        <v>0.49085246331259752</v>
      </c>
      <c r="BH9" s="190">
        <f t="shared" si="3"/>
        <v>0.31616678999603071</v>
      </c>
      <c r="BI9" s="190">
        <f t="shared" si="4"/>
        <v>0.19298074669137172</v>
      </c>
      <c r="BJ9" s="163">
        <f>SUM(BG8:BI8)</f>
        <v>0.99999999999999989</v>
      </c>
      <c r="BL9" s="191">
        <v>24814</v>
      </c>
      <c r="BM9" s="191">
        <v>27923.11844982941</v>
      </c>
      <c r="BN9" s="191">
        <v>45414.424903021361</v>
      </c>
      <c r="BO9" s="191">
        <v>47714.424903021361</v>
      </c>
      <c r="BQ9" s="191">
        <f t="shared" ref="BQ9:BQ39" si="13">I9-BL9</f>
        <v>0</v>
      </c>
      <c r="BR9" s="191">
        <f t="shared" ref="BR9:BR39" si="14">U9-BM9</f>
        <v>0</v>
      </c>
      <c r="BS9" s="191">
        <f t="shared" ref="BS9:BS39" si="15">AT9-BN9</f>
        <v>0</v>
      </c>
      <c r="BT9" s="191">
        <f t="shared" ref="BT9:BT39" si="16">AV9-BO9</f>
        <v>0</v>
      </c>
      <c r="BV9" s="192">
        <v>1993</v>
      </c>
      <c r="BW9" s="56">
        <v>24814</v>
      </c>
      <c r="BX9" s="47"/>
      <c r="BY9" s="56">
        <v>600</v>
      </c>
      <c r="BZ9" s="56">
        <v>983</v>
      </c>
      <c r="CA9" s="56">
        <v>1526.1184498294112</v>
      </c>
      <c r="CB9" s="56">
        <v>3109.1184498294115</v>
      </c>
      <c r="CC9" s="47"/>
      <c r="CD9" s="56">
        <v>27923.11844982941</v>
      </c>
      <c r="CE9" s="47"/>
      <c r="CF9" s="56">
        <v>692.50549090313064</v>
      </c>
      <c r="CG9" s="193">
        <v>1.5</v>
      </c>
      <c r="CH9" s="56">
        <v>1038.758236354696</v>
      </c>
      <c r="CI9" s="47"/>
      <c r="CJ9" s="47">
        <v>0</v>
      </c>
      <c r="CK9" s="56">
        <v>4059.8815501705885</v>
      </c>
      <c r="CL9" s="56">
        <v>4059.8815501705885</v>
      </c>
      <c r="CM9" s="47"/>
      <c r="CN9" s="56">
        <v>25852.758236354697</v>
      </c>
      <c r="CO9" s="47"/>
      <c r="CP9" s="56">
        <v>600</v>
      </c>
      <c r="CQ9" s="56">
        <v>983</v>
      </c>
      <c r="CR9" s="56">
        <v>5586</v>
      </c>
      <c r="CS9" s="56">
        <v>7169</v>
      </c>
      <c r="CT9" s="47"/>
      <c r="CU9" s="56">
        <v>7809.3391238589656</v>
      </c>
      <c r="CV9" s="56">
        <v>4583.3275428076986</v>
      </c>
      <c r="CW9" s="56">
        <v>12392.666666666664</v>
      </c>
      <c r="CX9" s="47"/>
      <c r="CY9" s="47"/>
      <c r="CZ9" s="47"/>
      <c r="DA9" s="47"/>
      <c r="DB9" s="56">
        <v>45414.424903021361</v>
      </c>
      <c r="DC9" s="47">
        <v>700</v>
      </c>
      <c r="DD9" s="56">
        <v>46114.424903021361</v>
      </c>
      <c r="DE9" s="191">
        <f t="shared" ref="DE9:DE31" si="17">DD9-AV9</f>
        <v>-1600</v>
      </c>
    </row>
    <row r="10" spans="1:109" x14ac:dyDescent="0.25">
      <c r="A10" s="995">
        <v>1994</v>
      </c>
      <c r="B10" s="995"/>
      <c r="C10" s="177">
        <v>20478</v>
      </c>
      <c r="D10" s="177">
        <v>3851</v>
      </c>
      <c r="E10" s="177"/>
      <c r="F10" s="177">
        <v>3933</v>
      </c>
      <c r="G10" s="177">
        <v>1470</v>
      </c>
      <c r="H10" s="177"/>
      <c r="I10" s="180">
        <f>U10-S10</f>
        <v>24291</v>
      </c>
      <c r="J10" s="179"/>
      <c r="K10" s="180">
        <v>120</v>
      </c>
      <c r="L10" s="180"/>
      <c r="M10" s="180">
        <v>241</v>
      </c>
      <c r="N10" s="180">
        <v>48</v>
      </c>
      <c r="O10" s="180"/>
      <c r="P10" s="180">
        <v>2098</v>
      </c>
      <c r="Q10" s="180">
        <v>0</v>
      </c>
      <c r="R10" s="180"/>
      <c r="S10" s="180">
        <f>SUM(K10,M10,P10)</f>
        <v>2459</v>
      </c>
      <c r="T10" s="179"/>
      <c r="U10" s="180">
        <v>26750</v>
      </c>
      <c r="V10" s="180">
        <v>4080</v>
      </c>
      <c r="W10" s="180"/>
      <c r="X10" s="282">
        <f t="shared" si="1"/>
        <v>7.8429906542056074</v>
      </c>
      <c r="Y10" s="182">
        <v>3.8576963068995232E-2</v>
      </c>
      <c r="Z10" s="182">
        <v>0.28707690017177284</v>
      </c>
      <c r="AA10" s="182">
        <v>0.67434613675923194</v>
      </c>
      <c r="AB10" s="182"/>
      <c r="AC10" s="180">
        <v>3702.5821019688628</v>
      </c>
      <c r="AD10" s="179"/>
      <c r="AE10" s="180">
        <v>0</v>
      </c>
      <c r="AF10" s="180">
        <v>4115.3352287638882</v>
      </c>
      <c r="AG10" s="180">
        <v>4115.3352287638882</v>
      </c>
      <c r="AH10" s="179"/>
      <c r="AI10" s="180">
        <f t="shared" si="6"/>
        <v>27993.582101968863</v>
      </c>
      <c r="AJ10" s="179"/>
      <c r="AK10" s="180">
        <v>120</v>
      </c>
      <c r="AL10" s="180">
        <f t="shared" si="7"/>
        <v>241</v>
      </c>
      <c r="AM10" s="180">
        <f t="shared" si="8"/>
        <v>6213.3352287638882</v>
      </c>
      <c r="AN10" s="180">
        <f t="shared" si="9"/>
        <v>6574.3352287638882</v>
      </c>
      <c r="AO10" s="179"/>
      <c r="AP10" s="180">
        <v>6731.4709611830649</v>
      </c>
      <c r="AQ10" s="180">
        <v>3950.723072806556</v>
      </c>
      <c r="AR10" s="180">
        <v>10682.194033989621</v>
      </c>
      <c r="AS10" s="180"/>
      <c r="AT10" s="180">
        <v>42779.776135958484</v>
      </c>
      <c r="AU10" s="180">
        <v>2200</v>
      </c>
      <c r="AV10" s="180">
        <v>44979.776135958484</v>
      </c>
      <c r="AW10" s="184">
        <v>44.704966901590232</v>
      </c>
      <c r="AX10" s="185"/>
      <c r="AY10" s="148">
        <f t="shared" si="10"/>
        <v>28</v>
      </c>
      <c r="AZ10" s="186">
        <v>0.12811811038352092</v>
      </c>
      <c r="BA10" s="187">
        <v>0.44704966901590232</v>
      </c>
      <c r="BB10" s="186"/>
      <c r="BC10" s="186"/>
      <c r="BD10" s="283"/>
      <c r="BE10" s="190">
        <f t="shared" si="11"/>
        <v>0.43256171849195235</v>
      </c>
      <c r="BF10" s="190">
        <f t="shared" si="12"/>
        <v>7.8429906542056074E-2</v>
      </c>
      <c r="BG10" s="190">
        <f t="shared" si="2"/>
        <v>0.85319235461569742</v>
      </c>
      <c r="BH10" s="190">
        <f t="shared" si="3"/>
        <v>9.800732004880032E-2</v>
      </c>
      <c r="BI10" s="190">
        <f t="shared" si="4"/>
        <v>4.8800325335502236E-2</v>
      </c>
      <c r="BJ10" s="163"/>
      <c r="BL10" s="191">
        <v>21169</v>
      </c>
      <c r="BM10" s="191">
        <v>24279.664771236112</v>
      </c>
      <c r="BN10" s="191">
        <v>42779.776135958484</v>
      </c>
      <c r="BO10" s="191">
        <v>44979.776135958484</v>
      </c>
      <c r="BQ10" s="191">
        <f t="shared" si="13"/>
        <v>3122</v>
      </c>
      <c r="BR10" s="191">
        <f t="shared" si="14"/>
        <v>2470.3352287638882</v>
      </c>
      <c r="BS10" s="191">
        <f t="shared" si="15"/>
        <v>0</v>
      </c>
      <c r="BT10" s="191">
        <f t="shared" si="16"/>
        <v>0</v>
      </c>
      <c r="BV10" s="192">
        <v>1994</v>
      </c>
      <c r="BW10" s="56">
        <v>21169</v>
      </c>
      <c r="BX10" s="47"/>
      <c r="BY10" s="56">
        <v>120</v>
      </c>
      <c r="BZ10" s="56">
        <v>893</v>
      </c>
      <c r="CA10" s="56">
        <v>2097.6647712361123</v>
      </c>
      <c r="CB10" s="56">
        <v>3110.6647712361123</v>
      </c>
      <c r="CC10" s="47"/>
      <c r="CD10" s="56">
        <v>24279.664771236112</v>
      </c>
      <c r="CE10" s="47"/>
      <c r="CF10" s="56">
        <v>2468.3880679792419</v>
      </c>
      <c r="CG10" s="193">
        <v>1.5</v>
      </c>
      <c r="CH10" s="56">
        <v>3702.5821019688628</v>
      </c>
      <c r="CI10" s="47"/>
      <c r="CJ10" s="47">
        <v>0</v>
      </c>
      <c r="CK10" s="56">
        <v>4115.3352287638882</v>
      </c>
      <c r="CL10" s="56">
        <v>4115.3352287638882</v>
      </c>
      <c r="CM10" s="47"/>
      <c r="CN10" s="56">
        <v>24871.582101968863</v>
      </c>
      <c r="CO10" s="47"/>
      <c r="CP10" s="56">
        <v>120</v>
      </c>
      <c r="CQ10" s="56">
        <v>893</v>
      </c>
      <c r="CR10" s="56">
        <v>6213</v>
      </c>
      <c r="CS10" s="56">
        <v>7226</v>
      </c>
      <c r="CT10" s="47"/>
      <c r="CU10" s="56">
        <v>6731.4709611830649</v>
      </c>
      <c r="CV10" s="56">
        <v>3950.723072806556</v>
      </c>
      <c r="CW10" s="56">
        <v>10682.194033989621</v>
      </c>
      <c r="CX10" s="47"/>
      <c r="CY10" s="47"/>
      <c r="CZ10" s="47"/>
      <c r="DA10" s="47"/>
      <c r="DB10" s="56">
        <v>42779.776135958484</v>
      </c>
      <c r="DC10" s="47">
        <v>700</v>
      </c>
      <c r="DD10" s="56">
        <v>43479.776135958484</v>
      </c>
      <c r="DE10" s="191">
        <f t="shared" si="17"/>
        <v>-1500</v>
      </c>
    </row>
    <row r="11" spans="1:109" x14ac:dyDescent="0.25">
      <c r="A11" s="995">
        <v>1995</v>
      </c>
      <c r="B11" s="995"/>
      <c r="C11" s="177">
        <v>8067</v>
      </c>
      <c r="D11" s="177">
        <v>1951</v>
      </c>
      <c r="E11" s="177"/>
      <c r="F11" s="177">
        <v>1719</v>
      </c>
      <c r="G11" s="177">
        <v>687</v>
      </c>
      <c r="H11" s="177"/>
      <c r="I11" s="180">
        <f t="shared" ref="I11:I41" si="18">U11-S11</f>
        <v>9714</v>
      </c>
      <c r="J11" s="179"/>
      <c r="K11" s="180">
        <v>72</v>
      </c>
      <c r="L11" s="180"/>
      <c r="M11" s="180">
        <v>166</v>
      </c>
      <c r="N11" s="180">
        <v>33</v>
      </c>
      <c r="O11" s="180"/>
      <c r="P11" s="180">
        <v>1812</v>
      </c>
      <c r="Q11" s="180">
        <v>0</v>
      </c>
      <c r="R11" s="180"/>
      <c r="S11" s="180">
        <f t="shared" ref="S11:S41" si="19">SUM(K11,M11,P11)</f>
        <v>2050</v>
      </c>
      <c r="T11" s="179"/>
      <c r="U11" s="180">
        <v>11764</v>
      </c>
      <c r="V11" s="180">
        <v>2133</v>
      </c>
      <c r="W11" s="180"/>
      <c r="X11" s="282">
        <f t="shared" si="1"/>
        <v>15.402924175450527</v>
      </c>
      <c r="Y11" s="182">
        <v>2.7913572764141074E-2</v>
      </c>
      <c r="Z11" s="182">
        <v>0.26944351487608398</v>
      </c>
      <c r="AA11" s="182">
        <v>0.70264291235977494</v>
      </c>
      <c r="AB11" s="182"/>
      <c r="AC11" s="180">
        <v>973.11452679950878</v>
      </c>
      <c r="AD11" s="179"/>
      <c r="AE11" s="180">
        <v>0</v>
      </c>
      <c r="AF11" s="180">
        <v>4903.6096579476862</v>
      </c>
      <c r="AG11" s="180">
        <v>4903.6096579476862</v>
      </c>
      <c r="AH11" s="179"/>
      <c r="AI11" s="180">
        <f t="shared" si="6"/>
        <v>10687.114526799509</v>
      </c>
      <c r="AJ11" s="179"/>
      <c r="AK11" s="180">
        <v>72</v>
      </c>
      <c r="AL11" s="180">
        <f t="shared" si="7"/>
        <v>166</v>
      </c>
      <c r="AM11" s="180">
        <f t="shared" si="8"/>
        <v>6715.6096579476862</v>
      </c>
      <c r="AN11" s="180">
        <f t="shared" si="9"/>
        <v>6953.6096579476862</v>
      </c>
      <c r="AO11" s="179"/>
      <c r="AP11" s="180">
        <v>3408.7592038463467</v>
      </c>
      <c r="AQ11" s="180">
        <v>2000.6123050868241</v>
      </c>
      <c r="AR11" s="180">
        <v>5409.3715089331708</v>
      </c>
      <c r="AS11" s="180"/>
      <c r="AT11" s="180">
        <v>21709.48603573268</v>
      </c>
      <c r="AU11" s="180">
        <v>1100</v>
      </c>
      <c r="AV11" s="180">
        <v>22809.48603573268</v>
      </c>
      <c r="AW11" s="184">
        <v>61.344527829400128</v>
      </c>
      <c r="AX11" s="185"/>
      <c r="AY11" s="148">
        <f t="shared" si="10"/>
        <v>4</v>
      </c>
      <c r="AZ11" s="186">
        <v>0.2474617430037111</v>
      </c>
      <c r="BA11" s="187">
        <v>0.61344527829400131</v>
      </c>
      <c r="BB11" s="186"/>
      <c r="BC11" s="186"/>
      <c r="BD11" s="283"/>
      <c r="BE11" s="190">
        <f t="shared" si="11"/>
        <v>0.59023605993533312</v>
      </c>
      <c r="BF11" s="190">
        <f t="shared" si="12"/>
        <v>0.15402924175450527</v>
      </c>
      <c r="BG11" s="190">
        <f t="shared" si="2"/>
        <v>0.88390243902439025</v>
      </c>
      <c r="BH11" s="190">
        <f t="shared" si="3"/>
        <v>8.0975609756097564E-2</v>
      </c>
      <c r="BI11" s="190">
        <f t="shared" si="4"/>
        <v>3.5121951219512199E-2</v>
      </c>
      <c r="BJ11" s="163"/>
      <c r="BL11" s="191">
        <v>7844</v>
      </c>
      <c r="BM11" s="191">
        <v>10423.390342052313</v>
      </c>
      <c r="BN11" s="191">
        <v>21709.48603573268</v>
      </c>
      <c r="BO11" s="191">
        <v>22809.48603573268</v>
      </c>
      <c r="BQ11" s="191">
        <f t="shared" si="13"/>
        <v>1870</v>
      </c>
      <c r="BR11" s="191">
        <f t="shared" si="14"/>
        <v>1340.6096579476871</v>
      </c>
      <c r="BS11" s="191">
        <f t="shared" si="15"/>
        <v>0</v>
      </c>
      <c r="BT11" s="191">
        <f t="shared" si="16"/>
        <v>0</v>
      </c>
      <c r="BV11" s="192">
        <v>1995</v>
      </c>
      <c r="BW11" s="56">
        <v>7844</v>
      </c>
      <c r="BX11" s="47"/>
      <c r="BY11" s="56">
        <v>72</v>
      </c>
      <c r="BZ11" s="56">
        <v>695</v>
      </c>
      <c r="CA11" s="56">
        <v>1812.3903420523138</v>
      </c>
      <c r="CB11" s="56">
        <v>2579.3903420523138</v>
      </c>
      <c r="CC11" s="47"/>
      <c r="CD11" s="56">
        <v>10423.390342052313</v>
      </c>
      <c r="CE11" s="47"/>
      <c r="CF11" s="56">
        <v>648.74301786633919</v>
      </c>
      <c r="CG11" s="193">
        <v>1.5</v>
      </c>
      <c r="CH11" s="56">
        <v>973.11452679950878</v>
      </c>
      <c r="CI11" s="47"/>
      <c r="CJ11" s="47">
        <v>0</v>
      </c>
      <c r="CK11" s="56">
        <v>4903.6096579476862</v>
      </c>
      <c r="CL11" s="56">
        <v>4903.6096579476862</v>
      </c>
      <c r="CM11" s="47"/>
      <c r="CN11" s="56">
        <v>8817.1145267995089</v>
      </c>
      <c r="CO11" s="47"/>
      <c r="CP11" s="56">
        <v>72</v>
      </c>
      <c r="CQ11" s="56">
        <v>695</v>
      </c>
      <c r="CR11" s="56">
        <v>6716</v>
      </c>
      <c r="CS11" s="56">
        <v>7483</v>
      </c>
      <c r="CT11" s="47"/>
      <c r="CU11" s="56">
        <v>3408.7592038463467</v>
      </c>
      <c r="CV11" s="56">
        <v>2000.6123050868241</v>
      </c>
      <c r="CW11" s="56">
        <v>5409.3715089331708</v>
      </c>
      <c r="CX11" s="47"/>
      <c r="CY11" s="47"/>
      <c r="CZ11" s="47"/>
      <c r="DA11" s="47"/>
      <c r="DB11" s="56">
        <v>21709.48603573268</v>
      </c>
      <c r="DC11" s="47">
        <v>700</v>
      </c>
      <c r="DD11" s="56">
        <v>22409.48603573268</v>
      </c>
      <c r="DE11" s="191">
        <f t="shared" si="17"/>
        <v>-400</v>
      </c>
    </row>
    <row r="12" spans="1:109" x14ac:dyDescent="0.25">
      <c r="A12" s="995">
        <v>1996</v>
      </c>
      <c r="B12" s="995"/>
      <c r="C12" s="177">
        <v>18476</v>
      </c>
      <c r="D12" s="177">
        <v>4880</v>
      </c>
      <c r="E12" s="177"/>
      <c r="F12" s="177">
        <v>3510</v>
      </c>
      <c r="G12" s="177">
        <v>1443</v>
      </c>
      <c r="H12" s="177"/>
      <c r="I12" s="180">
        <f t="shared" si="18"/>
        <v>21937</v>
      </c>
      <c r="J12" s="179"/>
      <c r="K12" s="180">
        <v>49</v>
      </c>
      <c r="L12" s="180"/>
      <c r="M12" s="180">
        <v>264</v>
      </c>
      <c r="N12" s="180">
        <v>53</v>
      </c>
      <c r="O12" s="180"/>
      <c r="P12" s="180">
        <v>1832</v>
      </c>
      <c r="Q12" s="180">
        <v>151</v>
      </c>
      <c r="R12" s="180"/>
      <c r="S12" s="180">
        <f t="shared" si="19"/>
        <v>2145</v>
      </c>
      <c r="T12" s="179"/>
      <c r="U12" s="180">
        <v>24082</v>
      </c>
      <c r="V12" s="180">
        <v>5437</v>
      </c>
      <c r="W12" s="180"/>
      <c r="X12" s="282">
        <f t="shared" si="1"/>
        <v>7.607341582925006</v>
      </c>
      <c r="Y12" s="182">
        <v>2.075976917669126E-2</v>
      </c>
      <c r="Z12" s="182">
        <v>0.2020899979037088</v>
      </c>
      <c r="AA12" s="182">
        <v>0.77715023291959995</v>
      </c>
      <c r="AB12" s="182"/>
      <c r="AC12" s="180">
        <v>1107.6100305035061</v>
      </c>
      <c r="AD12" s="179"/>
      <c r="AE12" s="180">
        <v>0</v>
      </c>
      <c r="AF12" s="180">
        <v>5865.6654710873936</v>
      </c>
      <c r="AG12" s="180">
        <v>5865.6654710873936</v>
      </c>
      <c r="AH12" s="179"/>
      <c r="AI12" s="180">
        <f t="shared" si="6"/>
        <v>23044.610030503507</v>
      </c>
      <c r="AJ12" s="179"/>
      <c r="AK12" s="180">
        <v>49</v>
      </c>
      <c r="AL12" s="180">
        <f t="shared" si="7"/>
        <v>264</v>
      </c>
      <c r="AM12" s="180">
        <f t="shared" si="8"/>
        <v>7697.6654710873936</v>
      </c>
      <c r="AN12" s="180">
        <f t="shared" si="9"/>
        <v>8010.6654710873936</v>
      </c>
      <c r="AO12" s="179"/>
      <c r="AP12" s="180">
        <v>6538.2283475257427</v>
      </c>
      <c r="AQ12" s="180">
        <v>3837.308329308762</v>
      </c>
      <c r="AR12" s="180">
        <v>10375.536676834505</v>
      </c>
      <c r="AS12" s="180"/>
      <c r="AT12" s="180">
        <v>41551.146707338012</v>
      </c>
      <c r="AU12" s="180">
        <v>2100</v>
      </c>
      <c r="AV12" s="180">
        <v>43651.146707338012</v>
      </c>
      <c r="AW12" s="184">
        <v>47.424954986015194</v>
      </c>
      <c r="AX12" s="185"/>
      <c r="AY12" s="148">
        <f t="shared" si="10"/>
        <v>26</v>
      </c>
      <c r="AZ12" s="186">
        <v>9.7525076603370717E-2</v>
      </c>
      <c r="BA12" s="187">
        <v>0.47424954986015194</v>
      </c>
      <c r="BB12" s="186"/>
      <c r="BC12" s="186"/>
      <c r="BD12" s="283"/>
      <c r="BE12" s="190">
        <f t="shared" si="11"/>
        <v>0.4693164714611735</v>
      </c>
      <c r="BF12" s="190">
        <f t="shared" si="12"/>
        <v>7.6073415829250063E-2</v>
      </c>
      <c r="BG12" s="190">
        <f t="shared" si="2"/>
        <v>0.85407925407925411</v>
      </c>
      <c r="BH12" s="190">
        <f t="shared" si="3"/>
        <v>0.12307692307692308</v>
      </c>
      <c r="BI12" s="190">
        <f t="shared" si="4"/>
        <v>2.2843822843822845E-2</v>
      </c>
      <c r="BJ12" s="163"/>
      <c r="BL12" s="191">
        <v>21842</v>
      </c>
      <c r="BM12" s="191">
        <v>24202.334528912605</v>
      </c>
      <c r="BN12" s="191">
        <v>41551.146707338012</v>
      </c>
      <c r="BO12" s="191">
        <v>43651.146707338012</v>
      </c>
      <c r="BQ12" s="191">
        <f t="shared" si="13"/>
        <v>95</v>
      </c>
      <c r="BR12" s="191">
        <f t="shared" si="14"/>
        <v>-120.33452891260458</v>
      </c>
      <c r="BS12" s="191">
        <f t="shared" si="15"/>
        <v>0</v>
      </c>
      <c r="BT12" s="191">
        <f t="shared" si="16"/>
        <v>0</v>
      </c>
      <c r="BV12" s="192">
        <v>1996</v>
      </c>
      <c r="BW12" s="56">
        <v>21842</v>
      </c>
      <c r="BX12" s="47"/>
      <c r="BY12" s="56">
        <v>49</v>
      </c>
      <c r="BZ12" s="56">
        <v>477</v>
      </c>
      <c r="CA12" s="56">
        <v>1834.3345289126059</v>
      </c>
      <c r="CB12" s="56">
        <v>2360.3345289126059</v>
      </c>
      <c r="CC12" s="47"/>
      <c r="CD12" s="56">
        <v>24202.334528912605</v>
      </c>
      <c r="CE12" s="47"/>
      <c r="CF12" s="56">
        <v>738.40668700233732</v>
      </c>
      <c r="CG12" s="193">
        <v>1.5</v>
      </c>
      <c r="CH12" s="56">
        <v>1107.6100305035061</v>
      </c>
      <c r="CI12" s="47"/>
      <c r="CJ12" s="47">
        <v>0</v>
      </c>
      <c r="CK12" s="56">
        <v>5865.6654710873936</v>
      </c>
      <c r="CL12" s="56">
        <v>5865.6654710873936</v>
      </c>
      <c r="CM12" s="47"/>
      <c r="CN12" s="56">
        <v>22949.610030503507</v>
      </c>
      <c r="CO12" s="47"/>
      <c r="CP12" s="56">
        <v>49</v>
      </c>
      <c r="CQ12" s="56">
        <v>477</v>
      </c>
      <c r="CR12" s="56">
        <v>7700</v>
      </c>
      <c r="CS12" s="56">
        <v>8226</v>
      </c>
      <c r="CT12" s="47"/>
      <c r="CU12" s="56">
        <v>6538.2283475257427</v>
      </c>
      <c r="CV12" s="56">
        <v>3837.308329308762</v>
      </c>
      <c r="CW12" s="56">
        <v>10375.536676834505</v>
      </c>
      <c r="CX12" s="47"/>
      <c r="CY12" s="47"/>
      <c r="CZ12" s="47"/>
      <c r="DA12" s="47"/>
      <c r="DB12" s="56">
        <v>41551.146707338012</v>
      </c>
      <c r="DC12" s="47">
        <v>700</v>
      </c>
      <c r="DD12" s="56">
        <v>42251.146707338012</v>
      </c>
      <c r="DE12" s="191">
        <f t="shared" si="17"/>
        <v>-1400</v>
      </c>
    </row>
    <row r="13" spans="1:109" x14ac:dyDescent="0.25">
      <c r="A13" s="995">
        <v>1997</v>
      </c>
      <c r="B13" s="995"/>
      <c r="C13" s="177">
        <v>17868</v>
      </c>
      <c r="D13" s="177">
        <v>2187</v>
      </c>
      <c r="E13" s="177"/>
      <c r="F13" s="177">
        <v>3493</v>
      </c>
      <c r="G13" s="177">
        <v>1520</v>
      </c>
      <c r="H13" s="177"/>
      <c r="I13" s="180">
        <f t="shared" si="18"/>
        <v>21321</v>
      </c>
      <c r="J13" s="179"/>
      <c r="K13" s="180">
        <v>41</v>
      </c>
      <c r="L13" s="180"/>
      <c r="M13" s="180">
        <v>253</v>
      </c>
      <c r="N13" s="180">
        <v>51</v>
      </c>
      <c r="O13" s="180"/>
      <c r="P13" s="180">
        <v>1878</v>
      </c>
      <c r="Q13" s="180">
        <v>262</v>
      </c>
      <c r="R13" s="180"/>
      <c r="S13" s="180">
        <f t="shared" si="19"/>
        <v>2172</v>
      </c>
      <c r="T13" s="179"/>
      <c r="U13" s="180">
        <v>23493</v>
      </c>
      <c r="V13" s="180">
        <v>2378</v>
      </c>
      <c r="W13" s="180"/>
      <c r="X13" s="282">
        <f t="shared" si="1"/>
        <v>7.993870514621376</v>
      </c>
      <c r="Y13" s="182">
        <v>1.9332995545298253E-2</v>
      </c>
      <c r="Z13" s="182">
        <v>9.5721904773062083E-2</v>
      </c>
      <c r="AA13" s="182">
        <v>0.8849450996816397</v>
      </c>
      <c r="AB13" s="182"/>
      <c r="AC13" s="180">
        <v>1635.2949568530512</v>
      </c>
      <c r="AD13" s="179"/>
      <c r="AE13" s="180">
        <v>0</v>
      </c>
      <c r="AF13" s="180">
        <v>4828.2732919254659</v>
      </c>
      <c r="AG13" s="180">
        <v>4828.2732919254659</v>
      </c>
      <c r="AH13" s="179"/>
      <c r="AI13" s="180">
        <f t="shared" si="6"/>
        <v>22956.294956853053</v>
      </c>
      <c r="AJ13" s="179"/>
      <c r="AK13" s="180">
        <v>41</v>
      </c>
      <c r="AL13" s="180">
        <f t="shared" si="7"/>
        <v>253</v>
      </c>
      <c r="AM13" s="180">
        <f t="shared" si="8"/>
        <v>6706.2732919254659</v>
      </c>
      <c r="AN13" s="180">
        <f t="shared" si="9"/>
        <v>7000.2732919254659</v>
      </c>
      <c r="AO13" s="179"/>
      <c r="AP13" s="180">
        <v>5664.4138550437501</v>
      </c>
      <c r="AQ13" s="180">
        <v>3324.463648449494</v>
      </c>
      <c r="AR13" s="180">
        <v>8988.8775034932441</v>
      </c>
      <c r="AS13" s="180"/>
      <c r="AT13" s="180">
        <v>36275.172460346294</v>
      </c>
      <c r="AU13" s="180">
        <v>1800</v>
      </c>
      <c r="AV13" s="180">
        <v>38075.172460346294</v>
      </c>
      <c r="AW13" s="184">
        <v>46.586466606202521</v>
      </c>
      <c r="AX13" s="185"/>
      <c r="AY13" s="148">
        <f t="shared" si="10"/>
        <v>24</v>
      </c>
      <c r="AZ13" s="186">
        <v>0.10184673399436056</v>
      </c>
      <c r="BA13" s="187">
        <v>0.4658646660620252</v>
      </c>
      <c r="BB13" s="186"/>
      <c r="BC13" s="186"/>
      <c r="BD13" s="283"/>
      <c r="BE13" s="190">
        <f t="shared" si="11"/>
        <v>0.46721129927764271</v>
      </c>
      <c r="BF13" s="190">
        <f t="shared" si="12"/>
        <v>7.9938705146213762E-2</v>
      </c>
      <c r="BG13" s="190">
        <f t="shared" si="2"/>
        <v>0.86464088397790051</v>
      </c>
      <c r="BH13" s="190">
        <f t="shared" si="3"/>
        <v>0.11648250460405156</v>
      </c>
      <c r="BI13" s="190">
        <f t="shared" si="4"/>
        <v>1.8876611418047883E-2</v>
      </c>
      <c r="BJ13" s="163"/>
      <c r="BL13" s="191">
        <v>18702</v>
      </c>
      <c r="BM13" s="191">
        <v>20822.726708074533</v>
      </c>
      <c r="BN13" s="191">
        <v>36275.172460346294</v>
      </c>
      <c r="BO13" s="191">
        <v>38075.172460346294</v>
      </c>
      <c r="BQ13" s="191">
        <f t="shared" si="13"/>
        <v>2619</v>
      </c>
      <c r="BR13" s="191">
        <f t="shared" si="14"/>
        <v>2670.2732919254668</v>
      </c>
      <c r="BS13" s="191">
        <f t="shared" si="15"/>
        <v>0</v>
      </c>
      <c r="BT13" s="191">
        <f t="shared" si="16"/>
        <v>0</v>
      </c>
      <c r="BV13" s="192">
        <v>1997</v>
      </c>
      <c r="BW13" s="56">
        <v>18702</v>
      </c>
      <c r="BX13" s="47"/>
      <c r="BY13" s="56">
        <v>41</v>
      </c>
      <c r="BZ13" s="56">
        <v>203</v>
      </c>
      <c r="CA13" s="56">
        <v>1876.7267080745341</v>
      </c>
      <c r="CB13" s="56">
        <v>2120.7267080745341</v>
      </c>
      <c r="CC13" s="47"/>
      <c r="CD13" s="56">
        <v>20822.726708074533</v>
      </c>
      <c r="CE13" s="47"/>
      <c r="CF13" s="56">
        <v>1090.1966379020341</v>
      </c>
      <c r="CG13" s="193">
        <v>1.5</v>
      </c>
      <c r="CH13" s="56">
        <v>1635.2949568530512</v>
      </c>
      <c r="CI13" s="47"/>
      <c r="CJ13" s="47">
        <v>0</v>
      </c>
      <c r="CK13" s="56">
        <v>4828.2732919254659</v>
      </c>
      <c r="CL13" s="56">
        <v>4828.2732919254659</v>
      </c>
      <c r="CM13" s="47"/>
      <c r="CN13" s="56">
        <v>20337.294956853053</v>
      </c>
      <c r="CO13" s="47"/>
      <c r="CP13" s="56">
        <v>41</v>
      </c>
      <c r="CQ13" s="56">
        <v>203</v>
      </c>
      <c r="CR13" s="56">
        <v>6705</v>
      </c>
      <c r="CS13" s="56">
        <v>6949</v>
      </c>
      <c r="CT13" s="47"/>
      <c r="CU13" s="56">
        <v>5664.4138550437501</v>
      </c>
      <c r="CV13" s="56">
        <v>3324.463648449494</v>
      </c>
      <c r="CW13" s="56">
        <v>8988.8775034932441</v>
      </c>
      <c r="CX13" s="47"/>
      <c r="CY13" s="47"/>
      <c r="CZ13" s="47"/>
      <c r="DA13" s="47"/>
      <c r="DB13" s="56">
        <v>36275.172460346294</v>
      </c>
      <c r="DC13" s="47">
        <v>700</v>
      </c>
      <c r="DD13" s="56">
        <v>36975.172460346294</v>
      </c>
      <c r="DE13" s="191">
        <f t="shared" si="17"/>
        <v>-1100</v>
      </c>
    </row>
    <row r="14" spans="1:109" x14ac:dyDescent="0.25">
      <c r="A14" s="995">
        <v>1998</v>
      </c>
      <c r="B14" s="995"/>
      <c r="C14" s="177">
        <v>21215</v>
      </c>
      <c r="D14" s="177">
        <v>2806</v>
      </c>
      <c r="E14" s="177"/>
      <c r="F14" s="177">
        <v>4033</v>
      </c>
      <c r="G14" s="177">
        <v>1800</v>
      </c>
      <c r="H14" s="177"/>
      <c r="I14" s="180">
        <f t="shared" si="18"/>
        <v>24903</v>
      </c>
      <c r="J14" s="179"/>
      <c r="K14" s="180">
        <v>345</v>
      </c>
      <c r="L14" s="180"/>
      <c r="M14" s="180">
        <v>200</v>
      </c>
      <c r="N14" s="180">
        <v>40</v>
      </c>
      <c r="O14" s="180"/>
      <c r="P14" s="180">
        <v>1596</v>
      </c>
      <c r="Q14" s="180">
        <v>177</v>
      </c>
      <c r="R14" s="180"/>
      <c r="S14" s="180">
        <f t="shared" si="19"/>
        <v>2141</v>
      </c>
      <c r="T14" s="179"/>
      <c r="U14" s="180">
        <v>27044</v>
      </c>
      <c r="V14" s="180">
        <v>3197</v>
      </c>
      <c r="W14" s="180"/>
      <c r="X14" s="282">
        <f t="shared" si="1"/>
        <v>5.901493861854755</v>
      </c>
      <c r="Y14" s="182">
        <v>0.16151685393258428</v>
      </c>
      <c r="Z14" s="182">
        <v>9.1760299625468167E-2</v>
      </c>
      <c r="AA14" s="182">
        <v>0.74672284644194753</v>
      </c>
      <c r="AB14" s="182"/>
      <c r="AC14" s="180">
        <v>1462.1176856253073</v>
      </c>
      <c r="AD14" s="179"/>
      <c r="AE14" s="180">
        <v>0</v>
      </c>
      <c r="AF14" s="180">
        <v>7470</v>
      </c>
      <c r="AG14" s="180">
        <v>7470</v>
      </c>
      <c r="AH14" s="179"/>
      <c r="AI14" s="180">
        <f t="shared" si="6"/>
        <v>26365.117685625308</v>
      </c>
      <c r="AJ14" s="179"/>
      <c r="AK14" s="180">
        <v>345</v>
      </c>
      <c r="AL14" s="180">
        <f t="shared" si="7"/>
        <v>200</v>
      </c>
      <c r="AM14" s="180">
        <f t="shared" si="8"/>
        <v>9066</v>
      </c>
      <c r="AN14" s="180">
        <f t="shared" si="9"/>
        <v>9611</v>
      </c>
      <c r="AO14" s="179"/>
      <c r="AP14" s="180">
        <v>7191.3883245505385</v>
      </c>
      <c r="AQ14" s="180">
        <v>4220.6501287974352</v>
      </c>
      <c r="AR14" s="180">
        <v>11412.038453347974</v>
      </c>
      <c r="AS14" s="180"/>
      <c r="AT14" s="180">
        <v>45693.153813391888</v>
      </c>
      <c r="AU14" s="180">
        <v>2300</v>
      </c>
      <c r="AV14" s="180">
        <v>47993.153813391888</v>
      </c>
      <c r="AW14" s="184">
        <v>48.586176570128565</v>
      </c>
      <c r="AX14" s="185"/>
      <c r="AY14" s="148">
        <f t="shared" si="10"/>
        <v>31</v>
      </c>
      <c r="AZ14" s="186">
        <v>8.4263686771157129E-2</v>
      </c>
      <c r="BA14" s="187">
        <v>0.48586176570128564</v>
      </c>
      <c r="BB14" s="186"/>
      <c r="BC14" s="186"/>
      <c r="BD14" s="283"/>
      <c r="BE14" s="190">
        <f t="shared" si="11"/>
        <v>0.48596594722724751</v>
      </c>
      <c r="BF14" s="190">
        <f t="shared" si="12"/>
        <v>5.9014938618547549E-2</v>
      </c>
      <c r="BG14" s="190">
        <f t="shared" si="2"/>
        <v>0.74544605324614666</v>
      </c>
      <c r="BH14" s="190">
        <f t="shared" si="3"/>
        <v>9.3414292386735168E-2</v>
      </c>
      <c r="BI14" s="190">
        <f t="shared" si="4"/>
        <v>0.16113965436711816</v>
      </c>
      <c r="BJ14" s="163"/>
      <c r="BL14" s="191">
        <v>23212.997674418606</v>
      </c>
      <c r="BM14" s="191">
        <v>25348.997674418606</v>
      </c>
      <c r="BN14" s="191">
        <v>45693.153813391888</v>
      </c>
      <c r="BO14" s="191">
        <v>47993.153813391888</v>
      </c>
      <c r="BQ14" s="191">
        <f t="shared" si="13"/>
        <v>1690.002325581394</v>
      </c>
      <c r="BR14" s="191">
        <f t="shared" si="14"/>
        <v>1695.002325581394</v>
      </c>
      <c r="BS14" s="191">
        <f t="shared" si="15"/>
        <v>0</v>
      </c>
      <c r="BT14" s="191">
        <f t="shared" si="16"/>
        <v>0</v>
      </c>
      <c r="BV14" s="192">
        <v>1998</v>
      </c>
      <c r="BW14" s="56">
        <v>23212.997674418606</v>
      </c>
      <c r="BX14" s="47"/>
      <c r="BY14" s="56">
        <v>345</v>
      </c>
      <c r="BZ14" s="56">
        <v>196</v>
      </c>
      <c r="CA14" s="56">
        <v>1595</v>
      </c>
      <c r="CB14" s="56">
        <v>2136</v>
      </c>
      <c r="CC14" s="47"/>
      <c r="CD14" s="56">
        <v>25348.997674418606</v>
      </c>
      <c r="CE14" s="47"/>
      <c r="CF14" s="56">
        <v>974.74512375020481</v>
      </c>
      <c r="CG14" s="193">
        <v>1.5</v>
      </c>
      <c r="CH14" s="56">
        <v>1462.1176856253073</v>
      </c>
      <c r="CI14" s="47"/>
      <c r="CJ14" s="47">
        <v>0</v>
      </c>
      <c r="CK14" s="56">
        <v>7470</v>
      </c>
      <c r="CL14" s="56">
        <v>7470</v>
      </c>
      <c r="CM14" s="47"/>
      <c r="CN14" s="56">
        <v>24675.115360043914</v>
      </c>
      <c r="CO14" s="47"/>
      <c r="CP14" s="56">
        <v>345</v>
      </c>
      <c r="CQ14" s="56">
        <v>196</v>
      </c>
      <c r="CR14" s="56">
        <v>9065</v>
      </c>
      <c r="CS14" s="56">
        <v>9606</v>
      </c>
      <c r="CT14" s="47"/>
      <c r="CU14" s="56">
        <v>7191.3883245505385</v>
      </c>
      <c r="CV14" s="56">
        <v>4220.6501287974352</v>
      </c>
      <c r="CW14" s="56">
        <v>11412.038453347974</v>
      </c>
      <c r="CX14" s="47"/>
      <c r="CY14" s="47"/>
      <c r="CZ14" s="47"/>
      <c r="DA14" s="47"/>
      <c r="DB14" s="56">
        <v>45693.153813391888</v>
      </c>
      <c r="DC14" s="47">
        <v>700</v>
      </c>
      <c r="DD14" s="56">
        <v>46393.153813391888</v>
      </c>
      <c r="DE14" s="191">
        <f t="shared" si="17"/>
        <v>-1600</v>
      </c>
    </row>
    <row r="15" spans="1:109" x14ac:dyDescent="0.25">
      <c r="A15" s="995">
        <v>1999</v>
      </c>
      <c r="B15" s="995"/>
      <c r="C15" s="177">
        <v>10985</v>
      </c>
      <c r="D15" s="177">
        <v>1502</v>
      </c>
      <c r="E15" s="177"/>
      <c r="F15" s="177">
        <v>2225</v>
      </c>
      <c r="G15" s="177">
        <v>985</v>
      </c>
      <c r="H15" s="177"/>
      <c r="I15" s="180">
        <f t="shared" si="18"/>
        <v>13018</v>
      </c>
      <c r="J15" s="179"/>
      <c r="K15" s="180">
        <v>193</v>
      </c>
      <c r="L15" s="180"/>
      <c r="M15" s="180">
        <v>132</v>
      </c>
      <c r="N15" s="180">
        <v>26</v>
      </c>
      <c r="O15" s="180"/>
      <c r="P15" s="180">
        <v>1609</v>
      </c>
      <c r="Q15" s="180">
        <v>131</v>
      </c>
      <c r="R15" s="180"/>
      <c r="S15" s="180">
        <f t="shared" si="19"/>
        <v>1934</v>
      </c>
      <c r="T15" s="179"/>
      <c r="U15" s="180">
        <v>14952</v>
      </c>
      <c r="V15" s="180">
        <v>1797</v>
      </c>
      <c r="W15" s="180"/>
      <c r="X15" s="282">
        <f t="shared" si="1"/>
        <v>10.761102193686463</v>
      </c>
      <c r="Y15" s="182">
        <v>0.10249601699415826</v>
      </c>
      <c r="Z15" s="182">
        <v>4.3547530536378123E-2</v>
      </c>
      <c r="AA15" s="182">
        <v>0.85395645246946361</v>
      </c>
      <c r="AB15" s="182"/>
      <c r="AC15" s="180">
        <v>982.01934109162426</v>
      </c>
      <c r="AD15" s="179"/>
      <c r="AE15" s="180">
        <v>0</v>
      </c>
      <c r="AF15" s="180">
        <v>7309</v>
      </c>
      <c r="AG15" s="180">
        <v>7309</v>
      </c>
      <c r="AH15" s="179"/>
      <c r="AI15" s="180">
        <f t="shared" si="6"/>
        <v>14000.019341091624</v>
      </c>
      <c r="AJ15" s="179"/>
      <c r="AK15" s="180">
        <v>193</v>
      </c>
      <c r="AL15" s="180">
        <f t="shared" si="7"/>
        <v>132</v>
      </c>
      <c r="AM15" s="180">
        <f t="shared" si="8"/>
        <v>8918</v>
      </c>
      <c r="AN15" s="180">
        <f t="shared" si="9"/>
        <v>9243</v>
      </c>
      <c r="AO15" s="179"/>
      <c r="AP15" s="180">
        <v>4561.9285096861749</v>
      </c>
      <c r="AQ15" s="180">
        <v>2677.4112706777014</v>
      </c>
      <c r="AR15" s="180">
        <v>7239.3397803638763</v>
      </c>
      <c r="AS15" s="180"/>
      <c r="AT15" s="180">
        <v>28957.359121455502</v>
      </c>
      <c r="AU15" s="180">
        <v>1500</v>
      </c>
      <c r="AV15" s="180">
        <v>30457.359121455502</v>
      </c>
      <c r="AW15" s="184">
        <v>58.873586868968729</v>
      </c>
      <c r="AX15" s="185"/>
      <c r="AY15" s="148">
        <f t="shared" si="10"/>
        <v>13</v>
      </c>
      <c r="AZ15" s="186">
        <v>0.14023981529753482</v>
      </c>
      <c r="BA15" s="187">
        <v>0.5887358686896873</v>
      </c>
      <c r="BB15" s="186"/>
      <c r="BC15" s="186"/>
      <c r="BD15" s="283"/>
      <c r="BE15" s="190">
        <f t="shared" si="11"/>
        <v>0.59041034085244526</v>
      </c>
      <c r="BF15" s="190">
        <f t="shared" si="12"/>
        <v>0.10761102193686463</v>
      </c>
      <c r="BG15" s="190">
        <f t="shared" si="2"/>
        <v>0.83195449844881075</v>
      </c>
      <c r="BH15" s="190">
        <f t="shared" si="3"/>
        <v>6.8252326783867626E-2</v>
      </c>
      <c r="BI15" s="190">
        <f t="shared" si="4"/>
        <v>9.9793174767321607E-2</v>
      </c>
      <c r="BJ15" s="163"/>
      <c r="BL15" s="191">
        <v>11544</v>
      </c>
      <c r="BM15" s="191">
        <v>13427</v>
      </c>
      <c r="BN15" s="191">
        <v>28957.359121455502</v>
      </c>
      <c r="BO15" s="191">
        <v>30457.359121455502</v>
      </c>
      <c r="BQ15" s="191">
        <f t="shared" si="13"/>
        <v>1474</v>
      </c>
      <c r="BR15" s="191">
        <f t="shared" si="14"/>
        <v>1525</v>
      </c>
      <c r="BS15" s="191">
        <f t="shared" si="15"/>
        <v>0</v>
      </c>
      <c r="BT15" s="191">
        <f t="shared" si="16"/>
        <v>0</v>
      </c>
      <c r="BV15" s="192">
        <v>1999</v>
      </c>
      <c r="BW15" s="56">
        <v>11544</v>
      </c>
      <c r="BX15" s="47"/>
      <c r="BY15" s="56">
        <v>193</v>
      </c>
      <c r="BZ15" s="56">
        <v>82</v>
      </c>
      <c r="CA15" s="56">
        <v>1608</v>
      </c>
      <c r="CB15" s="56">
        <v>1883</v>
      </c>
      <c r="CC15" s="47"/>
      <c r="CD15" s="56">
        <v>13427</v>
      </c>
      <c r="CE15" s="47"/>
      <c r="CF15" s="56">
        <v>654.6795607277495</v>
      </c>
      <c r="CG15" s="193">
        <v>1.5</v>
      </c>
      <c r="CH15" s="56">
        <v>982.01934109162426</v>
      </c>
      <c r="CI15" s="47"/>
      <c r="CJ15" s="57">
        <v>0</v>
      </c>
      <c r="CK15" s="56">
        <v>7309</v>
      </c>
      <c r="CL15" s="56">
        <v>7309</v>
      </c>
      <c r="CM15" s="47"/>
      <c r="CN15" s="56">
        <v>12526.019341091624</v>
      </c>
      <c r="CO15" s="47"/>
      <c r="CP15" s="56">
        <v>193</v>
      </c>
      <c r="CQ15" s="56">
        <v>82</v>
      </c>
      <c r="CR15" s="56">
        <v>8917</v>
      </c>
      <c r="CS15" s="56">
        <v>9192</v>
      </c>
      <c r="CT15" s="47"/>
      <c r="CU15" s="56">
        <v>4561.9285096861749</v>
      </c>
      <c r="CV15" s="56">
        <v>2677.4112706777014</v>
      </c>
      <c r="CW15" s="56">
        <v>7239.3397803638763</v>
      </c>
      <c r="CX15" s="47"/>
      <c r="CY15" s="47"/>
      <c r="CZ15" s="47"/>
      <c r="DA15" s="47"/>
      <c r="DB15" s="56">
        <v>28957.359121455502</v>
      </c>
      <c r="DC15" s="47">
        <v>700</v>
      </c>
      <c r="DD15" s="56">
        <v>29657.359121455502</v>
      </c>
      <c r="DE15" s="191">
        <f t="shared" si="17"/>
        <v>-800</v>
      </c>
    </row>
    <row r="16" spans="1:109" x14ac:dyDescent="0.25">
      <c r="A16" s="995">
        <v>2000</v>
      </c>
      <c r="B16" s="995"/>
      <c r="C16" s="177">
        <v>15500</v>
      </c>
      <c r="D16" s="177">
        <v>3216</v>
      </c>
      <c r="E16" s="177"/>
      <c r="F16" s="177">
        <v>3170</v>
      </c>
      <c r="G16" s="177">
        <v>1242</v>
      </c>
      <c r="H16" s="177"/>
      <c r="I16" s="180">
        <f t="shared" si="18"/>
        <v>18620</v>
      </c>
      <c r="J16" s="179"/>
      <c r="K16" s="180">
        <v>49</v>
      </c>
      <c r="L16" s="180"/>
      <c r="M16" s="180">
        <v>401</v>
      </c>
      <c r="N16" s="180">
        <v>80</v>
      </c>
      <c r="O16" s="180"/>
      <c r="P16" s="180">
        <v>2585</v>
      </c>
      <c r="Q16" s="180">
        <v>151</v>
      </c>
      <c r="R16" s="180"/>
      <c r="S16" s="180">
        <f t="shared" si="19"/>
        <v>3035</v>
      </c>
      <c r="T16" s="179"/>
      <c r="U16" s="180">
        <v>21655</v>
      </c>
      <c r="V16" s="180">
        <v>3498</v>
      </c>
      <c r="W16" s="180"/>
      <c r="X16" s="282">
        <f t="shared" si="1"/>
        <v>11.937196952205033</v>
      </c>
      <c r="Y16" s="182">
        <v>1.3725490196078431E-2</v>
      </c>
      <c r="Z16" s="182">
        <v>0.28655462184873948</v>
      </c>
      <c r="AA16" s="182">
        <v>0.69971988795518203</v>
      </c>
      <c r="AB16" s="182"/>
      <c r="AC16" s="180">
        <v>1301.7400990099009</v>
      </c>
      <c r="AD16" s="179"/>
      <c r="AE16" s="180">
        <v>214.46730272298021</v>
      </c>
      <c r="AF16" s="180">
        <v>6828</v>
      </c>
      <c r="AG16" s="180">
        <v>7042.4673027229801</v>
      </c>
      <c r="AH16" s="179"/>
      <c r="AI16" s="180">
        <f t="shared" si="6"/>
        <v>19921.740099009901</v>
      </c>
      <c r="AJ16" s="179"/>
      <c r="AK16" s="180">
        <v>49</v>
      </c>
      <c r="AL16" s="180">
        <f t="shared" si="7"/>
        <v>615.46730272298021</v>
      </c>
      <c r="AM16" s="180">
        <f t="shared" si="8"/>
        <v>9413</v>
      </c>
      <c r="AN16" s="180">
        <f t="shared" si="9"/>
        <v>10077.46730272298</v>
      </c>
      <c r="AO16" s="179"/>
      <c r="AP16" s="180">
        <v>1826</v>
      </c>
      <c r="AQ16" s="180">
        <v>986</v>
      </c>
      <c r="AR16" s="180">
        <v>2812</v>
      </c>
      <c r="AS16" s="180"/>
      <c r="AT16" s="180">
        <v>32772.911392876646</v>
      </c>
      <c r="AU16" s="180">
        <v>1700</v>
      </c>
      <c r="AV16" s="180">
        <v>34472.911392876646</v>
      </c>
      <c r="AW16" s="184">
        <v>43.873484111493539</v>
      </c>
      <c r="AX16" s="185"/>
      <c r="AY16" s="148">
        <f t="shared" si="10"/>
        <v>22</v>
      </c>
      <c r="AZ16" s="186">
        <v>0.16515006179770089</v>
      </c>
      <c r="BA16" s="187">
        <v>0.43873484111493538</v>
      </c>
      <c r="BB16" s="186"/>
      <c r="BC16" s="186"/>
      <c r="BD16" s="283"/>
      <c r="BE16" s="190">
        <f t="shared" si="11"/>
        <v>0.42321540923687961</v>
      </c>
      <c r="BF16" s="190">
        <f t="shared" si="12"/>
        <v>0.11937196952205033</v>
      </c>
      <c r="BG16" s="190">
        <f t="shared" si="2"/>
        <v>0.8517298187808896</v>
      </c>
      <c r="BH16" s="190">
        <f t="shared" si="3"/>
        <v>0.13212520593080726</v>
      </c>
      <c r="BI16" s="190">
        <f t="shared" si="4"/>
        <v>1.614497528830313E-2</v>
      </c>
      <c r="BJ16" s="163"/>
      <c r="BL16" s="191">
        <v>18046.703991143764</v>
      </c>
      <c r="BM16" s="191">
        <v>21616.703991143764</v>
      </c>
      <c r="BN16" s="191">
        <v>32772.911392876646</v>
      </c>
      <c r="BO16" s="191">
        <v>34472.911392876646</v>
      </c>
      <c r="BQ16" s="191">
        <f t="shared" si="13"/>
        <v>573.29600885623586</v>
      </c>
      <c r="BR16" s="191">
        <f t="shared" si="14"/>
        <v>38.296008856235858</v>
      </c>
      <c r="BS16" s="191">
        <f t="shared" si="15"/>
        <v>0</v>
      </c>
      <c r="BT16" s="191">
        <f t="shared" si="16"/>
        <v>0</v>
      </c>
      <c r="BV16" s="192">
        <v>2000</v>
      </c>
      <c r="BW16" s="56">
        <v>18046.703991143764</v>
      </c>
      <c r="BX16" s="47"/>
      <c r="BY16" s="56">
        <v>49</v>
      </c>
      <c r="BZ16" s="56">
        <v>1023</v>
      </c>
      <c r="CA16" s="56">
        <v>2498</v>
      </c>
      <c r="CB16" s="56">
        <v>3570</v>
      </c>
      <c r="CC16" s="47"/>
      <c r="CD16" s="56">
        <v>21616.703991143764</v>
      </c>
      <c r="CE16" s="47"/>
      <c r="CF16" s="56">
        <v>867.82673267326732</v>
      </c>
      <c r="CG16" s="193">
        <v>1.5</v>
      </c>
      <c r="CH16" s="56">
        <v>1301.7400990099009</v>
      </c>
      <c r="CI16" s="47"/>
      <c r="CJ16" s="57">
        <v>214.46730272298021</v>
      </c>
      <c r="CK16" s="56">
        <v>6828</v>
      </c>
      <c r="CL16" s="56">
        <v>7042.4673027229801</v>
      </c>
      <c r="CM16" s="47"/>
      <c r="CN16" s="56">
        <v>19348.444090153665</v>
      </c>
      <c r="CO16" s="47"/>
      <c r="CP16" s="56">
        <v>49</v>
      </c>
      <c r="CQ16" s="56">
        <v>1237.4673027229801</v>
      </c>
      <c r="CR16" s="56">
        <v>9326</v>
      </c>
      <c r="CS16" s="56">
        <v>10612.46730272298</v>
      </c>
      <c r="CT16" s="47"/>
      <c r="CU16" s="56">
        <v>1826</v>
      </c>
      <c r="CV16" s="56">
        <v>986</v>
      </c>
      <c r="CW16" s="56">
        <v>2812</v>
      </c>
      <c r="CX16" s="47"/>
      <c r="CY16" s="47"/>
      <c r="CZ16" s="47"/>
      <c r="DA16" s="47"/>
      <c r="DB16" s="56">
        <v>32772.911392876646</v>
      </c>
      <c r="DC16" s="47">
        <v>700</v>
      </c>
      <c r="DD16" s="56">
        <v>33472.911392876646</v>
      </c>
      <c r="DE16" s="191">
        <f t="shared" si="17"/>
        <v>-1000</v>
      </c>
    </row>
    <row r="17" spans="1:109" x14ac:dyDescent="0.25">
      <c r="A17" s="995">
        <v>2001</v>
      </c>
      <c r="B17" s="995"/>
      <c r="C17" s="177">
        <v>24567</v>
      </c>
      <c r="D17" s="177">
        <v>2995</v>
      </c>
      <c r="E17" s="177"/>
      <c r="F17" s="177">
        <v>5317</v>
      </c>
      <c r="G17" s="177">
        <v>2321</v>
      </c>
      <c r="H17" s="177"/>
      <c r="I17" s="180">
        <f t="shared" si="18"/>
        <v>31589</v>
      </c>
      <c r="J17" s="179"/>
      <c r="K17" s="180">
        <v>195</v>
      </c>
      <c r="L17" s="180"/>
      <c r="M17" s="180">
        <v>322</v>
      </c>
      <c r="N17" s="180">
        <v>64</v>
      </c>
      <c r="O17" s="180"/>
      <c r="P17" s="180">
        <v>3609</v>
      </c>
      <c r="Q17" s="180">
        <v>422</v>
      </c>
      <c r="R17" s="180"/>
      <c r="S17" s="180">
        <f t="shared" si="19"/>
        <v>4126</v>
      </c>
      <c r="T17" s="179"/>
      <c r="U17" s="180">
        <v>35715</v>
      </c>
      <c r="V17" s="180">
        <v>3313</v>
      </c>
      <c r="W17" s="180"/>
      <c r="X17" s="282">
        <f t="shared" si="1"/>
        <v>10.104997900041999</v>
      </c>
      <c r="Y17" s="182">
        <v>3.0593034201443364E-2</v>
      </c>
      <c r="Z17" s="182">
        <v>0.11327267022278005</v>
      </c>
      <c r="AA17" s="182">
        <v>0.85613429557577658</v>
      </c>
      <c r="AB17" s="182"/>
      <c r="AC17" s="180">
        <v>3927.3094519042061</v>
      </c>
      <c r="AD17" s="179"/>
      <c r="AE17" s="180">
        <v>328.00881592926385</v>
      </c>
      <c r="AF17" s="180">
        <v>6307</v>
      </c>
      <c r="AG17" s="180">
        <v>6635.0088159292636</v>
      </c>
      <c r="AH17" s="179"/>
      <c r="AI17" s="180">
        <f t="shared" si="6"/>
        <v>35516.309451904206</v>
      </c>
      <c r="AJ17" s="179"/>
      <c r="AK17" s="180">
        <v>195</v>
      </c>
      <c r="AL17" s="180">
        <f t="shared" si="7"/>
        <v>650.00881592926385</v>
      </c>
      <c r="AM17" s="180">
        <f t="shared" si="8"/>
        <v>9916</v>
      </c>
      <c r="AN17" s="180">
        <f t="shared" si="9"/>
        <v>10761.008815929265</v>
      </c>
      <c r="AO17" s="179"/>
      <c r="AP17" s="180">
        <v>928</v>
      </c>
      <c r="AQ17" s="180">
        <v>1705</v>
      </c>
      <c r="AR17" s="180">
        <v>2633</v>
      </c>
      <c r="AS17" s="180"/>
      <c r="AT17" s="180">
        <v>47898.318267833471</v>
      </c>
      <c r="AU17" s="180">
        <v>2400</v>
      </c>
      <c r="AV17" s="180">
        <v>50298.318267833471</v>
      </c>
      <c r="AW17" s="184">
        <v>35.810551252962149</v>
      </c>
      <c r="AX17" s="185"/>
      <c r="AY17" s="148">
        <f t="shared" si="10"/>
        <v>34</v>
      </c>
      <c r="AZ17" s="186">
        <v>0.18367288130709161</v>
      </c>
      <c r="BA17" s="187">
        <v>0.35810551252962147</v>
      </c>
      <c r="BB17" s="186"/>
      <c r="BC17" s="186"/>
      <c r="BD17" s="283"/>
      <c r="BE17" s="190">
        <f t="shared" si="11"/>
        <v>0.31400669763604738</v>
      </c>
      <c r="BF17" s="190">
        <f t="shared" si="12"/>
        <v>0.10104997900042</v>
      </c>
      <c r="BG17" s="190">
        <f t="shared" si="2"/>
        <v>0.87469704314105667</v>
      </c>
      <c r="BH17" s="190">
        <f t="shared" si="3"/>
        <v>7.8041686863790594E-2</v>
      </c>
      <c r="BI17" s="190">
        <f t="shared" si="4"/>
        <v>4.7261269995152691E-2</v>
      </c>
      <c r="BJ17" s="163"/>
      <c r="BL17" s="191">
        <v>28329</v>
      </c>
      <c r="BM17" s="191">
        <v>34703</v>
      </c>
      <c r="BN17" s="191">
        <v>47898.318267833471</v>
      </c>
      <c r="BO17" s="191">
        <v>50298.318267833471</v>
      </c>
      <c r="BQ17" s="191">
        <f t="shared" si="13"/>
        <v>3260</v>
      </c>
      <c r="BR17" s="191">
        <f t="shared" si="14"/>
        <v>1012</v>
      </c>
      <c r="BS17" s="191">
        <f t="shared" si="15"/>
        <v>0</v>
      </c>
      <c r="BT17" s="191">
        <f t="shared" si="16"/>
        <v>0</v>
      </c>
      <c r="BV17" s="192">
        <v>2001</v>
      </c>
      <c r="BW17" s="56">
        <v>28329</v>
      </c>
      <c r="BX17" s="47"/>
      <c r="BY17" s="56">
        <v>195</v>
      </c>
      <c r="BZ17" s="56">
        <v>722</v>
      </c>
      <c r="CA17" s="56">
        <v>5457</v>
      </c>
      <c r="CB17" s="56">
        <v>6374</v>
      </c>
      <c r="CC17" s="47"/>
      <c r="CD17" s="56">
        <v>34703</v>
      </c>
      <c r="CE17" s="47"/>
      <c r="CF17" s="56">
        <v>1550.9935623872698</v>
      </c>
      <c r="CG17" s="193">
        <v>2.5859649134989549</v>
      </c>
      <c r="CH17" s="56">
        <v>4010.8149333962319</v>
      </c>
      <c r="CI17" s="47"/>
      <c r="CJ17" s="57">
        <v>328.00881592926385</v>
      </c>
      <c r="CK17" s="56">
        <v>6307</v>
      </c>
      <c r="CL17" s="56">
        <v>6635.0088159292636</v>
      </c>
      <c r="CM17" s="47"/>
      <c r="CN17" s="56">
        <v>32339.814933396232</v>
      </c>
      <c r="CO17" s="47"/>
      <c r="CP17" s="56">
        <v>195</v>
      </c>
      <c r="CQ17" s="56">
        <v>1050.0088159292638</v>
      </c>
      <c r="CR17" s="56">
        <v>11764</v>
      </c>
      <c r="CS17" s="56">
        <v>13009.008815929265</v>
      </c>
      <c r="CT17" s="47"/>
      <c r="CU17" s="56">
        <v>928</v>
      </c>
      <c r="CV17" s="56">
        <v>1705</v>
      </c>
      <c r="CW17" s="56">
        <v>2633</v>
      </c>
      <c r="CX17" s="47"/>
      <c r="CY17" s="47"/>
      <c r="CZ17" s="47"/>
      <c r="DA17" s="47"/>
      <c r="DB17" s="56">
        <v>47981.8237493255</v>
      </c>
      <c r="DC17" s="47">
        <v>700</v>
      </c>
      <c r="DD17" s="56">
        <v>48681.8237493255</v>
      </c>
      <c r="DE17" s="191">
        <f t="shared" si="17"/>
        <v>-1616.4945185079705</v>
      </c>
    </row>
    <row r="18" spans="1:109" x14ac:dyDescent="0.25">
      <c r="A18" s="995">
        <v>2002</v>
      </c>
      <c r="B18" s="995"/>
      <c r="C18" s="177">
        <v>12398</v>
      </c>
      <c r="D18" s="177">
        <v>2477</v>
      </c>
      <c r="E18" s="177"/>
      <c r="F18" s="177">
        <v>2521</v>
      </c>
      <c r="G18" s="177">
        <v>998</v>
      </c>
      <c r="H18" s="177"/>
      <c r="I18" s="180">
        <f t="shared" si="18"/>
        <v>14767</v>
      </c>
      <c r="J18" s="179"/>
      <c r="K18" s="180">
        <v>151</v>
      </c>
      <c r="L18" s="180"/>
      <c r="M18" s="180">
        <v>296</v>
      </c>
      <c r="N18" s="180">
        <v>59</v>
      </c>
      <c r="O18" s="180"/>
      <c r="P18" s="180">
        <v>1875</v>
      </c>
      <c r="Q18" s="180">
        <v>186</v>
      </c>
      <c r="R18" s="180"/>
      <c r="S18" s="180">
        <f t="shared" si="19"/>
        <v>2322</v>
      </c>
      <c r="T18" s="179"/>
      <c r="U18" s="180">
        <v>17089</v>
      </c>
      <c r="V18" s="180">
        <v>2692</v>
      </c>
      <c r="W18" s="180"/>
      <c r="X18" s="282">
        <f t="shared" si="1"/>
        <v>10.971970273275208</v>
      </c>
      <c r="Y18" s="182">
        <v>5.5331623305240017E-2</v>
      </c>
      <c r="Z18" s="182">
        <v>0.25760351777207768</v>
      </c>
      <c r="AA18" s="182">
        <v>0.68706485892268232</v>
      </c>
      <c r="AB18" s="182"/>
      <c r="AC18" s="180">
        <v>1452.4835527501555</v>
      </c>
      <c r="AD18" s="179"/>
      <c r="AE18" s="180">
        <v>166.66034979401866</v>
      </c>
      <c r="AF18" s="180">
        <v>3555.8882595702994</v>
      </c>
      <c r="AG18" s="180">
        <v>3722.5486093643181</v>
      </c>
      <c r="AH18" s="179"/>
      <c r="AI18" s="180">
        <f t="shared" si="6"/>
        <v>16219.483552750156</v>
      </c>
      <c r="AJ18" s="179"/>
      <c r="AK18" s="180">
        <v>151</v>
      </c>
      <c r="AL18" s="180">
        <f t="shared" si="7"/>
        <v>462.66034979401866</v>
      </c>
      <c r="AM18" s="180">
        <f t="shared" si="8"/>
        <v>5430.8882595702999</v>
      </c>
      <c r="AN18" s="180">
        <f t="shared" si="9"/>
        <v>6044.5486093643185</v>
      </c>
      <c r="AO18" s="179"/>
      <c r="AP18" s="180">
        <v>5980</v>
      </c>
      <c r="AQ18" s="180">
        <v>1116</v>
      </c>
      <c r="AR18" s="180">
        <v>7096</v>
      </c>
      <c r="AS18" s="180"/>
      <c r="AT18" s="180">
        <v>28352.032162114476</v>
      </c>
      <c r="AU18" s="180">
        <v>1400</v>
      </c>
      <c r="AV18" s="180">
        <v>29752.032162114476</v>
      </c>
      <c r="AW18" s="184">
        <v>50.240429050080714</v>
      </c>
      <c r="AX18" s="185"/>
      <c r="AY18" s="148">
        <f t="shared" si="10"/>
        <v>18</v>
      </c>
      <c r="AZ18" s="186">
        <v>0.16970337665568061</v>
      </c>
      <c r="BA18" s="187">
        <v>0.50240429050080715</v>
      </c>
      <c r="BB18" s="186"/>
      <c r="BC18" s="186"/>
      <c r="BD18" s="283"/>
      <c r="BE18" s="190">
        <f t="shared" si="11"/>
        <v>0.48872455266702436</v>
      </c>
      <c r="BF18" s="190">
        <f t="shared" si="12"/>
        <v>0.10971970273275207</v>
      </c>
      <c r="BG18" s="190">
        <f t="shared" si="2"/>
        <v>0.80749354005167961</v>
      </c>
      <c r="BH18" s="190">
        <f t="shared" si="3"/>
        <v>0.12747631352282515</v>
      </c>
      <c r="BI18" s="190">
        <f t="shared" si="4"/>
        <v>6.5030146425495261E-2</v>
      </c>
      <c r="BJ18" s="163"/>
      <c r="BL18" s="191">
        <v>13352</v>
      </c>
      <c r="BM18" s="191">
        <v>16081</v>
      </c>
      <c r="BN18" s="191">
        <v>28352.032162114476</v>
      </c>
      <c r="BO18" s="191">
        <v>29752.032162114476</v>
      </c>
      <c r="BQ18" s="191">
        <f t="shared" si="13"/>
        <v>1415</v>
      </c>
      <c r="BR18" s="191">
        <f t="shared" si="14"/>
        <v>1008</v>
      </c>
      <c r="BS18" s="191">
        <f t="shared" si="15"/>
        <v>0</v>
      </c>
      <c r="BT18" s="191">
        <f t="shared" si="16"/>
        <v>0</v>
      </c>
      <c r="BV18" s="192">
        <v>2002</v>
      </c>
      <c r="BW18" s="56">
        <v>13352</v>
      </c>
      <c r="BX18" s="47"/>
      <c r="BY18" s="56">
        <v>151</v>
      </c>
      <c r="BZ18" s="56">
        <v>703</v>
      </c>
      <c r="CA18" s="56">
        <v>1875</v>
      </c>
      <c r="CB18" s="56">
        <v>2729</v>
      </c>
      <c r="CC18" s="47"/>
      <c r="CD18" s="56">
        <v>16081</v>
      </c>
      <c r="CE18" s="47"/>
      <c r="CF18" s="56">
        <v>731.01295651081273</v>
      </c>
      <c r="CG18" s="193">
        <v>1.9869463869463868</v>
      </c>
      <c r="CH18" s="56">
        <v>1452.4835527501555</v>
      </c>
      <c r="CI18" s="47"/>
      <c r="CJ18" s="57">
        <v>166.66034979401866</v>
      </c>
      <c r="CK18" s="56">
        <v>3555.8882595702994</v>
      </c>
      <c r="CL18" s="56">
        <v>3722.5486093643181</v>
      </c>
      <c r="CM18" s="47"/>
      <c r="CN18" s="56">
        <v>14804.483552750156</v>
      </c>
      <c r="CO18" s="47"/>
      <c r="CP18" s="56">
        <v>151</v>
      </c>
      <c r="CQ18" s="56">
        <v>869.66034979401866</v>
      </c>
      <c r="CR18" s="56">
        <v>5430.8882595702999</v>
      </c>
      <c r="CS18" s="56">
        <v>6451.5486093643185</v>
      </c>
      <c r="CT18" s="47"/>
      <c r="CU18" s="56">
        <v>5980</v>
      </c>
      <c r="CV18" s="56">
        <v>1116</v>
      </c>
      <c r="CW18" s="56">
        <v>7096</v>
      </c>
      <c r="CX18" s="47"/>
      <c r="CY18" s="47"/>
      <c r="CZ18" s="47"/>
      <c r="DA18" s="47"/>
      <c r="DB18" s="56">
        <v>28352.032162114476</v>
      </c>
      <c r="DC18" s="47">
        <v>700</v>
      </c>
      <c r="DD18" s="56">
        <v>29052.032162114476</v>
      </c>
      <c r="DE18" s="191">
        <f t="shared" si="17"/>
        <v>-700</v>
      </c>
    </row>
    <row r="19" spans="1:109" x14ac:dyDescent="0.25">
      <c r="A19" s="995">
        <v>2003</v>
      </c>
      <c r="B19" s="995"/>
      <c r="C19" s="177">
        <v>26531</v>
      </c>
      <c r="D19" s="177">
        <v>5259</v>
      </c>
      <c r="E19" s="177"/>
      <c r="F19" s="177">
        <v>5016</v>
      </c>
      <c r="G19" s="177">
        <v>1912</v>
      </c>
      <c r="H19" s="177"/>
      <c r="I19" s="180">
        <f t="shared" si="18"/>
        <v>31366</v>
      </c>
      <c r="J19" s="179"/>
      <c r="K19" s="180">
        <v>181</v>
      </c>
      <c r="L19" s="180"/>
      <c r="M19" s="180">
        <v>400</v>
      </c>
      <c r="N19" s="180">
        <v>80</v>
      </c>
      <c r="O19" s="180"/>
      <c r="P19" s="180">
        <v>2407</v>
      </c>
      <c r="Q19" s="180">
        <v>267</v>
      </c>
      <c r="R19" s="180"/>
      <c r="S19" s="180">
        <f t="shared" si="19"/>
        <v>2988</v>
      </c>
      <c r="T19" s="179"/>
      <c r="U19" s="180">
        <v>34354</v>
      </c>
      <c r="V19" s="180">
        <v>5642</v>
      </c>
      <c r="W19" s="180"/>
      <c r="X19" s="282">
        <f t="shared" si="1"/>
        <v>7.0064621295918963</v>
      </c>
      <c r="Y19" s="182">
        <v>5.008301051466519E-2</v>
      </c>
      <c r="Z19" s="182">
        <v>0.28500276701715549</v>
      </c>
      <c r="AA19" s="182">
        <v>0.66491422246817933</v>
      </c>
      <c r="AB19" s="182"/>
      <c r="AC19" s="180">
        <v>2425.4448677935575</v>
      </c>
      <c r="AD19" s="179"/>
      <c r="AE19" s="180">
        <v>160.02049522055177</v>
      </c>
      <c r="AF19" s="180">
        <v>4306</v>
      </c>
      <c r="AG19" s="180">
        <v>4466.0204952205513</v>
      </c>
      <c r="AH19" s="179"/>
      <c r="AI19" s="180">
        <f t="shared" si="6"/>
        <v>33791.444867793558</v>
      </c>
      <c r="AJ19" s="179"/>
      <c r="AK19" s="180">
        <v>181</v>
      </c>
      <c r="AL19" s="180">
        <f t="shared" si="7"/>
        <v>560.02049522055177</v>
      </c>
      <c r="AM19" s="180">
        <f t="shared" si="8"/>
        <v>6713</v>
      </c>
      <c r="AN19" s="180">
        <f t="shared" si="9"/>
        <v>7454.0204952205513</v>
      </c>
      <c r="AO19" s="179"/>
      <c r="AP19" s="180">
        <v>6076</v>
      </c>
      <c r="AQ19" s="180">
        <v>1167</v>
      </c>
      <c r="AR19" s="180">
        <v>7243</v>
      </c>
      <c r="AS19" s="180"/>
      <c r="AT19" s="180">
        <v>43596.832974513345</v>
      </c>
      <c r="AU19" s="180">
        <v>2200</v>
      </c>
      <c r="AV19" s="180">
        <v>45796.832974513345</v>
      </c>
      <c r="AW19" s="184">
        <v>38.262515892687141</v>
      </c>
      <c r="AX19" s="185"/>
      <c r="AY19" s="148">
        <f t="shared" si="10"/>
        <v>33</v>
      </c>
      <c r="AZ19" s="186">
        <v>0.12266495509306749</v>
      </c>
      <c r="BA19" s="187">
        <v>0.38262515892687138</v>
      </c>
      <c r="BB19" s="186"/>
      <c r="BC19" s="186"/>
      <c r="BD19" s="283"/>
      <c r="BE19" s="190">
        <f t="shared" si="11"/>
        <v>0.3689560914533983</v>
      </c>
      <c r="BF19" s="190">
        <f t="shared" si="12"/>
        <v>7.0064621295918963E-2</v>
      </c>
      <c r="BG19" s="190">
        <f t="shared" si="2"/>
        <v>0.80555555555555558</v>
      </c>
      <c r="BH19" s="190">
        <f t="shared" si="3"/>
        <v>0.13386880856760375</v>
      </c>
      <c r="BI19" s="190">
        <f t="shared" si="4"/>
        <v>6.0575635876840693E-2</v>
      </c>
      <c r="BJ19" s="163"/>
      <c r="BL19" s="191">
        <v>25848.367611499238</v>
      </c>
      <c r="BM19" s="191">
        <v>29462.367611499238</v>
      </c>
      <c r="BN19" s="191">
        <v>43596.832974513345</v>
      </c>
      <c r="BO19" s="191">
        <v>45796.832974513345</v>
      </c>
      <c r="BQ19" s="191">
        <f t="shared" si="13"/>
        <v>5517.6323885007623</v>
      </c>
      <c r="BR19" s="191">
        <f t="shared" si="14"/>
        <v>4891.6323885007623</v>
      </c>
      <c r="BS19" s="191">
        <f t="shared" si="15"/>
        <v>0</v>
      </c>
      <c r="BT19" s="191">
        <f t="shared" si="16"/>
        <v>0</v>
      </c>
      <c r="BV19" s="192">
        <v>2003</v>
      </c>
      <c r="BW19" s="56">
        <v>25848.367611499238</v>
      </c>
      <c r="BX19" s="47"/>
      <c r="BY19" s="56">
        <v>181</v>
      </c>
      <c r="BZ19" s="56">
        <v>1030</v>
      </c>
      <c r="CA19" s="56">
        <v>2403</v>
      </c>
      <c r="CB19" s="56">
        <v>3614</v>
      </c>
      <c r="CC19" s="47"/>
      <c r="CD19" s="56">
        <v>29462.367611499238</v>
      </c>
      <c r="CE19" s="47"/>
      <c r="CF19" s="56">
        <v>1415.1806192825316</v>
      </c>
      <c r="CG19" s="193">
        <v>1.7138765432098764</v>
      </c>
      <c r="CH19" s="56">
        <v>2425.4448677935575</v>
      </c>
      <c r="CI19" s="47"/>
      <c r="CJ19" s="57">
        <v>160.02049522055177</v>
      </c>
      <c r="CK19" s="56">
        <v>4306</v>
      </c>
      <c r="CL19" s="56">
        <v>4466.0204952205513</v>
      </c>
      <c r="CM19" s="47"/>
      <c r="CN19" s="56">
        <v>28273.812479292796</v>
      </c>
      <c r="CO19" s="47"/>
      <c r="CP19" s="56">
        <v>181</v>
      </c>
      <c r="CQ19" s="56">
        <v>1190.0204952205518</v>
      </c>
      <c r="CR19" s="56">
        <v>6709</v>
      </c>
      <c r="CS19" s="56">
        <v>8080.0204952205513</v>
      </c>
      <c r="CT19" s="47"/>
      <c r="CU19" s="56">
        <v>6076</v>
      </c>
      <c r="CV19" s="56">
        <v>1167</v>
      </c>
      <c r="CW19" s="56">
        <v>7243</v>
      </c>
      <c r="CX19" s="47"/>
      <c r="CY19" s="47"/>
      <c r="CZ19" s="47"/>
      <c r="DA19" s="47"/>
      <c r="DB19" s="56">
        <v>43596.832974513345</v>
      </c>
      <c r="DC19" s="47">
        <v>700</v>
      </c>
      <c r="DD19" s="56">
        <v>44296.832974513345</v>
      </c>
      <c r="DE19" s="191">
        <f t="shared" si="17"/>
        <v>-1500</v>
      </c>
    </row>
    <row r="20" spans="1:109" x14ac:dyDescent="0.25">
      <c r="A20" s="995">
        <v>2004</v>
      </c>
      <c r="B20" s="995"/>
      <c r="C20" s="177">
        <v>11954</v>
      </c>
      <c r="D20" s="177">
        <v>2864</v>
      </c>
      <c r="E20" s="177"/>
      <c r="F20" s="177">
        <v>2401</v>
      </c>
      <c r="G20" s="177">
        <v>864</v>
      </c>
      <c r="H20" s="177"/>
      <c r="I20" s="180">
        <f t="shared" si="18"/>
        <v>14125</v>
      </c>
      <c r="J20" s="179"/>
      <c r="K20" s="180">
        <v>230</v>
      </c>
      <c r="L20" s="180"/>
      <c r="M20" s="180">
        <v>320</v>
      </c>
      <c r="N20" s="180">
        <v>64</v>
      </c>
      <c r="O20" s="180"/>
      <c r="P20" s="180">
        <v>1929</v>
      </c>
      <c r="Q20" s="180">
        <v>176</v>
      </c>
      <c r="R20" s="180"/>
      <c r="S20" s="180">
        <f t="shared" si="19"/>
        <v>2479</v>
      </c>
      <c r="T20" s="179"/>
      <c r="U20" s="180">
        <v>16604</v>
      </c>
      <c r="V20" s="180">
        <v>3003</v>
      </c>
      <c r="W20" s="180"/>
      <c r="X20" s="282">
        <f t="shared" si="1"/>
        <v>11.617682486147917</v>
      </c>
      <c r="Y20" s="182">
        <v>8.0212038780777012E-2</v>
      </c>
      <c r="Z20" s="182">
        <v>0.22424496059147658</v>
      </c>
      <c r="AA20" s="182">
        <v>0.69554300062774643</v>
      </c>
      <c r="AB20" s="182"/>
      <c r="AC20" s="180">
        <v>1690.6324256450062</v>
      </c>
      <c r="AD20" s="179"/>
      <c r="AE20" s="180">
        <v>287.10379110691798</v>
      </c>
      <c r="AF20" s="180">
        <v>3990.2</v>
      </c>
      <c r="AG20" s="180">
        <v>4277.3037911069177</v>
      </c>
      <c r="AH20" s="179"/>
      <c r="AI20" s="180">
        <f t="shared" si="6"/>
        <v>15815.632425645006</v>
      </c>
      <c r="AJ20" s="179"/>
      <c r="AK20" s="180">
        <v>230</v>
      </c>
      <c r="AL20" s="180">
        <f t="shared" si="7"/>
        <v>607.10379110691792</v>
      </c>
      <c r="AM20" s="180">
        <f t="shared" si="8"/>
        <v>5919.2</v>
      </c>
      <c r="AN20" s="180">
        <f t="shared" si="9"/>
        <v>6756.3037911069177</v>
      </c>
      <c r="AO20" s="179"/>
      <c r="AP20" s="180">
        <v>7185.5120000000006</v>
      </c>
      <c r="AQ20" s="180">
        <v>1925</v>
      </c>
      <c r="AR20" s="180">
        <v>9110.5120000000006</v>
      </c>
      <c r="AS20" s="180"/>
      <c r="AT20" s="180">
        <v>33130.599955108351</v>
      </c>
      <c r="AU20" s="180">
        <v>598</v>
      </c>
      <c r="AV20" s="180">
        <v>33728.599955108351</v>
      </c>
      <c r="AW20" s="184">
        <v>49.967137128543698</v>
      </c>
      <c r="AX20" s="185"/>
      <c r="AY20" s="148">
        <f t="shared" si="10"/>
        <v>15</v>
      </c>
      <c r="AZ20" s="186">
        <v>0.15883979048921207</v>
      </c>
      <c r="BA20" s="187">
        <v>0.49967137128543698</v>
      </c>
      <c r="BB20" s="186"/>
      <c r="BC20" s="186"/>
      <c r="BD20" s="283"/>
      <c r="BE20" s="190">
        <f t="shared" si="11"/>
        <v>0.488155921473795</v>
      </c>
      <c r="BF20" s="190">
        <f t="shared" si="12"/>
        <v>0.11617682486147916</v>
      </c>
      <c r="BG20" s="190">
        <f t="shared" si="2"/>
        <v>0.77813634530052445</v>
      </c>
      <c r="BH20" s="190">
        <f t="shared" si="3"/>
        <v>0.1290843081887858</v>
      </c>
      <c r="BI20" s="190">
        <f t="shared" si="4"/>
        <v>9.2779346510689795E-2</v>
      </c>
      <c r="BJ20" s="163"/>
      <c r="BL20" s="191">
        <v>15184.751738356423</v>
      </c>
      <c r="BM20" s="191">
        <v>18052.151738356424</v>
      </c>
      <c r="BN20" s="191">
        <v>33130.599955108351</v>
      </c>
      <c r="BO20" s="191">
        <v>33728.599955108351</v>
      </c>
      <c r="BQ20" s="191">
        <f t="shared" si="13"/>
        <v>-1059.7517383564227</v>
      </c>
      <c r="BR20" s="191">
        <f t="shared" si="14"/>
        <v>-1448.1517383564242</v>
      </c>
      <c r="BS20" s="191">
        <f t="shared" si="15"/>
        <v>0</v>
      </c>
      <c r="BT20" s="191">
        <f t="shared" si="16"/>
        <v>0</v>
      </c>
      <c r="BV20" s="192">
        <v>2004</v>
      </c>
      <c r="BW20" s="56">
        <v>15184.751738356423</v>
      </c>
      <c r="BX20" s="47"/>
      <c r="BY20" s="56">
        <v>230</v>
      </c>
      <c r="BZ20" s="56">
        <v>643</v>
      </c>
      <c r="CA20" s="56">
        <v>1926</v>
      </c>
      <c r="CB20" s="56">
        <v>2799</v>
      </c>
      <c r="CC20" s="47"/>
      <c r="CD20" s="56">
        <v>17983.751738356423</v>
      </c>
      <c r="CE20" s="47"/>
      <c r="CF20" s="56">
        <v>831.35487283842303</v>
      </c>
      <c r="CG20" s="193">
        <v>2.0335869565217393</v>
      </c>
      <c r="CH20" s="56">
        <v>1690.6324256450062</v>
      </c>
      <c r="CI20" s="47"/>
      <c r="CJ20" s="57">
        <v>287.10379110691798</v>
      </c>
      <c r="CK20" s="56">
        <v>3950</v>
      </c>
      <c r="CL20" s="56">
        <v>4237.1037911069179</v>
      </c>
      <c r="CM20" s="47"/>
      <c r="CN20" s="56">
        <v>16875.384164001429</v>
      </c>
      <c r="CO20" s="47"/>
      <c r="CP20" s="56">
        <v>230</v>
      </c>
      <c r="CQ20" s="56">
        <v>930.10379110691792</v>
      </c>
      <c r="CR20" s="56">
        <v>5876</v>
      </c>
      <c r="CS20" s="56">
        <v>7036.1037911069179</v>
      </c>
      <c r="CT20" s="47"/>
      <c r="CU20" s="56">
        <v>6689</v>
      </c>
      <c r="CV20" s="56">
        <v>1925</v>
      </c>
      <c r="CW20" s="56">
        <v>8614</v>
      </c>
      <c r="CX20" s="47"/>
      <c r="CY20" s="47" t="e">
        <v>#REF!</v>
      </c>
      <c r="CZ20" s="47" t="e">
        <v>#REF!</v>
      </c>
      <c r="DA20" s="47" t="e">
        <v>#REF!</v>
      </c>
      <c r="DB20" s="56">
        <v>32525.487955108347</v>
      </c>
      <c r="DC20" s="47">
        <v>598</v>
      </c>
      <c r="DD20" s="56">
        <v>33123.487955108343</v>
      </c>
      <c r="DE20" s="191">
        <f t="shared" si="17"/>
        <v>-605.11200000000827</v>
      </c>
    </row>
    <row r="21" spans="1:109" x14ac:dyDescent="0.25">
      <c r="A21" s="995">
        <v>2005</v>
      </c>
      <c r="B21" s="995"/>
      <c r="C21" s="177">
        <v>11641</v>
      </c>
      <c r="D21" s="177">
        <v>2392</v>
      </c>
      <c r="E21" s="177"/>
      <c r="F21" s="177">
        <v>2333</v>
      </c>
      <c r="G21" s="177">
        <v>804</v>
      </c>
      <c r="H21" s="177"/>
      <c r="I21" s="180">
        <f t="shared" si="18"/>
        <v>13794.999999999998</v>
      </c>
      <c r="J21" s="179"/>
      <c r="K21" s="180">
        <v>179</v>
      </c>
      <c r="L21" s="180"/>
      <c r="M21" s="180">
        <v>261</v>
      </c>
      <c r="N21" s="180">
        <v>52</v>
      </c>
      <c r="O21" s="180"/>
      <c r="P21" s="180">
        <v>1944</v>
      </c>
      <c r="Q21" s="180">
        <v>262</v>
      </c>
      <c r="R21" s="180"/>
      <c r="S21" s="180">
        <f t="shared" si="19"/>
        <v>2384</v>
      </c>
      <c r="T21" s="179"/>
      <c r="U21" s="180">
        <v>16178.999999999998</v>
      </c>
      <c r="V21" s="180">
        <v>2404</v>
      </c>
      <c r="W21" s="180"/>
      <c r="X21" s="282">
        <f t="shared" si="1"/>
        <v>12.015575746337847</v>
      </c>
      <c r="Y21" s="182">
        <v>5.8000129609228179E-2</v>
      </c>
      <c r="Z21" s="182">
        <v>0.19992223446309379</v>
      </c>
      <c r="AA21" s="182">
        <v>0.74207763592767806</v>
      </c>
      <c r="AB21" s="182"/>
      <c r="AC21" s="180">
        <v>1864.7958717109177</v>
      </c>
      <c r="AD21" s="179"/>
      <c r="AE21" s="180">
        <v>156.13668283080534</v>
      </c>
      <c r="AF21" s="180">
        <v>4311.2000000000007</v>
      </c>
      <c r="AG21" s="180">
        <v>4467.3366828308062</v>
      </c>
      <c r="AH21" s="179"/>
      <c r="AI21" s="180">
        <f t="shared" si="6"/>
        <v>15659.795871710916</v>
      </c>
      <c r="AJ21" s="179"/>
      <c r="AK21" s="180">
        <v>179</v>
      </c>
      <c r="AL21" s="180">
        <f t="shared" si="7"/>
        <v>417.13668283080534</v>
      </c>
      <c r="AM21" s="180">
        <f t="shared" si="8"/>
        <v>6255.2000000000007</v>
      </c>
      <c r="AN21" s="180">
        <f t="shared" si="9"/>
        <v>6851.3366828308062</v>
      </c>
      <c r="AO21" s="179"/>
      <c r="AP21" s="180">
        <v>3448.6480000000001</v>
      </c>
      <c r="AQ21" s="180">
        <v>1542</v>
      </c>
      <c r="AR21" s="180">
        <v>4990.6480000000001</v>
      </c>
      <c r="AS21" s="180"/>
      <c r="AT21" s="180">
        <v>28115.467449808668</v>
      </c>
      <c r="AU21" s="180">
        <v>251</v>
      </c>
      <c r="AV21" s="180">
        <v>28366.467449808668</v>
      </c>
      <c r="AW21" s="184">
        <v>45.10672576862266</v>
      </c>
      <c r="AX21" s="185"/>
      <c r="AY21" s="148">
        <f t="shared" si="10"/>
        <v>14</v>
      </c>
      <c r="AZ21" s="186">
        <v>0.18378238213146536</v>
      </c>
      <c r="BA21" s="187">
        <v>0.45106725768622663</v>
      </c>
      <c r="BB21" s="186"/>
      <c r="BC21" s="186"/>
      <c r="BD21" s="283"/>
      <c r="BE21" s="190">
        <f t="shared" si="11"/>
        <v>0.42631267725627126</v>
      </c>
      <c r="BF21" s="190">
        <f t="shared" si="12"/>
        <v>0.12015575746337846</v>
      </c>
      <c r="BG21" s="190">
        <f t="shared" si="2"/>
        <v>0.81543624161073824</v>
      </c>
      <c r="BH21" s="190">
        <f t="shared" si="3"/>
        <v>0.10947986577181208</v>
      </c>
      <c r="BI21" s="190">
        <f t="shared" si="4"/>
        <v>7.508389261744966E-2</v>
      </c>
      <c r="BJ21" s="163"/>
      <c r="BL21" s="191">
        <v>13706.486895266944</v>
      </c>
      <c r="BM21" s="191">
        <v>16792.686895266943</v>
      </c>
      <c r="BN21" s="191">
        <v>28115.467449808668</v>
      </c>
      <c r="BO21" s="191">
        <v>28366.467449808668</v>
      </c>
      <c r="BQ21" s="191">
        <f t="shared" si="13"/>
        <v>88.513104733054206</v>
      </c>
      <c r="BR21" s="191">
        <f t="shared" si="14"/>
        <v>-613.6868952669447</v>
      </c>
      <c r="BS21" s="191">
        <f t="shared" si="15"/>
        <v>0</v>
      </c>
      <c r="BT21" s="191">
        <f t="shared" si="16"/>
        <v>0</v>
      </c>
      <c r="BV21" s="192">
        <v>2005</v>
      </c>
      <c r="BW21" s="56">
        <v>13706.486895266944</v>
      </c>
      <c r="BX21" s="47"/>
      <c r="BY21" s="56">
        <v>179</v>
      </c>
      <c r="BZ21" s="56">
        <v>617</v>
      </c>
      <c r="CA21" s="56">
        <v>2262</v>
      </c>
      <c r="CB21" s="56">
        <v>3058</v>
      </c>
      <c r="CC21" s="47"/>
      <c r="CD21" s="56">
        <v>16764.486895266942</v>
      </c>
      <c r="CE21" s="47"/>
      <c r="CF21" s="56">
        <v>750.42087392793474</v>
      </c>
      <c r="CG21" s="193">
        <v>2.4849999999999999</v>
      </c>
      <c r="CH21" s="56">
        <v>1864.7958717109177</v>
      </c>
      <c r="CI21" s="47"/>
      <c r="CJ21" s="57">
        <v>156.13668283080534</v>
      </c>
      <c r="CK21" s="56">
        <v>4283</v>
      </c>
      <c r="CL21" s="56">
        <v>4439.1366828308055</v>
      </c>
      <c r="CM21" s="47"/>
      <c r="CN21" s="56">
        <v>15571.282766977862</v>
      </c>
      <c r="CO21" s="47"/>
      <c r="CP21" s="56">
        <v>179</v>
      </c>
      <c r="CQ21" s="56">
        <v>773.13668283080528</v>
      </c>
      <c r="CR21" s="56">
        <v>6545</v>
      </c>
      <c r="CS21" s="56">
        <v>7497.1366828308055</v>
      </c>
      <c r="CT21" s="47"/>
      <c r="CU21" s="56">
        <v>3115</v>
      </c>
      <c r="CV21" s="56">
        <v>1542</v>
      </c>
      <c r="CW21" s="56">
        <v>4657</v>
      </c>
      <c r="CX21" s="47"/>
      <c r="CY21" s="47" t="e">
        <v>#REF!</v>
      </c>
      <c r="CZ21" s="47" t="e">
        <v>#REF!</v>
      </c>
      <c r="DA21" s="47" t="e">
        <v>#REF!</v>
      </c>
      <c r="DB21" s="56">
        <v>27725.419449808665</v>
      </c>
      <c r="DC21" s="47">
        <v>251</v>
      </c>
      <c r="DD21" s="56">
        <v>27976.419449808665</v>
      </c>
      <c r="DE21" s="191">
        <f t="shared" si="17"/>
        <v>-390.0480000000025</v>
      </c>
    </row>
    <row r="22" spans="1:109" x14ac:dyDescent="0.25">
      <c r="A22" s="995">
        <v>2006</v>
      </c>
      <c r="B22" s="995"/>
      <c r="C22" s="177">
        <v>19938</v>
      </c>
      <c r="D22" s="177">
        <v>3527</v>
      </c>
      <c r="E22" s="177"/>
      <c r="F22" s="177">
        <v>4062</v>
      </c>
      <c r="G22" s="177">
        <v>1480</v>
      </c>
      <c r="H22" s="177"/>
      <c r="I22" s="180">
        <f t="shared" si="18"/>
        <v>24575</v>
      </c>
      <c r="J22" s="179"/>
      <c r="K22" s="180">
        <v>456</v>
      </c>
      <c r="L22" s="180"/>
      <c r="M22" s="180">
        <v>444</v>
      </c>
      <c r="N22" s="180">
        <v>88</v>
      </c>
      <c r="O22" s="180"/>
      <c r="P22" s="180">
        <v>2158</v>
      </c>
      <c r="Q22" s="180">
        <v>290</v>
      </c>
      <c r="R22" s="180"/>
      <c r="S22" s="180">
        <f t="shared" si="19"/>
        <v>3058</v>
      </c>
      <c r="T22" s="179"/>
      <c r="U22" s="180">
        <v>27633</v>
      </c>
      <c r="V22" s="180">
        <v>3483</v>
      </c>
      <c r="W22" s="180"/>
      <c r="X22" s="282">
        <f t="shared" si="1"/>
        <v>7.8095031303152025</v>
      </c>
      <c r="Y22" s="182">
        <v>8.9721391468597519E-2</v>
      </c>
      <c r="Z22" s="182">
        <v>0.20502124980324257</v>
      </c>
      <c r="AA22" s="182">
        <v>0.70525735872815998</v>
      </c>
      <c r="AB22" s="182"/>
      <c r="AC22" s="180">
        <v>4466.9424761959635</v>
      </c>
      <c r="AD22" s="179"/>
      <c r="AE22" s="180">
        <v>267.9066579719829</v>
      </c>
      <c r="AF22" s="180">
        <v>4225.3999999999996</v>
      </c>
      <c r="AG22" s="180">
        <v>4493.3066579719825</v>
      </c>
      <c r="AH22" s="179"/>
      <c r="AI22" s="180">
        <f t="shared" si="6"/>
        <v>29041.942476195964</v>
      </c>
      <c r="AJ22" s="179"/>
      <c r="AK22" s="180">
        <v>456</v>
      </c>
      <c r="AL22" s="180">
        <f t="shared" si="7"/>
        <v>711.9066579719829</v>
      </c>
      <c r="AM22" s="180">
        <f t="shared" si="8"/>
        <v>6383.4</v>
      </c>
      <c r="AN22" s="180">
        <f t="shared" si="9"/>
        <v>7551.3066579719825</v>
      </c>
      <c r="AO22" s="179"/>
      <c r="AP22" s="180">
        <v>4939.2639999999992</v>
      </c>
      <c r="AQ22" s="180">
        <v>983</v>
      </c>
      <c r="AR22" s="180">
        <v>5922.2639999999992</v>
      </c>
      <c r="AS22" s="180"/>
      <c r="AT22" s="180">
        <v>43559.187215170736</v>
      </c>
      <c r="AU22" s="180">
        <v>1750</v>
      </c>
      <c r="AV22" s="180">
        <v>45309.187215170736</v>
      </c>
      <c r="AW22" s="184">
        <v>38.067270057311681</v>
      </c>
      <c r="AX22" s="185"/>
      <c r="AY22" s="148">
        <f t="shared" si="10"/>
        <v>29</v>
      </c>
      <c r="AZ22" s="186">
        <v>0.1772311525961407</v>
      </c>
      <c r="BA22" s="187">
        <v>0.38067270057311681</v>
      </c>
      <c r="BB22" s="186"/>
      <c r="BC22" s="186"/>
      <c r="BD22" s="283"/>
      <c r="BE22" s="190">
        <f t="shared" si="11"/>
        <v>0.33599302026046318</v>
      </c>
      <c r="BF22" s="190">
        <f t="shared" si="12"/>
        <v>7.8095031303152027E-2</v>
      </c>
      <c r="BG22" s="190">
        <f t="shared" si="2"/>
        <v>0.70568999345977768</v>
      </c>
      <c r="BH22" s="190">
        <f t="shared" si="3"/>
        <v>0.14519293655984303</v>
      </c>
      <c r="BI22" s="190">
        <f t="shared" si="4"/>
        <v>0.14911706998037932</v>
      </c>
      <c r="BJ22" s="163"/>
      <c r="BL22" s="191">
        <v>23594.274081002797</v>
      </c>
      <c r="BM22" s="191">
        <v>28676.674081002799</v>
      </c>
      <c r="BN22" s="191">
        <v>43559.187215170736</v>
      </c>
      <c r="BO22" s="191">
        <v>45309.187215170736</v>
      </c>
      <c r="BQ22" s="191">
        <f t="shared" si="13"/>
        <v>980.72591899720283</v>
      </c>
      <c r="BR22" s="191">
        <f t="shared" si="14"/>
        <v>-1043.6740810027986</v>
      </c>
      <c r="BS22" s="191">
        <f t="shared" si="15"/>
        <v>0</v>
      </c>
      <c r="BT22" s="191">
        <f t="shared" si="16"/>
        <v>0</v>
      </c>
      <c r="BV22" s="192">
        <v>2006</v>
      </c>
      <c r="BW22" s="56">
        <v>23594.274081002797</v>
      </c>
      <c r="BX22" s="47"/>
      <c r="BY22" s="56">
        <v>456</v>
      </c>
      <c r="BZ22" s="56">
        <v>1043</v>
      </c>
      <c r="CA22" s="56">
        <v>3525</v>
      </c>
      <c r="CB22" s="56">
        <v>5024</v>
      </c>
      <c r="CC22" s="47"/>
      <c r="CD22" s="56">
        <v>28618.274081002797</v>
      </c>
      <c r="CE22" s="47"/>
      <c r="CF22" s="56">
        <v>1291.7705252157211</v>
      </c>
      <c r="CG22" s="193">
        <v>3.4580000000000002</v>
      </c>
      <c r="CH22" s="56">
        <v>4466.9424761959635</v>
      </c>
      <c r="CI22" s="47"/>
      <c r="CJ22" s="57">
        <v>267.9066579719829</v>
      </c>
      <c r="CK22" s="56">
        <v>4181</v>
      </c>
      <c r="CL22" s="56">
        <v>4448.9066579719829</v>
      </c>
      <c r="CM22" s="47"/>
      <c r="CN22" s="56">
        <v>28061.216557198761</v>
      </c>
      <c r="CO22" s="47"/>
      <c r="CP22" s="56">
        <v>456</v>
      </c>
      <c r="CQ22" s="56">
        <v>1310.9066579719829</v>
      </c>
      <c r="CR22" s="56">
        <v>7706</v>
      </c>
      <c r="CS22" s="56">
        <v>9472.9066579719838</v>
      </c>
      <c r="CT22" s="47"/>
      <c r="CU22" s="56">
        <v>4513</v>
      </c>
      <c r="CV22" s="56">
        <v>983</v>
      </c>
      <c r="CW22" s="56">
        <v>5496</v>
      </c>
      <c r="CX22" s="47"/>
      <c r="CY22" s="47" t="e">
        <v>#REF!</v>
      </c>
      <c r="CZ22" s="47" t="e">
        <v>#REF!</v>
      </c>
      <c r="DA22" s="47" t="e">
        <v>#REF!</v>
      </c>
      <c r="DB22" s="56">
        <v>43030.123215170745</v>
      </c>
      <c r="DC22" s="47">
        <v>1750</v>
      </c>
      <c r="DD22" s="56">
        <v>44780.123215170745</v>
      </c>
      <c r="DE22" s="191">
        <f t="shared" si="17"/>
        <v>-529.06399999999121</v>
      </c>
    </row>
    <row r="23" spans="1:109" x14ac:dyDescent="0.25">
      <c r="A23" s="995">
        <v>2007</v>
      </c>
      <c r="B23" s="995"/>
      <c r="C23" s="177">
        <v>17030</v>
      </c>
      <c r="D23" s="177">
        <v>3225</v>
      </c>
      <c r="E23" s="177"/>
      <c r="F23" s="177">
        <v>4255</v>
      </c>
      <c r="G23" s="177">
        <v>906</v>
      </c>
      <c r="H23" s="177"/>
      <c r="I23" s="180">
        <f t="shared" si="18"/>
        <v>23264</v>
      </c>
      <c r="J23" s="179"/>
      <c r="K23" s="180">
        <v>24</v>
      </c>
      <c r="L23" s="180"/>
      <c r="M23" s="180">
        <v>422</v>
      </c>
      <c r="N23" s="180">
        <v>85</v>
      </c>
      <c r="O23" s="180"/>
      <c r="P23" s="180">
        <v>2012</v>
      </c>
      <c r="Q23" s="180">
        <v>353</v>
      </c>
      <c r="R23" s="180"/>
      <c r="S23" s="180">
        <f t="shared" si="19"/>
        <v>2458</v>
      </c>
      <c r="T23" s="179"/>
      <c r="U23" s="180">
        <v>25722</v>
      </c>
      <c r="V23" s="180">
        <v>3575</v>
      </c>
      <c r="W23" s="180"/>
      <c r="X23" s="282">
        <f t="shared" si="1"/>
        <v>7.8220978150999141</v>
      </c>
      <c r="Y23" s="182">
        <v>4.6970408642555183E-3</v>
      </c>
      <c r="Z23" s="182">
        <v>0.19434006575857207</v>
      </c>
      <c r="AA23" s="182">
        <v>0.8009628933771723</v>
      </c>
      <c r="AB23" s="182"/>
      <c r="AC23" s="180">
        <v>2827.8722432912364</v>
      </c>
      <c r="AD23" s="179"/>
      <c r="AE23" s="180">
        <v>525</v>
      </c>
      <c r="AF23" s="180">
        <v>2721.4</v>
      </c>
      <c r="AG23" s="180">
        <v>3246.4</v>
      </c>
      <c r="AH23" s="179"/>
      <c r="AI23" s="180">
        <f t="shared" si="6"/>
        <v>26091.872243291236</v>
      </c>
      <c r="AJ23" s="179"/>
      <c r="AK23" s="180">
        <v>24</v>
      </c>
      <c r="AL23" s="180">
        <f t="shared" si="7"/>
        <v>947</v>
      </c>
      <c r="AM23" s="180">
        <f t="shared" si="8"/>
        <v>4733.3999999999996</v>
      </c>
      <c r="AN23" s="180">
        <f t="shared" si="9"/>
        <v>5704.4</v>
      </c>
      <c r="AO23" s="179"/>
      <c r="AP23" s="180">
        <v>4475.0479999999998</v>
      </c>
      <c r="AQ23" s="180">
        <v>1810</v>
      </c>
      <c r="AR23" s="180">
        <v>6285.0479999999998</v>
      </c>
      <c r="AS23" s="180"/>
      <c r="AT23" s="180">
        <v>39605.233147075145</v>
      </c>
      <c r="AU23" s="180">
        <v>1322</v>
      </c>
      <c r="AV23" s="180">
        <v>40927.233147075145</v>
      </c>
      <c r="AW23" s="184">
        <v>39.003486853449296</v>
      </c>
      <c r="AX23" s="185"/>
      <c r="AY23" s="148">
        <f t="shared" si="10"/>
        <v>27</v>
      </c>
      <c r="AZ23" s="186">
        <v>0.1875363845595491</v>
      </c>
      <c r="BA23" s="187">
        <v>0.39003486853449298</v>
      </c>
      <c r="BB23" s="186"/>
      <c r="BC23" s="186"/>
      <c r="BD23" s="283"/>
      <c r="BE23" s="190">
        <f t="shared" si="11"/>
        <v>0.32524671169840125</v>
      </c>
      <c r="BF23" s="190">
        <f t="shared" si="12"/>
        <v>7.822097815099914E-2</v>
      </c>
      <c r="BG23" s="190">
        <f t="shared" si="2"/>
        <v>0.81855166802278279</v>
      </c>
      <c r="BH23" s="190">
        <f t="shared" si="3"/>
        <v>0.17168429617575265</v>
      </c>
      <c r="BI23" s="190">
        <f t="shared" si="4"/>
        <v>9.7640358014646055E-3</v>
      </c>
      <c r="BJ23" s="163"/>
      <c r="BL23" s="191">
        <v>22136.31290378391</v>
      </c>
      <c r="BM23" s="191">
        <v>27245.912903783908</v>
      </c>
      <c r="BN23" s="191">
        <v>39605.233147075145</v>
      </c>
      <c r="BO23" s="191">
        <v>40927.233147075145</v>
      </c>
      <c r="BQ23" s="191">
        <f t="shared" si="13"/>
        <v>1127.6870962160901</v>
      </c>
      <c r="BR23" s="191">
        <f t="shared" si="14"/>
        <v>-1523.9129037839084</v>
      </c>
      <c r="BS23" s="191">
        <f t="shared" si="15"/>
        <v>0</v>
      </c>
      <c r="BT23" s="191">
        <f t="shared" si="16"/>
        <v>0</v>
      </c>
      <c r="BV23" s="192">
        <v>2007</v>
      </c>
      <c r="BW23" s="56">
        <v>22136.31290378391</v>
      </c>
      <c r="BX23" s="47"/>
      <c r="BY23" s="56">
        <v>24</v>
      </c>
      <c r="BZ23" s="56">
        <v>993</v>
      </c>
      <c r="CA23" s="56">
        <v>4020</v>
      </c>
      <c r="CB23" s="56">
        <v>5037</v>
      </c>
      <c r="CC23" s="47"/>
      <c r="CD23" s="56">
        <v>27173.31290378391</v>
      </c>
      <c r="CE23" s="47"/>
      <c r="CF23" s="56">
        <v>1211.9481382597005</v>
      </c>
      <c r="CG23" s="193">
        <v>2.3333277671039006</v>
      </c>
      <c r="CH23" s="56">
        <v>2827.8722432912364</v>
      </c>
      <c r="CI23" s="47"/>
      <c r="CJ23" s="57">
        <v>525</v>
      </c>
      <c r="CK23" s="56">
        <v>2704</v>
      </c>
      <c r="CL23" s="56">
        <v>3229</v>
      </c>
      <c r="CM23" s="47"/>
      <c r="CN23" s="56">
        <v>24964.185147075146</v>
      </c>
      <c r="CO23" s="47"/>
      <c r="CP23" s="56">
        <v>24</v>
      </c>
      <c r="CQ23" s="56">
        <v>1518</v>
      </c>
      <c r="CR23" s="56">
        <v>6724</v>
      </c>
      <c r="CS23" s="56">
        <v>8266</v>
      </c>
      <c r="CT23" s="47"/>
      <c r="CU23" s="56">
        <v>4031</v>
      </c>
      <c r="CV23" s="56">
        <v>1810</v>
      </c>
      <c r="CW23" s="56">
        <v>5841</v>
      </c>
      <c r="CX23" s="47"/>
      <c r="CY23" s="47" t="e">
        <v>#REF!</v>
      </c>
      <c r="CZ23" s="47" t="e">
        <v>#REF!</v>
      </c>
      <c r="DA23" s="47" t="e">
        <v>#REF!</v>
      </c>
      <c r="DB23" s="56">
        <v>39071.185147075143</v>
      </c>
      <c r="DC23" s="47">
        <v>274</v>
      </c>
      <c r="DD23" s="56">
        <v>39345.185147075143</v>
      </c>
      <c r="DE23" s="191">
        <f t="shared" si="17"/>
        <v>-1582.0480000000025</v>
      </c>
    </row>
    <row r="24" spans="1:109" x14ac:dyDescent="0.25">
      <c r="A24" s="995">
        <v>2008</v>
      </c>
      <c r="B24" s="995"/>
      <c r="C24" s="177">
        <v>18262</v>
      </c>
      <c r="D24" s="177">
        <v>4073.0000000000005</v>
      </c>
      <c r="E24" s="177"/>
      <c r="F24" s="177">
        <v>3401</v>
      </c>
      <c r="G24" s="177">
        <v>1408</v>
      </c>
      <c r="H24" s="177"/>
      <c r="I24" s="180">
        <f t="shared" si="18"/>
        <v>21490</v>
      </c>
      <c r="J24" s="179"/>
      <c r="K24" s="180">
        <v>174</v>
      </c>
      <c r="L24" s="180"/>
      <c r="M24" s="180">
        <v>340</v>
      </c>
      <c r="N24" s="180">
        <v>68</v>
      </c>
      <c r="O24" s="180"/>
      <c r="P24" s="180">
        <v>1084</v>
      </c>
      <c r="Q24" s="180">
        <v>182</v>
      </c>
      <c r="R24" s="180"/>
      <c r="S24" s="180">
        <f t="shared" si="19"/>
        <v>1598</v>
      </c>
      <c r="T24" s="179"/>
      <c r="U24" s="180">
        <v>23088</v>
      </c>
      <c r="V24" s="180">
        <v>4523</v>
      </c>
      <c r="W24" s="180"/>
      <c r="X24" s="282">
        <f t="shared" si="1"/>
        <v>4.6950796950796949</v>
      </c>
      <c r="Y24" s="182">
        <v>8.4294157542873754E-2</v>
      </c>
      <c r="Z24" s="182">
        <v>0.38659044666214515</v>
      </c>
      <c r="AA24" s="182">
        <v>0.52911539579498112</v>
      </c>
      <c r="AB24" s="182"/>
      <c r="AC24" s="180">
        <v>2507.6954945969355</v>
      </c>
      <c r="AD24" s="179"/>
      <c r="AE24" s="180">
        <v>519</v>
      </c>
      <c r="AF24" s="180">
        <v>3382.9999999999995</v>
      </c>
      <c r="AG24" s="180">
        <v>3901.9999999999995</v>
      </c>
      <c r="AH24" s="179"/>
      <c r="AI24" s="180">
        <f t="shared" si="6"/>
        <v>23997.695494596934</v>
      </c>
      <c r="AJ24" s="179"/>
      <c r="AK24" s="180">
        <v>174</v>
      </c>
      <c r="AL24" s="180">
        <f t="shared" si="7"/>
        <v>859</v>
      </c>
      <c r="AM24" s="180">
        <f t="shared" si="8"/>
        <v>4467</v>
      </c>
      <c r="AN24" s="180">
        <f t="shared" si="9"/>
        <v>5500</v>
      </c>
      <c r="AO24" s="179"/>
      <c r="AP24" s="180">
        <v>466.62399999999997</v>
      </c>
      <c r="AQ24" s="180">
        <v>1620</v>
      </c>
      <c r="AR24" s="180">
        <v>2086.6239999999998</v>
      </c>
      <c r="AS24" s="180"/>
      <c r="AT24" s="180">
        <v>30190.519494596934</v>
      </c>
      <c r="AU24" s="180">
        <v>366</v>
      </c>
      <c r="AV24" s="180">
        <v>30556.519494596934</v>
      </c>
      <c r="AW24" s="184">
        <v>27.551645734680726</v>
      </c>
      <c r="AX24" s="185"/>
      <c r="AY24" s="148">
        <f t="shared" si="10"/>
        <v>25</v>
      </c>
      <c r="AZ24" s="186">
        <v>9.5149855721805815E-2</v>
      </c>
      <c r="BA24" s="187">
        <v>0.27551645734680724</v>
      </c>
      <c r="BB24" s="186"/>
      <c r="BC24" s="186"/>
      <c r="BD24" s="283"/>
      <c r="BE24" s="190">
        <f t="shared" si="11"/>
        <v>0.26025948411455035</v>
      </c>
      <c r="BF24" s="190">
        <f t="shared" si="12"/>
        <v>4.6950796950796951E-2</v>
      </c>
      <c r="BG24" s="190">
        <f t="shared" si="2"/>
        <v>0.67834793491864831</v>
      </c>
      <c r="BH24" s="190">
        <f t="shared" si="3"/>
        <v>0.21276595744680851</v>
      </c>
      <c r="BI24" s="190">
        <f t="shared" si="4"/>
        <v>0.10888610763454318</v>
      </c>
      <c r="BJ24" s="163"/>
      <c r="BL24" s="191">
        <v>19630</v>
      </c>
      <c r="BM24" s="191">
        <v>21694.2</v>
      </c>
      <c r="BN24" s="191">
        <v>30190.519494596934</v>
      </c>
      <c r="BO24" s="191">
        <v>30556.519494596934</v>
      </c>
      <c r="BQ24" s="191">
        <f t="shared" si="13"/>
        <v>1860</v>
      </c>
      <c r="BR24" s="191">
        <f t="shared" si="14"/>
        <v>1393.7999999999993</v>
      </c>
      <c r="BS24" s="191">
        <f t="shared" si="15"/>
        <v>0</v>
      </c>
      <c r="BT24" s="191">
        <f t="shared" si="16"/>
        <v>0</v>
      </c>
      <c r="BV24" s="192">
        <v>2008</v>
      </c>
      <c r="BW24" s="56">
        <v>19630</v>
      </c>
      <c r="BX24" s="47"/>
      <c r="BY24" s="56">
        <v>174</v>
      </c>
      <c r="BZ24" s="56">
        <v>798</v>
      </c>
      <c r="CA24" s="56">
        <v>1085</v>
      </c>
      <c r="CB24" s="56">
        <v>2057</v>
      </c>
      <c r="CC24" s="47"/>
      <c r="CD24" s="56">
        <v>21687</v>
      </c>
      <c r="CE24" s="47"/>
      <c r="CF24" s="56">
        <v>1074.7292043369707</v>
      </c>
      <c r="CG24" s="193">
        <v>2.3333277671039006</v>
      </c>
      <c r="CH24" s="56">
        <v>2507.6954945969355</v>
      </c>
      <c r="CI24" s="47"/>
      <c r="CJ24" s="57">
        <v>519</v>
      </c>
      <c r="CK24" s="56">
        <v>3365</v>
      </c>
      <c r="CL24" s="56">
        <v>3884</v>
      </c>
      <c r="CM24" s="47"/>
      <c r="CN24" s="56">
        <v>22137.695494596934</v>
      </c>
      <c r="CO24" s="47"/>
      <c r="CP24" s="56">
        <v>174</v>
      </c>
      <c r="CQ24" s="56">
        <v>1317</v>
      </c>
      <c r="CR24" s="56">
        <v>4450</v>
      </c>
      <c r="CS24" s="56">
        <v>5941</v>
      </c>
      <c r="CT24" s="47"/>
      <c r="CU24" s="56">
        <v>385</v>
      </c>
      <c r="CV24" s="56">
        <v>1620</v>
      </c>
      <c r="CW24" s="56">
        <v>2005</v>
      </c>
      <c r="CX24" s="47"/>
      <c r="CY24" s="47" t="e">
        <v>#REF!</v>
      </c>
      <c r="CZ24" s="47" t="e">
        <v>#REF!</v>
      </c>
      <c r="DA24" s="47" t="e">
        <v>#REF!</v>
      </c>
      <c r="DB24" s="56">
        <v>30083.695494596934</v>
      </c>
      <c r="DC24" s="47">
        <v>190</v>
      </c>
      <c r="DD24" s="56">
        <v>30273.695494596934</v>
      </c>
      <c r="DE24" s="191">
        <f t="shared" si="17"/>
        <v>-282.82400000000052</v>
      </c>
    </row>
    <row r="25" spans="1:109" x14ac:dyDescent="0.25">
      <c r="A25" s="995">
        <v>2009</v>
      </c>
      <c r="B25" s="995"/>
      <c r="C25" s="177">
        <v>22816</v>
      </c>
      <c r="D25" s="177">
        <v>3933</v>
      </c>
      <c r="E25" s="177"/>
      <c r="F25" s="177">
        <v>4451</v>
      </c>
      <c r="G25" s="177">
        <v>1618</v>
      </c>
      <c r="H25" s="177"/>
      <c r="I25" s="180">
        <f t="shared" si="18"/>
        <v>28149</v>
      </c>
      <c r="J25" s="179"/>
      <c r="K25" s="180">
        <v>148</v>
      </c>
      <c r="L25" s="180"/>
      <c r="M25" s="180">
        <v>471</v>
      </c>
      <c r="N25" s="180">
        <v>94</v>
      </c>
      <c r="O25" s="180"/>
      <c r="P25" s="180">
        <v>1755</v>
      </c>
      <c r="Q25" s="180">
        <v>182</v>
      </c>
      <c r="R25" s="180"/>
      <c r="S25" s="180">
        <f t="shared" si="19"/>
        <v>2374</v>
      </c>
      <c r="T25" s="179"/>
      <c r="U25" s="180">
        <v>30523</v>
      </c>
      <c r="V25" s="180">
        <v>4049.0000000000005</v>
      </c>
      <c r="W25" s="180"/>
      <c r="X25" s="282">
        <f t="shared" si="1"/>
        <v>5.7497624741997839</v>
      </c>
      <c r="Y25" s="182">
        <v>3.6510755871324255E-2</v>
      </c>
      <c r="Z25" s="182">
        <v>0.27185711466350898</v>
      </c>
      <c r="AA25" s="182">
        <v>0.69163212946516672</v>
      </c>
      <c r="AB25" s="182"/>
      <c r="AC25" s="180">
        <v>3350.3220601782664</v>
      </c>
      <c r="AD25" s="179"/>
      <c r="AE25" s="180">
        <v>193</v>
      </c>
      <c r="AF25" s="180">
        <v>2714.8</v>
      </c>
      <c r="AG25" s="180">
        <v>2907.8</v>
      </c>
      <c r="AH25" s="179"/>
      <c r="AI25" s="180">
        <f t="shared" si="6"/>
        <v>31499.322060178267</v>
      </c>
      <c r="AJ25" s="179"/>
      <c r="AK25" s="180">
        <v>148</v>
      </c>
      <c r="AL25" s="180">
        <f t="shared" si="7"/>
        <v>664</v>
      </c>
      <c r="AM25" s="180">
        <f t="shared" si="8"/>
        <v>4469.8</v>
      </c>
      <c r="AN25" s="180">
        <f t="shared" si="9"/>
        <v>5281.8</v>
      </c>
      <c r="AO25" s="179"/>
      <c r="AP25" s="180">
        <v>1366.0720000000001</v>
      </c>
      <c r="AQ25" s="180">
        <v>1316</v>
      </c>
      <c r="AR25" s="180">
        <v>2682.0720000000001</v>
      </c>
      <c r="AS25" s="180"/>
      <c r="AT25" s="180">
        <v>39219.794060178268</v>
      </c>
      <c r="AU25" s="180">
        <v>1152</v>
      </c>
      <c r="AV25" s="180">
        <v>40371.794060178268</v>
      </c>
      <c r="AW25" s="184">
        <v>26.74013442134439</v>
      </c>
      <c r="AX25" s="185"/>
      <c r="AY25" s="148">
        <f t="shared" si="10"/>
        <v>32</v>
      </c>
      <c r="AZ25" s="186">
        <v>0.13387231007014624</v>
      </c>
      <c r="BA25" s="187">
        <v>0.26740134421344391</v>
      </c>
      <c r="BB25" s="186"/>
      <c r="BC25" s="186"/>
      <c r="BD25" s="283"/>
      <c r="BE25" s="190">
        <f t="shared" si="11"/>
        <v>0.22579804074131221</v>
      </c>
      <c r="BF25" s="190">
        <f t="shared" si="12"/>
        <v>5.7497624741997835E-2</v>
      </c>
      <c r="BG25" s="190">
        <f t="shared" si="2"/>
        <v>0.73925863521482726</v>
      </c>
      <c r="BH25" s="190">
        <f t="shared" si="3"/>
        <v>0.19839932603201349</v>
      </c>
      <c r="BI25" s="190">
        <f t="shared" si="4"/>
        <v>6.2342038753159225E-2</v>
      </c>
      <c r="BJ25" s="163"/>
      <c r="BL25" s="191">
        <v>26226</v>
      </c>
      <c r="BM25" s="191">
        <v>30279.599999999999</v>
      </c>
      <c r="BN25" s="191">
        <v>39219.794060178268</v>
      </c>
      <c r="BO25" s="191">
        <v>40371.794060178268</v>
      </c>
      <c r="BQ25" s="191">
        <f t="shared" si="13"/>
        <v>1923</v>
      </c>
      <c r="BR25" s="191">
        <f t="shared" si="14"/>
        <v>243.40000000000146</v>
      </c>
      <c r="BS25" s="191">
        <f t="shared" si="15"/>
        <v>0</v>
      </c>
      <c r="BT25" s="191">
        <f t="shared" si="16"/>
        <v>0</v>
      </c>
      <c r="BV25" s="192">
        <v>2009</v>
      </c>
      <c r="BW25" s="56">
        <v>26226</v>
      </c>
      <c r="BX25" s="47"/>
      <c r="BY25" s="56">
        <v>148</v>
      </c>
      <c r="BZ25" s="56">
        <v>1103</v>
      </c>
      <c r="CA25" s="56">
        <v>2785</v>
      </c>
      <c r="CB25" s="56">
        <v>4036</v>
      </c>
      <c r="CC25" s="47"/>
      <c r="CD25" s="56">
        <v>30262</v>
      </c>
      <c r="CE25" s="47"/>
      <c r="CF25" s="56">
        <v>1435.8557367774556</v>
      </c>
      <c r="CG25" s="193">
        <v>2.3333277671039006</v>
      </c>
      <c r="CH25" s="56">
        <v>3350.3220601782664</v>
      </c>
      <c r="CI25" s="47"/>
      <c r="CJ25" s="57">
        <v>193</v>
      </c>
      <c r="CK25" s="56">
        <v>2650</v>
      </c>
      <c r="CL25" s="56">
        <v>2843</v>
      </c>
      <c r="CM25" s="47"/>
      <c r="CN25" s="56">
        <v>29576.322060178267</v>
      </c>
      <c r="CO25" s="47"/>
      <c r="CP25" s="56">
        <v>148</v>
      </c>
      <c r="CQ25" s="56">
        <v>1296</v>
      </c>
      <c r="CR25" s="56">
        <v>5435</v>
      </c>
      <c r="CS25" s="56">
        <v>6879</v>
      </c>
      <c r="CT25" s="47"/>
      <c r="CU25" s="56">
        <v>1123</v>
      </c>
      <c r="CV25" s="56">
        <v>1316</v>
      </c>
      <c r="CW25" s="56">
        <v>2439</v>
      </c>
      <c r="CX25" s="47"/>
      <c r="CY25" s="47" t="e">
        <v>#REF!</v>
      </c>
      <c r="CZ25" s="47" t="e">
        <v>#REF!</v>
      </c>
      <c r="DA25" s="47" t="e">
        <v>#REF!</v>
      </c>
      <c r="DB25" s="56">
        <v>38894.322060178267</v>
      </c>
      <c r="DC25" s="47">
        <v>1111</v>
      </c>
      <c r="DD25" s="56">
        <v>40005.322060178267</v>
      </c>
      <c r="DE25" s="191">
        <f t="shared" si="17"/>
        <v>-366.47200000000157</v>
      </c>
    </row>
    <row r="26" spans="1:109" x14ac:dyDescent="0.25">
      <c r="A26" s="995">
        <v>2010</v>
      </c>
      <c r="B26" s="995"/>
      <c r="C26" s="177">
        <v>15934</v>
      </c>
      <c r="D26" s="177">
        <v>6033</v>
      </c>
      <c r="E26" s="177"/>
      <c r="F26" s="177">
        <v>2235</v>
      </c>
      <c r="G26" s="177">
        <v>1005</v>
      </c>
      <c r="H26" s="177"/>
      <c r="I26" s="180">
        <f t="shared" si="18"/>
        <v>18236</v>
      </c>
      <c r="J26" s="179"/>
      <c r="K26" s="180">
        <v>88</v>
      </c>
      <c r="L26" s="180"/>
      <c r="M26" s="180">
        <v>271</v>
      </c>
      <c r="N26" s="180">
        <v>54</v>
      </c>
      <c r="O26" s="180"/>
      <c r="P26" s="180">
        <v>1548</v>
      </c>
      <c r="Q26" s="180">
        <v>160</v>
      </c>
      <c r="R26" s="180"/>
      <c r="S26" s="180">
        <f t="shared" si="19"/>
        <v>1907</v>
      </c>
      <c r="T26" s="179"/>
      <c r="U26" s="180">
        <v>20143</v>
      </c>
      <c r="V26" s="180">
        <v>6708</v>
      </c>
      <c r="W26" s="180"/>
      <c r="X26" s="282">
        <f t="shared" si="1"/>
        <v>7.6850518790646873</v>
      </c>
      <c r="Y26" s="182">
        <v>3.7577931505679389E-2</v>
      </c>
      <c r="Z26" s="182">
        <v>0.22802972072764538</v>
      </c>
      <c r="AA26" s="182">
        <v>0.73439234776667517</v>
      </c>
      <c r="AB26" s="182"/>
      <c r="AC26" s="180">
        <v>2348.1380991434667</v>
      </c>
      <c r="AD26" s="179"/>
      <c r="AE26" s="180">
        <v>13</v>
      </c>
      <c r="AF26" s="180">
        <v>2923</v>
      </c>
      <c r="AG26" s="180">
        <v>2936</v>
      </c>
      <c r="AH26" s="179"/>
      <c r="AI26" s="180">
        <f t="shared" si="6"/>
        <v>20584.138099143467</v>
      </c>
      <c r="AJ26" s="179"/>
      <c r="AK26" s="180">
        <v>88</v>
      </c>
      <c r="AL26" s="180">
        <f t="shared" si="7"/>
        <v>284</v>
      </c>
      <c r="AM26" s="180">
        <f t="shared" si="8"/>
        <v>4471</v>
      </c>
      <c r="AN26" s="180">
        <f t="shared" si="9"/>
        <v>4843</v>
      </c>
      <c r="AO26" s="179"/>
      <c r="AP26" s="180">
        <v>973.31999999999994</v>
      </c>
      <c r="AQ26" s="180">
        <v>399</v>
      </c>
      <c r="AR26" s="180">
        <v>1372.32</v>
      </c>
      <c r="AS26" s="180"/>
      <c r="AT26" s="180">
        <v>27379.258099143466</v>
      </c>
      <c r="AU26" s="180">
        <v>805</v>
      </c>
      <c r="AV26" s="180">
        <v>28184.258099143466</v>
      </c>
      <c r="AW26" s="184">
        <v>26.451361514556115</v>
      </c>
      <c r="AX26" s="185"/>
      <c r="AY26" s="148">
        <f t="shared" si="10"/>
        <v>21</v>
      </c>
      <c r="AZ26" s="186">
        <v>0.11300596444495919</v>
      </c>
      <c r="BA26" s="187">
        <v>0.26451361514556115</v>
      </c>
      <c r="BB26" s="186"/>
      <c r="BC26" s="186"/>
      <c r="BD26" s="283"/>
      <c r="BE26" s="190">
        <f t="shared" si="11"/>
        <v>0.24908656368759804</v>
      </c>
      <c r="BF26" s="190">
        <f t="shared" si="12"/>
        <v>7.6850518790646874E-2</v>
      </c>
      <c r="BG26" s="190">
        <f t="shared" si="2"/>
        <v>0.81174619821709493</v>
      </c>
      <c r="BH26" s="190">
        <f t="shared" si="3"/>
        <v>0.14210802307288936</v>
      </c>
      <c r="BI26" s="190">
        <f t="shared" si="4"/>
        <v>4.6145778710015732E-2</v>
      </c>
      <c r="BJ26" s="163"/>
      <c r="BL26" s="191">
        <v>18381</v>
      </c>
      <c r="BM26" s="191">
        <v>20722.8</v>
      </c>
      <c r="BN26" s="191">
        <v>27379.258099143466</v>
      </c>
      <c r="BO26" s="191">
        <v>28184.258099143466</v>
      </c>
      <c r="BQ26" s="191">
        <f t="shared" si="13"/>
        <v>-145</v>
      </c>
      <c r="BR26" s="191">
        <f t="shared" si="14"/>
        <v>-579.79999999999927</v>
      </c>
      <c r="BS26" s="191">
        <f t="shared" si="15"/>
        <v>0</v>
      </c>
      <c r="BT26" s="191">
        <f t="shared" si="16"/>
        <v>0</v>
      </c>
      <c r="BV26" s="192">
        <v>2010</v>
      </c>
      <c r="BW26" s="56">
        <v>18381</v>
      </c>
      <c r="BX26" s="47"/>
      <c r="BY26" s="56">
        <v>88</v>
      </c>
      <c r="BZ26" s="56">
        <v>534</v>
      </c>
      <c r="CA26" s="56">
        <v>1703</v>
      </c>
      <c r="CB26" s="56">
        <v>2325</v>
      </c>
      <c r="CC26" s="47"/>
      <c r="CD26" s="56">
        <v>20706</v>
      </c>
      <c r="CE26" s="47"/>
      <c r="CF26" s="56">
        <v>1006.3473003014697</v>
      </c>
      <c r="CG26" s="193">
        <v>2.3333277671039006</v>
      </c>
      <c r="CH26" s="56">
        <v>2348.1380991434667</v>
      </c>
      <c r="CI26" s="47"/>
      <c r="CJ26" s="57">
        <v>13</v>
      </c>
      <c r="CK26" s="56">
        <v>2878</v>
      </c>
      <c r="CL26" s="56">
        <v>2891</v>
      </c>
      <c r="CM26" s="47"/>
      <c r="CN26" s="56">
        <v>20729.138099143467</v>
      </c>
      <c r="CO26" s="47"/>
      <c r="CP26" s="56">
        <v>88</v>
      </c>
      <c r="CQ26" s="56">
        <v>547</v>
      </c>
      <c r="CR26" s="56">
        <v>4581</v>
      </c>
      <c r="CS26" s="56">
        <v>5216</v>
      </c>
      <c r="CT26" s="47"/>
      <c r="CU26" s="56">
        <v>822</v>
      </c>
      <c r="CV26" s="56">
        <v>399</v>
      </c>
      <c r="CW26" s="56">
        <v>1221</v>
      </c>
      <c r="CX26" s="47"/>
      <c r="CY26" s="47" t="e">
        <v>#REF!</v>
      </c>
      <c r="CZ26" s="47" t="e">
        <v>#REF!</v>
      </c>
      <c r="DA26" s="47" t="e">
        <v>#REF!</v>
      </c>
      <c r="DB26" s="56">
        <v>27166.138099143467</v>
      </c>
      <c r="DC26" s="57">
        <v>696</v>
      </c>
      <c r="DD26" s="56">
        <v>27862.138099143467</v>
      </c>
      <c r="DE26" s="191">
        <f t="shared" si="17"/>
        <v>-322.11999999999898</v>
      </c>
    </row>
    <row r="27" spans="1:109" x14ac:dyDescent="0.25">
      <c r="A27" s="995">
        <v>2011</v>
      </c>
      <c r="B27" s="995"/>
      <c r="C27" s="177">
        <v>9812</v>
      </c>
      <c r="D27" s="177">
        <v>1085</v>
      </c>
      <c r="E27" s="177"/>
      <c r="F27" s="177">
        <v>1273</v>
      </c>
      <c r="G27" s="177">
        <v>524</v>
      </c>
      <c r="H27" s="177"/>
      <c r="I27" s="180">
        <f t="shared" si="18"/>
        <v>10982</v>
      </c>
      <c r="J27" s="179"/>
      <c r="K27" s="180">
        <v>103</v>
      </c>
      <c r="L27" s="180"/>
      <c r="M27" s="180">
        <v>121</v>
      </c>
      <c r="N27" s="180">
        <v>24</v>
      </c>
      <c r="O27" s="180"/>
      <c r="P27" s="180">
        <v>1231</v>
      </c>
      <c r="Q27" s="180">
        <v>137</v>
      </c>
      <c r="R27" s="180"/>
      <c r="S27" s="180">
        <f t="shared" si="19"/>
        <v>1455</v>
      </c>
      <c r="T27" s="179"/>
      <c r="U27" s="180">
        <v>12437</v>
      </c>
      <c r="V27" s="180">
        <v>1234</v>
      </c>
      <c r="W27" s="180"/>
      <c r="X27" s="282">
        <f t="shared" si="1"/>
        <v>9.8978853421243063</v>
      </c>
      <c r="Y27" s="182">
        <v>5.4734828355829525E-2</v>
      </c>
      <c r="Z27" s="182">
        <v>0.28802210649378257</v>
      </c>
      <c r="AA27" s="182">
        <v>0.65724306515038788</v>
      </c>
      <c r="AB27" s="182"/>
      <c r="AC27" s="180">
        <v>1226.3272672793637</v>
      </c>
      <c r="AD27" s="179"/>
      <c r="AE27" s="180">
        <v>27</v>
      </c>
      <c r="AF27" s="180">
        <v>3368.2</v>
      </c>
      <c r="AG27" s="180">
        <v>3395.2</v>
      </c>
      <c r="AH27" s="179"/>
      <c r="AI27" s="180">
        <f t="shared" si="6"/>
        <v>12208.327267279365</v>
      </c>
      <c r="AJ27" s="179"/>
      <c r="AK27" s="180">
        <v>103</v>
      </c>
      <c r="AL27" s="180">
        <f t="shared" si="7"/>
        <v>148</v>
      </c>
      <c r="AM27" s="180">
        <f t="shared" si="8"/>
        <v>4599.2</v>
      </c>
      <c r="AN27" s="180">
        <f t="shared" si="9"/>
        <v>4850.2</v>
      </c>
      <c r="AO27" s="179"/>
      <c r="AP27" s="180">
        <v>1371.232</v>
      </c>
      <c r="AQ27" s="180">
        <v>898</v>
      </c>
      <c r="AR27" s="180">
        <v>2269.232</v>
      </c>
      <c r="AS27" s="180"/>
      <c r="AT27" s="180">
        <v>18372.131587188611</v>
      </c>
      <c r="AU27" s="180">
        <v>1532</v>
      </c>
      <c r="AV27" s="180">
        <v>19904.131587188611</v>
      </c>
      <c r="AW27" s="184">
        <v>45.609786893909238</v>
      </c>
      <c r="AX27" s="185"/>
      <c r="AY27" s="148">
        <f t="shared" si="10"/>
        <v>7</v>
      </c>
      <c r="AZ27" s="186">
        <v>0.16390026797901758</v>
      </c>
      <c r="BA27" s="187">
        <v>0.45609786893909238</v>
      </c>
      <c r="BB27" s="186"/>
      <c r="BC27" s="186"/>
      <c r="BD27" s="283"/>
      <c r="BE27" s="190">
        <f t="shared" si="11"/>
        <v>0.43465508465431046</v>
      </c>
      <c r="BF27" s="190">
        <f t="shared" si="12"/>
        <v>9.897885342124306E-2</v>
      </c>
      <c r="BG27" s="190">
        <f t="shared" si="2"/>
        <v>0.84604810996563573</v>
      </c>
      <c r="BH27" s="190">
        <f t="shared" si="3"/>
        <v>8.3161512027491405E-2</v>
      </c>
      <c r="BI27" s="190">
        <f t="shared" si="4"/>
        <v>7.0790378006872851E-2</v>
      </c>
      <c r="BJ27" s="163"/>
      <c r="BL27" s="191">
        <v>9599.5723199092463</v>
      </c>
      <c r="BM27" s="191">
        <v>11481.372319909246</v>
      </c>
      <c r="BN27" s="191">
        <v>18372.131587188611</v>
      </c>
      <c r="BO27" s="191">
        <v>19904.131587188611</v>
      </c>
      <c r="BQ27" s="191">
        <f t="shared" si="13"/>
        <v>1382.4276800907537</v>
      </c>
      <c r="BR27" s="191">
        <f t="shared" si="14"/>
        <v>955.62768009075444</v>
      </c>
      <c r="BS27" s="191">
        <f t="shared" si="15"/>
        <v>0</v>
      </c>
      <c r="BT27" s="191">
        <f t="shared" si="16"/>
        <v>0</v>
      </c>
      <c r="BV27" s="192">
        <v>2011</v>
      </c>
      <c r="BW27" s="56">
        <v>9599.5723199092463</v>
      </c>
      <c r="BX27" s="47"/>
      <c r="BY27" s="56">
        <v>103</v>
      </c>
      <c r="BZ27" s="56">
        <v>542</v>
      </c>
      <c r="CA27" s="56">
        <v>1232</v>
      </c>
      <c r="CB27" s="56">
        <v>1877</v>
      </c>
      <c r="CC27" s="47"/>
      <c r="CD27" s="56">
        <v>11476.572319909246</v>
      </c>
      <c r="CE27" s="47"/>
      <c r="CF27" s="56">
        <v>525.57008259558279</v>
      </c>
      <c r="CG27" s="193">
        <v>2.3333277671039006</v>
      </c>
      <c r="CH27" s="56">
        <v>1226.3272672793637</v>
      </c>
      <c r="CI27" s="47"/>
      <c r="CJ27" s="57">
        <v>27</v>
      </c>
      <c r="CK27" s="56">
        <v>3352</v>
      </c>
      <c r="CL27" s="56">
        <v>3379</v>
      </c>
      <c r="CM27" s="47"/>
      <c r="CN27" s="56">
        <v>10825.899587188611</v>
      </c>
      <c r="CO27" s="47"/>
      <c r="CP27" s="56">
        <v>103</v>
      </c>
      <c r="CQ27" s="56">
        <v>569</v>
      </c>
      <c r="CR27" s="56">
        <v>4584</v>
      </c>
      <c r="CS27" s="56">
        <v>5256</v>
      </c>
      <c r="CT27" s="47"/>
      <c r="CU27" s="56">
        <v>1204</v>
      </c>
      <c r="CV27" s="56">
        <v>898</v>
      </c>
      <c r="CW27" s="56">
        <v>2102</v>
      </c>
      <c r="CX27" s="47"/>
      <c r="CY27" s="47" t="e">
        <v>#REF!</v>
      </c>
      <c r="CZ27" s="47" t="e">
        <v>#REF!</v>
      </c>
      <c r="DA27" s="47" t="e">
        <v>#REF!</v>
      </c>
      <c r="DB27" s="56">
        <v>18183.899587188611</v>
      </c>
      <c r="DC27" s="56">
        <v>478.12346370390878</v>
      </c>
      <c r="DD27" s="56">
        <v>18662.02305089252</v>
      </c>
      <c r="DE27" s="191">
        <f t="shared" si="17"/>
        <v>-1242.1085362960912</v>
      </c>
    </row>
    <row r="28" spans="1:109" x14ac:dyDescent="0.25">
      <c r="A28" s="995">
        <v>2012</v>
      </c>
      <c r="B28" s="995"/>
      <c r="C28" s="177">
        <v>8522</v>
      </c>
      <c r="D28" s="177">
        <v>637</v>
      </c>
      <c r="E28" s="177"/>
      <c r="F28" s="177">
        <v>1202</v>
      </c>
      <c r="G28" s="177">
        <v>413</v>
      </c>
      <c r="H28" s="177"/>
      <c r="I28" s="180">
        <f t="shared" si="18"/>
        <v>9619</v>
      </c>
      <c r="J28" s="179"/>
      <c r="K28" s="180">
        <v>105</v>
      </c>
      <c r="L28" s="180"/>
      <c r="M28" s="180">
        <v>330</v>
      </c>
      <c r="N28" s="180">
        <v>67</v>
      </c>
      <c r="O28" s="180"/>
      <c r="P28" s="180">
        <v>1431</v>
      </c>
      <c r="Q28" s="180">
        <v>137</v>
      </c>
      <c r="R28" s="180"/>
      <c r="S28" s="180">
        <f t="shared" si="19"/>
        <v>1866</v>
      </c>
      <c r="T28" s="179"/>
      <c r="U28" s="180">
        <v>11485</v>
      </c>
      <c r="V28" s="180">
        <v>740</v>
      </c>
      <c r="W28" s="180"/>
      <c r="X28" s="282">
        <f t="shared" si="1"/>
        <v>12.459730082716588</v>
      </c>
      <c r="Y28" s="182">
        <v>4.990019960079841E-2</v>
      </c>
      <c r="Z28" s="182">
        <v>0.2528276779773786</v>
      </c>
      <c r="AA28" s="182">
        <v>0.69727212242182313</v>
      </c>
      <c r="AB28" s="182"/>
      <c r="AC28" s="180">
        <v>1109.8320503246844</v>
      </c>
      <c r="AD28" s="179"/>
      <c r="AE28" s="180">
        <v>18</v>
      </c>
      <c r="AF28" s="180">
        <v>2146.4</v>
      </c>
      <c r="AG28" s="180">
        <v>2164.4</v>
      </c>
      <c r="AH28" s="179"/>
      <c r="AI28" s="180">
        <f t="shared" si="6"/>
        <v>10728.832050324685</v>
      </c>
      <c r="AJ28" s="179"/>
      <c r="AK28" s="180">
        <v>105</v>
      </c>
      <c r="AL28" s="180">
        <f t="shared" si="7"/>
        <v>348</v>
      </c>
      <c r="AM28" s="180">
        <f t="shared" si="8"/>
        <v>3577.4</v>
      </c>
      <c r="AN28" s="180">
        <f t="shared" si="9"/>
        <v>4030.4</v>
      </c>
      <c r="AO28" s="179"/>
      <c r="AP28" s="180">
        <v>1247.576</v>
      </c>
      <c r="AQ28" s="180">
        <v>494</v>
      </c>
      <c r="AR28" s="180">
        <v>1741.576</v>
      </c>
      <c r="AS28" s="180"/>
      <c r="AT28" s="180">
        <v>15807.666976543394</v>
      </c>
      <c r="AU28" s="180">
        <v>1185</v>
      </c>
      <c r="AV28" s="180">
        <v>16992.666976543394</v>
      </c>
      <c r="AW28" s="184">
        <v>42.342829468335907</v>
      </c>
      <c r="AX28" s="185"/>
      <c r="AY28" s="148">
        <f t="shared" si="10"/>
        <v>3</v>
      </c>
      <c r="AZ28" s="186">
        <v>0.19498031010096581</v>
      </c>
      <c r="BA28" s="187">
        <v>0.42342829468335907</v>
      </c>
      <c r="BB28" s="186"/>
      <c r="BC28" s="186"/>
      <c r="BD28" s="283"/>
      <c r="BE28" s="190">
        <f t="shared" si="11"/>
        <v>0.4094104833339805</v>
      </c>
      <c r="BF28" s="190">
        <f t="shared" si="12"/>
        <v>0.12459730082716587</v>
      </c>
      <c r="BG28" s="190">
        <f t="shared" si="2"/>
        <v>0.76688102893890675</v>
      </c>
      <c r="BH28" s="190">
        <f t="shared" si="3"/>
        <v>0.17684887459807075</v>
      </c>
      <c r="BI28" s="190">
        <f t="shared" si="4"/>
        <v>5.6270096463022508E-2</v>
      </c>
      <c r="BJ28" s="163"/>
      <c r="BL28" s="191">
        <v>8687.6589262187081</v>
      </c>
      <c r="BM28" s="191">
        <v>10791.858926218709</v>
      </c>
      <c r="BN28" s="191">
        <v>15807.666976543394</v>
      </c>
      <c r="BO28" s="191">
        <v>16992.666976543394</v>
      </c>
      <c r="BQ28" s="191">
        <f t="shared" si="13"/>
        <v>931.34107378129193</v>
      </c>
      <c r="BR28" s="191">
        <f t="shared" si="14"/>
        <v>693.1410737812912</v>
      </c>
      <c r="BS28" s="191">
        <f t="shared" si="15"/>
        <v>0</v>
      </c>
      <c r="BT28" s="191">
        <f t="shared" si="16"/>
        <v>0</v>
      </c>
      <c r="BV28" s="192">
        <v>2012</v>
      </c>
      <c r="BW28" s="56">
        <v>8687.6589262187081</v>
      </c>
      <c r="BX28" s="47"/>
      <c r="BY28" s="56">
        <v>105</v>
      </c>
      <c r="BZ28" s="56">
        <v>532</v>
      </c>
      <c r="CA28" s="56">
        <v>1460</v>
      </c>
      <c r="CB28" s="56">
        <v>2097</v>
      </c>
      <c r="CC28" s="47"/>
      <c r="CD28" s="56">
        <v>10784.658926218708</v>
      </c>
      <c r="CE28" s="47"/>
      <c r="CF28" s="56">
        <v>475.64344194223304</v>
      </c>
      <c r="CG28" s="193">
        <v>2.3333277671039006</v>
      </c>
      <c r="CH28" s="56">
        <v>1109.8320503246844</v>
      </c>
      <c r="CI28" s="47"/>
      <c r="CJ28" s="57">
        <v>18</v>
      </c>
      <c r="CK28" s="56">
        <v>2087</v>
      </c>
      <c r="CL28" s="56">
        <v>2105</v>
      </c>
      <c r="CM28" s="47"/>
      <c r="CN28" s="56">
        <v>9797.4909765433931</v>
      </c>
      <c r="CO28" s="47"/>
      <c r="CP28" s="56">
        <v>105</v>
      </c>
      <c r="CQ28" s="56">
        <v>550</v>
      </c>
      <c r="CR28" s="56">
        <v>3547</v>
      </c>
      <c r="CS28" s="56">
        <v>4202</v>
      </c>
      <c r="CT28" s="47"/>
      <c r="CU28" s="56">
        <v>794</v>
      </c>
      <c r="CV28" s="56">
        <v>494</v>
      </c>
      <c r="CW28" s="56">
        <v>1288</v>
      </c>
      <c r="CX28" s="47"/>
      <c r="CY28" s="47" t="e">
        <v>#REF!</v>
      </c>
      <c r="CZ28" s="47" t="e">
        <v>#REF!</v>
      </c>
      <c r="DA28" s="47" t="e">
        <v>#REF!</v>
      </c>
      <c r="DB28" s="56">
        <v>15287.490976543393</v>
      </c>
      <c r="DC28" s="56">
        <v>401.9659315649169</v>
      </c>
      <c r="DD28" s="56">
        <v>15689.45690810831</v>
      </c>
      <c r="DE28" s="191">
        <f t="shared" si="17"/>
        <v>-1303.2100684350844</v>
      </c>
    </row>
    <row r="29" spans="1:109" x14ac:dyDescent="0.25">
      <c r="A29" s="995">
        <v>2013</v>
      </c>
      <c r="B29" s="995"/>
      <c r="C29" s="177">
        <v>8057</v>
      </c>
      <c r="D29" s="177">
        <v>844</v>
      </c>
      <c r="E29" s="177"/>
      <c r="F29" s="177">
        <v>1596</v>
      </c>
      <c r="G29" s="177">
        <v>349</v>
      </c>
      <c r="H29" s="177"/>
      <c r="I29" s="180">
        <f t="shared" si="18"/>
        <v>9601</v>
      </c>
      <c r="J29" s="179"/>
      <c r="K29" s="180">
        <v>52</v>
      </c>
      <c r="L29" s="180"/>
      <c r="M29" s="180">
        <v>231</v>
      </c>
      <c r="N29" s="180">
        <v>46</v>
      </c>
      <c r="O29" s="180"/>
      <c r="P29" s="180">
        <v>1712</v>
      </c>
      <c r="Q29" s="180">
        <v>142</v>
      </c>
      <c r="R29" s="180"/>
      <c r="S29" s="180">
        <f t="shared" si="19"/>
        <v>1995</v>
      </c>
      <c r="T29" s="179"/>
      <c r="U29" s="180">
        <v>11596</v>
      </c>
      <c r="V29" s="180">
        <v>987</v>
      </c>
      <c r="W29" s="180"/>
      <c r="X29" s="282">
        <f t="shared" si="1"/>
        <v>14.763711624698173</v>
      </c>
      <c r="Y29" s="182">
        <v>2.3074192403265886E-2</v>
      </c>
      <c r="Z29" s="182">
        <v>0.20678026269080582</v>
      </c>
      <c r="AA29" s="182">
        <v>0.77014554490592824</v>
      </c>
      <c r="AB29" s="182"/>
      <c r="AC29" s="180">
        <v>1023.3691502663061</v>
      </c>
      <c r="AD29" s="179"/>
      <c r="AE29" s="180">
        <v>6</v>
      </c>
      <c r="AF29" s="180">
        <v>2723.2</v>
      </c>
      <c r="AG29" s="180">
        <v>2729.2</v>
      </c>
      <c r="AH29" s="179"/>
      <c r="AI29" s="180">
        <f t="shared" si="6"/>
        <v>10624.369150266306</v>
      </c>
      <c r="AJ29" s="179"/>
      <c r="AK29" s="180">
        <v>52</v>
      </c>
      <c r="AL29" s="180">
        <f t="shared" si="7"/>
        <v>237</v>
      </c>
      <c r="AM29" s="180">
        <f t="shared" si="8"/>
        <v>4435.2</v>
      </c>
      <c r="AN29" s="180">
        <f t="shared" si="9"/>
        <v>4724.2</v>
      </c>
      <c r="AO29" s="179"/>
      <c r="AP29" s="180">
        <v>1876.0720000000001</v>
      </c>
      <c r="AQ29" s="180">
        <v>518</v>
      </c>
      <c r="AR29" s="180">
        <v>2394.0720000000001</v>
      </c>
      <c r="AS29" s="180"/>
      <c r="AT29" s="180">
        <v>16411.076781231313</v>
      </c>
      <c r="AU29" s="180">
        <v>186</v>
      </c>
      <c r="AV29" s="180">
        <v>16597.076781231313</v>
      </c>
      <c r="AW29" s="184">
        <v>45.567494202065873</v>
      </c>
      <c r="AX29" s="185"/>
      <c r="AY29" s="148">
        <f t="shared" si="10"/>
        <v>2</v>
      </c>
      <c r="AZ29" s="186">
        <v>0.21955420453916652</v>
      </c>
      <c r="BA29" s="187">
        <v>0.45567494202065872</v>
      </c>
      <c r="BB29" s="186"/>
      <c r="BC29" s="186"/>
      <c r="BD29" s="283"/>
      <c r="BE29" s="190">
        <f t="shared" si="11"/>
        <v>0.44009388498220264</v>
      </c>
      <c r="BF29" s="190">
        <f t="shared" si="12"/>
        <v>0.14763711624698173</v>
      </c>
      <c r="BG29" s="190">
        <f t="shared" si="2"/>
        <v>0.85814536340852132</v>
      </c>
      <c r="BH29" s="190">
        <f t="shared" si="3"/>
        <v>0.11578947368421053</v>
      </c>
      <c r="BI29" s="190">
        <f t="shared" si="4"/>
        <v>2.606516290726817E-2</v>
      </c>
      <c r="BJ29" s="163"/>
      <c r="BL29" s="191">
        <v>8010.8356309650062</v>
      </c>
      <c r="BM29" s="191">
        <v>10264.435630965007</v>
      </c>
      <c r="BN29" s="191">
        <v>16411.076781231313</v>
      </c>
      <c r="BO29" s="191">
        <v>16597.076781231313</v>
      </c>
      <c r="BQ29" s="191">
        <f t="shared" si="13"/>
        <v>1590.1643690349938</v>
      </c>
      <c r="BR29" s="191">
        <f t="shared" si="14"/>
        <v>1331.5643690349934</v>
      </c>
      <c r="BS29" s="191">
        <f t="shared" si="15"/>
        <v>0</v>
      </c>
      <c r="BT29" s="191">
        <f t="shared" si="16"/>
        <v>0</v>
      </c>
      <c r="BV29" s="192">
        <v>2013</v>
      </c>
      <c r="BW29" s="56">
        <v>8010.8356309650062</v>
      </c>
      <c r="BX29" s="47"/>
      <c r="BY29" s="56">
        <v>52</v>
      </c>
      <c r="BZ29" s="56">
        <v>466</v>
      </c>
      <c r="CA29" s="56">
        <v>1711</v>
      </c>
      <c r="CB29" s="56">
        <v>2229</v>
      </c>
      <c r="CC29" s="47"/>
      <c r="CD29" s="56">
        <v>10239.835630965006</v>
      </c>
      <c r="CE29" s="47"/>
      <c r="CF29" s="56">
        <v>438.58782494861407</v>
      </c>
      <c r="CG29" s="193">
        <v>2.3333277671039006</v>
      </c>
      <c r="CH29" s="56">
        <v>1023.3691502663061</v>
      </c>
      <c r="CI29" s="47"/>
      <c r="CJ29" s="57">
        <v>6</v>
      </c>
      <c r="CK29" s="56">
        <v>2641</v>
      </c>
      <c r="CL29" s="56">
        <v>2647</v>
      </c>
      <c r="CM29" s="47"/>
      <c r="CN29" s="56">
        <v>9034.2047812313122</v>
      </c>
      <c r="CO29" s="47"/>
      <c r="CP29" s="56">
        <v>52</v>
      </c>
      <c r="CQ29" s="56">
        <v>472</v>
      </c>
      <c r="CR29" s="56">
        <v>4352</v>
      </c>
      <c r="CS29" s="56">
        <v>4876</v>
      </c>
      <c r="CT29" s="47"/>
      <c r="CU29" s="56">
        <v>1084</v>
      </c>
      <c r="CV29" s="56">
        <v>518</v>
      </c>
      <c r="CW29" s="56">
        <v>1602</v>
      </c>
      <c r="CX29" s="47"/>
      <c r="CY29" s="47" t="e">
        <v>#REF!</v>
      </c>
      <c r="CZ29" s="47" t="e">
        <v>#REF!</v>
      </c>
      <c r="DA29" s="47" t="e">
        <v>#REF!</v>
      </c>
      <c r="DB29" s="56">
        <v>15512.204781231312</v>
      </c>
      <c r="DC29" s="56">
        <v>407.87450701235139</v>
      </c>
      <c r="DD29" s="56">
        <v>15920.079288243664</v>
      </c>
      <c r="DE29" s="191">
        <f t="shared" si="17"/>
        <v>-676.99749298764982</v>
      </c>
    </row>
    <row r="30" spans="1:109" x14ac:dyDescent="0.25">
      <c r="A30" s="995">
        <v>2014</v>
      </c>
      <c r="B30" s="995"/>
      <c r="C30" s="177">
        <v>11786</v>
      </c>
      <c r="D30" s="177">
        <v>1993</v>
      </c>
      <c r="E30" s="177"/>
      <c r="F30" s="177">
        <v>2555</v>
      </c>
      <c r="G30" s="177">
        <v>661</v>
      </c>
      <c r="H30" s="177"/>
      <c r="I30" s="180">
        <f t="shared" si="18"/>
        <v>14269</v>
      </c>
      <c r="J30" s="179"/>
      <c r="K30" s="180">
        <v>72</v>
      </c>
      <c r="L30" s="180"/>
      <c r="M30" s="180">
        <v>530</v>
      </c>
      <c r="N30" s="180">
        <v>106</v>
      </c>
      <c r="O30" s="180"/>
      <c r="P30" s="180">
        <v>1919</v>
      </c>
      <c r="Q30" s="180">
        <v>169</v>
      </c>
      <c r="R30" s="180"/>
      <c r="S30" s="180">
        <f t="shared" si="19"/>
        <v>2521</v>
      </c>
      <c r="T30" s="179"/>
      <c r="U30" s="180">
        <v>16790</v>
      </c>
      <c r="V30" s="180">
        <v>2370</v>
      </c>
      <c r="W30" s="180"/>
      <c r="X30" s="282">
        <f t="shared" si="1"/>
        <v>11.429422275163788</v>
      </c>
      <c r="Y30" s="182">
        <v>2.4993057484032213E-2</v>
      </c>
      <c r="Z30" s="182">
        <v>0.29956956400999718</v>
      </c>
      <c r="AA30" s="182">
        <v>0.67543737850597052</v>
      </c>
      <c r="AB30" s="182"/>
      <c r="AC30" s="180">
        <v>1470.2530538622611</v>
      </c>
      <c r="AD30" s="179"/>
      <c r="AE30" s="180">
        <v>1</v>
      </c>
      <c r="AF30" s="180">
        <v>4083.4000000000005</v>
      </c>
      <c r="AG30" s="180">
        <v>4084.4000000000005</v>
      </c>
      <c r="AH30" s="179"/>
      <c r="AI30" s="180">
        <f t="shared" si="6"/>
        <v>15739.253053862261</v>
      </c>
      <c r="AJ30" s="179"/>
      <c r="AK30" s="180">
        <v>72</v>
      </c>
      <c r="AL30" s="180">
        <f t="shared" si="7"/>
        <v>531</v>
      </c>
      <c r="AM30" s="180">
        <f t="shared" si="8"/>
        <v>6002.4000000000005</v>
      </c>
      <c r="AN30" s="180">
        <f t="shared" si="9"/>
        <v>6605.4000000000005</v>
      </c>
      <c r="AO30" s="179"/>
      <c r="AP30" s="180">
        <v>2046.4480000000001</v>
      </c>
      <c r="AQ30" s="180">
        <v>734</v>
      </c>
      <c r="AR30" s="180">
        <v>2780.4480000000003</v>
      </c>
      <c r="AS30" s="180"/>
      <c r="AT30" s="180">
        <v>22724.901053862264</v>
      </c>
      <c r="AU30" s="180">
        <v>1585</v>
      </c>
      <c r="AV30" s="180">
        <v>24309.901053862264</v>
      </c>
      <c r="AW30" s="184">
        <v>46.609190119265541</v>
      </c>
      <c r="AX30" s="185"/>
      <c r="AY30" s="148">
        <f t="shared" si="10"/>
        <v>16</v>
      </c>
      <c r="AZ30" s="186">
        <v>0.20019736202031996</v>
      </c>
      <c r="BA30" s="187">
        <v>0.46609190119265542</v>
      </c>
      <c r="BB30" s="186"/>
      <c r="BC30" s="186"/>
      <c r="BD30" s="283"/>
      <c r="BE30" s="190">
        <f t="shared" si="11"/>
        <v>0.4512913473276764</v>
      </c>
      <c r="BF30" s="190">
        <f t="shared" si="12"/>
        <v>0.11429422275163788</v>
      </c>
      <c r="BG30" s="190">
        <f t="shared" si="2"/>
        <v>0.76120587068623558</v>
      </c>
      <c r="BH30" s="190">
        <f t="shared" si="3"/>
        <v>0.21023403411344704</v>
      </c>
      <c r="BI30" s="190">
        <f t="shared" si="4"/>
        <v>2.8560095200317333E-2</v>
      </c>
      <c r="BJ30" s="163"/>
      <c r="BL30" s="191">
        <v>11509</v>
      </c>
      <c r="BM30" s="191">
        <v>14389.8</v>
      </c>
      <c r="BN30" s="191">
        <v>22724.901053862264</v>
      </c>
      <c r="BO30" s="191">
        <v>24309.901053862264</v>
      </c>
      <c r="BQ30" s="191">
        <f t="shared" si="13"/>
        <v>2760</v>
      </c>
      <c r="BR30" s="191">
        <f t="shared" si="14"/>
        <v>2400.2000000000007</v>
      </c>
      <c r="BS30" s="191">
        <f t="shared" si="15"/>
        <v>0</v>
      </c>
      <c r="BT30" s="191">
        <f t="shared" si="16"/>
        <v>0</v>
      </c>
      <c r="BV30" s="192">
        <v>2014</v>
      </c>
      <c r="BW30" s="56">
        <v>11509</v>
      </c>
      <c r="BX30" s="47"/>
      <c r="BY30" s="56">
        <v>72</v>
      </c>
      <c r="BZ30" s="56">
        <v>863</v>
      </c>
      <c r="CA30" s="56">
        <v>1941</v>
      </c>
      <c r="CB30" s="56">
        <v>2876</v>
      </c>
      <c r="CC30" s="47"/>
      <c r="CD30" s="56">
        <v>14385</v>
      </c>
      <c r="CE30" s="47"/>
      <c r="CF30" s="56">
        <v>630.10995479950179</v>
      </c>
      <c r="CG30" s="193">
        <v>2.3333277671039006</v>
      </c>
      <c r="CH30" s="56">
        <v>1470.2530538622611</v>
      </c>
      <c r="CI30" s="47"/>
      <c r="CJ30" s="57">
        <v>1</v>
      </c>
      <c r="CK30" s="56">
        <v>3973</v>
      </c>
      <c r="CL30" s="56">
        <v>3974</v>
      </c>
      <c r="CM30" s="47"/>
      <c r="CN30" s="56">
        <v>12979.253053862261</v>
      </c>
      <c r="CO30" s="47"/>
      <c r="CP30" s="56">
        <v>72</v>
      </c>
      <c r="CQ30" s="56">
        <v>864</v>
      </c>
      <c r="CR30" s="56">
        <v>5914</v>
      </c>
      <c r="CS30" s="56">
        <v>6850</v>
      </c>
      <c r="CT30" s="47"/>
      <c r="CU30" s="56">
        <v>1645</v>
      </c>
      <c r="CV30" s="56">
        <v>734</v>
      </c>
      <c r="CW30" s="56">
        <v>2379</v>
      </c>
      <c r="CX30" s="47"/>
      <c r="CY30" s="47" t="e">
        <v>#REF!</v>
      </c>
      <c r="CZ30" s="47" t="e">
        <v>#REF!</v>
      </c>
      <c r="DA30" s="47" t="e">
        <v>#REF!</v>
      </c>
      <c r="DB30" s="56">
        <v>22208.25305386226</v>
      </c>
      <c r="DC30" s="56">
        <v>583.93893026150545</v>
      </c>
      <c r="DD30" s="56">
        <v>22792.191984123765</v>
      </c>
      <c r="DE30" s="191">
        <f t="shared" si="17"/>
        <v>-1517.7090697384992</v>
      </c>
    </row>
    <row r="31" spans="1:109" x14ac:dyDescent="0.25">
      <c r="A31" s="995">
        <v>2015</v>
      </c>
      <c r="B31" s="995"/>
      <c r="C31" s="177">
        <v>16571</v>
      </c>
      <c r="D31" s="177">
        <v>2094</v>
      </c>
      <c r="E31" s="177"/>
      <c r="F31" s="177">
        <v>3497</v>
      </c>
      <c r="G31" s="177">
        <v>1581</v>
      </c>
      <c r="H31" s="177"/>
      <c r="I31" s="180">
        <f t="shared" si="18"/>
        <v>19817</v>
      </c>
      <c r="J31" s="179"/>
      <c r="K31" s="180">
        <v>252</v>
      </c>
      <c r="L31" s="180"/>
      <c r="M31" s="180">
        <v>309</v>
      </c>
      <c r="N31" s="180">
        <v>62</v>
      </c>
      <c r="O31" s="180"/>
      <c r="P31" s="180">
        <v>3177</v>
      </c>
      <c r="Q31" s="180">
        <v>214</v>
      </c>
      <c r="R31" s="180"/>
      <c r="S31" s="180">
        <f t="shared" si="19"/>
        <v>3738</v>
      </c>
      <c r="T31" s="179"/>
      <c r="U31" s="180">
        <v>23555</v>
      </c>
      <c r="V31" s="180">
        <v>2481</v>
      </c>
      <c r="W31" s="180"/>
      <c r="X31" s="282">
        <f t="shared" si="1"/>
        <v>13.48758225429845</v>
      </c>
      <c r="Y31" s="182">
        <v>6.2642935268966887E-2</v>
      </c>
      <c r="Z31" s="182">
        <v>0.14243810281396041</v>
      </c>
      <c r="AA31" s="182">
        <v>0.79491896191707268</v>
      </c>
      <c r="AB31" s="182"/>
      <c r="AC31" s="180">
        <v>2332.936073475762</v>
      </c>
      <c r="AD31" s="179"/>
      <c r="AE31" s="180">
        <v>16</v>
      </c>
      <c r="AF31" s="180">
        <v>5136.828148276747</v>
      </c>
      <c r="AG31" s="180">
        <v>5152.828148276747</v>
      </c>
      <c r="AH31" s="179"/>
      <c r="AI31" s="180">
        <f t="shared" si="6"/>
        <v>22149.936073475761</v>
      </c>
      <c r="AJ31" s="179"/>
      <c r="AK31" s="180">
        <v>252</v>
      </c>
      <c r="AL31" s="180">
        <f t="shared" si="7"/>
        <v>325</v>
      </c>
      <c r="AM31" s="180">
        <f t="shared" si="8"/>
        <v>8313.828148276747</v>
      </c>
      <c r="AN31" s="180">
        <f t="shared" si="9"/>
        <v>8890.828148276747</v>
      </c>
      <c r="AO31" s="179"/>
      <c r="AP31" s="180">
        <v>2500.8719999999998</v>
      </c>
      <c r="AQ31" s="180">
        <v>686</v>
      </c>
      <c r="AR31" s="180">
        <v>3186.8719999999998</v>
      </c>
      <c r="AS31" s="180"/>
      <c r="AT31" s="180">
        <v>32957.436221752512</v>
      </c>
      <c r="AU31" s="180">
        <v>2176</v>
      </c>
      <c r="AV31" s="180">
        <v>35133.436221752512</v>
      </c>
      <c r="AW31" s="184">
        <v>41.380809029079209</v>
      </c>
      <c r="AX31" s="185"/>
      <c r="AY31" s="148">
        <f t="shared" si="10"/>
        <v>23</v>
      </c>
      <c r="AZ31" s="186">
        <v>0.18051766226306723</v>
      </c>
      <c r="BA31" s="187">
        <v>0.41380809029079207</v>
      </c>
      <c r="BB31" s="186"/>
      <c r="BC31" s="186"/>
      <c r="BD31" s="283"/>
      <c r="BE31" s="190">
        <f t="shared" si="11"/>
        <v>0.4057018521704322</v>
      </c>
      <c r="BF31" s="190">
        <f t="shared" si="12"/>
        <v>0.1348758225429845</v>
      </c>
      <c r="BG31" s="190">
        <f t="shared" si="2"/>
        <v>0.8499197431781701</v>
      </c>
      <c r="BH31" s="190">
        <f t="shared" si="3"/>
        <v>8.26645264847512E-2</v>
      </c>
      <c r="BI31" s="190">
        <f t="shared" si="4"/>
        <v>6.741573033707865E-2</v>
      </c>
      <c r="BJ31" s="163"/>
      <c r="BL31" s="191">
        <v>18262</v>
      </c>
      <c r="BM31" s="191">
        <v>22284.799999999999</v>
      </c>
      <c r="BN31" s="191">
        <v>32957.436221752512</v>
      </c>
      <c r="BO31" s="191">
        <v>35133.436221752512</v>
      </c>
      <c r="BQ31" s="191">
        <f t="shared" si="13"/>
        <v>1555</v>
      </c>
      <c r="BR31" s="191">
        <f t="shared" si="14"/>
        <v>1270.2000000000007</v>
      </c>
      <c r="BS31" s="191">
        <f t="shared" si="15"/>
        <v>0</v>
      </c>
      <c r="BT31" s="191">
        <f t="shared" si="16"/>
        <v>0</v>
      </c>
      <c r="BV31" s="192">
        <v>2015</v>
      </c>
      <c r="BW31" s="56">
        <v>18262</v>
      </c>
      <c r="BX31" s="47"/>
      <c r="BY31" s="56">
        <v>252</v>
      </c>
      <c r="BZ31" s="56">
        <v>573</v>
      </c>
      <c r="CA31" s="56">
        <v>3175</v>
      </c>
      <c r="CB31" s="56">
        <v>4000</v>
      </c>
      <c r="CC31" s="47"/>
      <c r="CD31" s="56">
        <v>22262</v>
      </c>
      <c r="CE31" s="47"/>
      <c r="CF31" s="56">
        <v>999.83213090177014</v>
      </c>
      <c r="CG31" s="193">
        <v>2.3333277671039006</v>
      </c>
      <c r="CH31" s="56">
        <v>2332.936073475762</v>
      </c>
      <c r="CI31" s="47"/>
      <c r="CJ31" s="57">
        <v>16</v>
      </c>
      <c r="CK31" s="56">
        <v>5076.2281482767467</v>
      </c>
      <c r="CL31" s="56">
        <v>5092.2281482767467</v>
      </c>
      <c r="CM31" s="47"/>
      <c r="CN31" s="56">
        <v>20594.936073475761</v>
      </c>
      <c r="CO31" s="47"/>
      <c r="CP31" s="56">
        <v>252</v>
      </c>
      <c r="CQ31" s="56">
        <v>589</v>
      </c>
      <c r="CR31" s="56">
        <v>8251.2281482767467</v>
      </c>
      <c r="CS31" s="56">
        <v>9092.2281482767467</v>
      </c>
      <c r="CT31" s="47"/>
      <c r="CU31" s="56">
        <v>1800</v>
      </c>
      <c r="CV31" s="56">
        <v>686</v>
      </c>
      <c r="CW31" s="56">
        <v>2486</v>
      </c>
      <c r="CX31" s="47"/>
      <c r="CY31" s="47" t="e">
        <v>#REF!</v>
      </c>
      <c r="CZ31" s="47" t="e">
        <v>#REF!</v>
      </c>
      <c r="DA31" s="47" t="e">
        <v>#REF!</v>
      </c>
      <c r="DB31" s="56">
        <v>32173.164221752508</v>
      </c>
      <c r="DC31" s="56">
        <v>845.95411684174178</v>
      </c>
      <c r="DD31" s="56">
        <v>33019.11833859425</v>
      </c>
      <c r="DE31" s="191">
        <f t="shared" si="17"/>
        <v>-2114.3178831582627</v>
      </c>
    </row>
    <row r="32" spans="1:109" x14ac:dyDescent="0.25">
      <c r="A32" s="995">
        <v>2016</v>
      </c>
      <c r="B32" s="995"/>
      <c r="C32" s="177">
        <v>9415</v>
      </c>
      <c r="D32" s="177">
        <v>1227</v>
      </c>
      <c r="E32" s="177"/>
      <c r="F32" s="177">
        <v>1953</v>
      </c>
      <c r="G32" s="177">
        <v>999</v>
      </c>
      <c r="H32" s="177"/>
      <c r="I32" s="180">
        <f t="shared" si="18"/>
        <v>11254</v>
      </c>
      <c r="J32" s="179"/>
      <c r="K32" s="180">
        <v>114</v>
      </c>
      <c r="L32" s="180"/>
      <c r="M32" s="180">
        <v>111</v>
      </c>
      <c r="N32" s="180">
        <v>22</v>
      </c>
      <c r="O32" s="180"/>
      <c r="P32" s="180">
        <v>1519</v>
      </c>
      <c r="Q32" s="180">
        <v>129</v>
      </c>
      <c r="R32" s="180"/>
      <c r="S32" s="180">
        <f t="shared" si="19"/>
        <v>1744</v>
      </c>
      <c r="T32" s="179"/>
      <c r="U32" s="180">
        <v>12998</v>
      </c>
      <c r="V32" s="180">
        <v>1622</v>
      </c>
      <c r="W32" s="180"/>
      <c r="X32" s="282">
        <f t="shared" si="1"/>
        <v>11.686413294352977</v>
      </c>
      <c r="Y32" s="182">
        <v>5.7651461515120864E-2</v>
      </c>
      <c r="Z32" s="182">
        <v>0.17143724082128045</v>
      </c>
      <c r="AA32" s="182">
        <v>0.77091129766359867</v>
      </c>
      <c r="AB32" s="182"/>
      <c r="AC32" s="180">
        <v>1154.4824636058352</v>
      </c>
      <c r="AD32" s="179"/>
      <c r="AE32" s="180">
        <v>2</v>
      </c>
      <c r="AF32" s="180">
        <v>3893.2</v>
      </c>
      <c r="AG32" s="180">
        <v>3895.2</v>
      </c>
      <c r="AH32" s="179"/>
      <c r="AI32" s="180">
        <f t="shared" si="6"/>
        <v>12408.482463605835</v>
      </c>
      <c r="AJ32" s="179"/>
      <c r="AK32" s="180">
        <v>114</v>
      </c>
      <c r="AL32" s="180">
        <f t="shared" si="7"/>
        <v>113</v>
      </c>
      <c r="AM32" s="180">
        <f t="shared" si="8"/>
        <v>5412.2</v>
      </c>
      <c r="AN32" s="180">
        <f t="shared" si="9"/>
        <v>5639.2</v>
      </c>
      <c r="AO32" s="179"/>
      <c r="AP32" s="180">
        <v>856.38400000000001</v>
      </c>
      <c r="AQ32" s="180">
        <v>764</v>
      </c>
      <c r="AR32" s="180">
        <v>1620.384</v>
      </c>
      <c r="AS32" s="180"/>
      <c r="AT32" s="180">
        <v>17684.644545797615</v>
      </c>
      <c r="AU32" s="180">
        <v>1684</v>
      </c>
      <c r="AV32" s="180">
        <v>19368.644545797615</v>
      </c>
      <c r="AW32" s="184">
        <v>47.380620663985063</v>
      </c>
      <c r="AX32" s="185"/>
      <c r="AY32" s="148">
        <f t="shared" si="10"/>
        <v>8</v>
      </c>
      <c r="AZ32" s="186">
        <v>0.17952571448896745</v>
      </c>
      <c r="BA32" s="187">
        <v>0.47380620663985062</v>
      </c>
      <c r="BB32" s="186"/>
      <c r="BC32" s="186"/>
      <c r="BD32" s="283"/>
      <c r="BE32" s="190">
        <f>(AN32+AR32+AU32)/AV32</f>
        <v>0.46175580221180085</v>
      </c>
      <c r="BF32" s="190">
        <f t="shared" si="12"/>
        <v>0.11686413294352978</v>
      </c>
      <c r="BG32" s="190">
        <f t="shared" si="2"/>
        <v>0.8709862385321101</v>
      </c>
      <c r="BH32" s="190">
        <f t="shared" si="3"/>
        <v>6.3646788990825681E-2</v>
      </c>
      <c r="BI32" s="190">
        <f t="shared" si="4"/>
        <v>6.5366972477064217E-2</v>
      </c>
      <c r="BJ32" s="163"/>
      <c r="BL32" s="191">
        <v>9037.17808219178</v>
      </c>
      <c r="BM32" s="191">
        <v>11014.57808219178</v>
      </c>
      <c r="BN32" s="191">
        <v>17684.644545797615</v>
      </c>
      <c r="BO32" s="191">
        <v>19368.644545797615</v>
      </c>
      <c r="BQ32" s="191">
        <f t="shared" si="13"/>
        <v>2216.82191780822</v>
      </c>
      <c r="BR32" s="191">
        <f t="shared" si="14"/>
        <v>1983.4219178082203</v>
      </c>
      <c r="BS32" s="191">
        <f t="shared" si="15"/>
        <v>0</v>
      </c>
      <c r="BT32" s="191">
        <f t="shared" si="16"/>
        <v>0</v>
      </c>
      <c r="BV32" s="192"/>
      <c r="BW32" s="56"/>
      <c r="BX32" s="47"/>
      <c r="BY32" s="56"/>
      <c r="BZ32" s="56"/>
      <c r="CA32" s="56"/>
      <c r="CB32" s="56"/>
      <c r="CC32" s="47"/>
      <c r="CD32" s="56"/>
      <c r="CE32" s="47"/>
      <c r="CF32" s="56"/>
      <c r="CG32" s="193"/>
      <c r="CH32" s="56"/>
      <c r="CI32" s="47"/>
      <c r="CJ32" s="57"/>
      <c r="CK32" s="56"/>
      <c r="CL32" s="56"/>
      <c r="CM32" s="47"/>
      <c r="CN32" s="56"/>
      <c r="CO32" s="47"/>
      <c r="CP32" s="56"/>
      <c r="CQ32" s="56"/>
      <c r="CR32" s="56"/>
      <c r="CS32" s="56"/>
      <c r="CT32" s="47"/>
      <c r="CU32" s="56"/>
      <c r="CV32" s="56"/>
      <c r="CW32" s="56"/>
      <c r="CX32" s="47"/>
      <c r="CY32" s="47"/>
      <c r="CZ32" s="47"/>
      <c r="DA32" s="47"/>
      <c r="DB32" s="56"/>
      <c r="DC32" s="56"/>
      <c r="DD32" s="56"/>
      <c r="DE32" s="191"/>
    </row>
    <row r="33" spans="1:109" x14ac:dyDescent="0.25">
      <c r="A33" s="995">
        <v>2017</v>
      </c>
      <c r="B33" s="995"/>
      <c r="C33" s="177">
        <v>4812</v>
      </c>
      <c r="D33" s="177">
        <v>1240</v>
      </c>
      <c r="E33" s="177"/>
      <c r="F33" s="177">
        <v>1202</v>
      </c>
      <c r="G33" s="177">
        <v>449</v>
      </c>
      <c r="H33" s="177"/>
      <c r="I33" s="180">
        <f t="shared" si="18"/>
        <v>5938</v>
      </c>
      <c r="J33" s="179"/>
      <c r="K33" s="180">
        <v>76</v>
      </c>
      <c r="L33" s="180"/>
      <c r="M33" s="180">
        <v>8</v>
      </c>
      <c r="N33" s="180">
        <v>2</v>
      </c>
      <c r="O33" s="180"/>
      <c r="P33" s="180">
        <v>1048</v>
      </c>
      <c r="Q33" s="180">
        <v>129</v>
      </c>
      <c r="R33" s="180"/>
      <c r="S33" s="180">
        <f t="shared" si="19"/>
        <v>1132</v>
      </c>
      <c r="T33" s="179"/>
      <c r="U33" s="180">
        <v>7070</v>
      </c>
      <c r="V33" s="180">
        <v>1514</v>
      </c>
      <c r="W33" s="180"/>
      <c r="X33" s="282">
        <f t="shared" si="1"/>
        <v>14.823196605374822</v>
      </c>
      <c r="Y33" s="182">
        <v>5.9551794389594105E-2</v>
      </c>
      <c r="Z33" s="182">
        <v>0.11440213132737816</v>
      </c>
      <c r="AA33" s="182">
        <v>0.82604607428302779</v>
      </c>
      <c r="AB33" s="182"/>
      <c r="AC33" s="180">
        <v>564.55054358444738</v>
      </c>
      <c r="AD33" s="179"/>
      <c r="AE33" s="180">
        <v>53</v>
      </c>
      <c r="AF33" s="180">
        <v>2633.8</v>
      </c>
      <c r="AG33" s="180">
        <v>2686.8</v>
      </c>
      <c r="AH33" s="179"/>
      <c r="AI33" s="180">
        <f t="shared" si="6"/>
        <v>6502.550543584447</v>
      </c>
      <c r="AJ33" s="179"/>
      <c r="AK33" s="180">
        <v>76</v>
      </c>
      <c r="AL33" s="180">
        <f t="shared" si="7"/>
        <v>61</v>
      </c>
      <c r="AM33" s="180">
        <f t="shared" si="8"/>
        <v>3681.8</v>
      </c>
      <c r="AN33" s="180">
        <f t="shared" si="9"/>
        <v>3818.8</v>
      </c>
      <c r="AO33" s="179"/>
      <c r="AP33" s="180">
        <v>1355.1599999999999</v>
      </c>
      <c r="AQ33" s="180">
        <v>776</v>
      </c>
      <c r="AR33" s="180">
        <v>2131.16</v>
      </c>
      <c r="AS33" s="180"/>
      <c r="AT33" s="180">
        <v>11077.95809355221</v>
      </c>
      <c r="AU33" s="180">
        <v>682</v>
      </c>
      <c r="AV33" s="180">
        <v>11759.95809355221</v>
      </c>
      <c r="AW33" s="184">
        <v>57.620613492791747</v>
      </c>
      <c r="AX33" s="185"/>
      <c r="AY33" s="148">
        <f t="shared" si="10"/>
        <v>1</v>
      </c>
      <c r="AZ33" s="186">
        <v>0.2240736990032019</v>
      </c>
      <c r="BA33" s="187">
        <v>0.5762061349279175</v>
      </c>
      <c r="BB33" s="186"/>
      <c r="BC33" s="186"/>
      <c r="BD33" s="283"/>
      <c r="BE33" s="190">
        <f>(AN33+AR33+AU33)/AV33</f>
        <v>0.56394418647088496</v>
      </c>
      <c r="BF33" s="190">
        <f t="shared" si="12"/>
        <v>0.14823196605374822</v>
      </c>
      <c r="BG33" s="190">
        <f t="shared" si="2"/>
        <v>0.9257950530035336</v>
      </c>
      <c r="BH33" s="190">
        <f t="shared" si="3"/>
        <v>7.0671378091872791E-3</v>
      </c>
      <c r="BI33" s="190">
        <f t="shared" si="4"/>
        <v>6.7137809187279157E-2</v>
      </c>
      <c r="BJ33" s="163"/>
      <c r="BL33" s="191">
        <v>4419.2475499677621</v>
      </c>
      <c r="BM33" s="191">
        <v>5695.4475499677619</v>
      </c>
      <c r="BN33" s="191">
        <v>11077.95809355221</v>
      </c>
      <c r="BO33" s="191">
        <v>11759.95809355221</v>
      </c>
      <c r="BQ33" s="191">
        <f t="shared" si="13"/>
        <v>1518.7524500322379</v>
      </c>
      <c r="BR33" s="191">
        <f t="shared" si="14"/>
        <v>1374.5524500322381</v>
      </c>
      <c r="BS33" s="191">
        <f t="shared" si="15"/>
        <v>0</v>
      </c>
      <c r="BT33" s="191">
        <f t="shared" si="16"/>
        <v>0</v>
      </c>
      <c r="BV33" s="192"/>
      <c r="BW33" s="56"/>
      <c r="BX33" s="47"/>
      <c r="BY33" s="56"/>
      <c r="BZ33" s="56"/>
      <c r="CA33" s="56"/>
      <c r="CB33" s="56"/>
      <c r="CC33" s="47"/>
      <c r="CD33" s="56"/>
      <c r="CE33" s="47"/>
      <c r="CF33" s="56"/>
      <c r="CG33" s="193"/>
      <c r="CH33" s="56"/>
      <c r="CI33" s="47"/>
      <c r="CJ33" s="57"/>
      <c r="CK33" s="56"/>
      <c r="CL33" s="56"/>
      <c r="CM33" s="47"/>
      <c r="CN33" s="56"/>
      <c r="CO33" s="47"/>
      <c r="CP33" s="56"/>
      <c r="CQ33" s="56"/>
      <c r="CR33" s="56"/>
      <c r="CS33" s="56"/>
      <c r="CT33" s="47"/>
      <c r="CU33" s="56"/>
      <c r="CV33" s="56"/>
      <c r="CW33" s="56"/>
      <c r="CX33" s="47"/>
      <c r="CY33" s="47"/>
      <c r="CZ33" s="47"/>
      <c r="DA33" s="47"/>
      <c r="DB33" s="56"/>
      <c r="DC33" s="56"/>
      <c r="DD33" s="56"/>
      <c r="DE33" s="191"/>
    </row>
    <row r="34" spans="1:109" x14ac:dyDescent="0.25">
      <c r="A34" s="1014">
        <v>2018</v>
      </c>
      <c r="B34" s="1014"/>
      <c r="C34" s="284">
        <v>14913</v>
      </c>
      <c r="D34" s="284">
        <v>3468</v>
      </c>
      <c r="E34" s="284"/>
      <c r="F34" s="284">
        <v>3247</v>
      </c>
      <c r="G34" s="284">
        <v>1027</v>
      </c>
      <c r="H34" s="177"/>
      <c r="I34" s="180">
        <f t="shared" si="18"/>
        <v>18118</v>
      </c>
      <c r="J34" s="179"/>
      <c r="K34" s="180">
        <v>40</v>
      </c>
      <c r="L34" s="180"/>
      <c r="M34" s="180">
        <v>144</v>
      </c>
      <c r="N34" s="180">
        <v>29</v>
      </c>
      <c r="O34" s="180"/>
      <c r="P34" s="180">
        <v>1781</v>
      </c>
      <c r="Q34" s="180">
        <v>159</v>
      </c>
      <c r="R34" s="180"/>
      <c r="S34" s="180">
        <f t="shared" si="19"/>
        <v>1965</v>
      </c>
      <c r="T34" s="179"/>
      <c r="U34" s="285">
        <v>20083</v>
      </c>
      <c r="V34" s="285">
        <v>4154</v>
      </c>
      <c r="W34" s="180"/>
      <c r="X34" s="282">
        <f t="shared" si="1"/>
        <v>8.868196982522532</v>
      </c>
      <c r="Y34" s="182">
        <v>1.8210769643108752E-2</v>
      </c>
      <c r="Z34" s="182">
        <v>0.15438291162224499</v>
      </c>
      <c r="AA34" s="182">
        <v>0.82740631873464621</v>
      </c>
      <c r="AB34" s="182"/>
      <c r="AC34" s="180">
        <v>1848.515221946901</v>
      </c>
      <c r="AD34" s="179"/>
      <c r="AE34" s="180">
        <v>22.912106328816662</v>
      </c>
      <c r="AF34" s="180">
        <v>3686.1734568285642</v>
      </c>
      <c r="AG34" s="180">
        <v>3709.0855631573809</v>
      </c>
      <c r="AH34" s="179"/>
      <c r="AI34" s="180">
        <f t="shared" si="6"/>
        <v>19966.515221946902</v>
      </c>
      <c r="AJ34" s="179"/>
      <c r="AK34" s="180">
        <v>40</v>
      </c>
      <c r="AL34" s="180">
        <f t="shared" si="7"/>
        <v>166.91210632881666</v>
      </c>
      <c r="AM34" s="180">
        <f t="shared" si="8"/>
        <v>5467.1734568285647</v>
      </c>
      <c r="AN34" s="180">
        <f t="shared" si="9"/>
        <v>5674.0855631573813</v>
      </c>
      <c r="AO34" s="179"/>
      <c r="AP34" s="180">
        <v>353.64</v>
      </c>
      <c r="AQ34" s="180">
        <v>237</v>
      </c>
      <c r="AR34" s="180">
        <v>590.64</v>
      </c>
      <c r="AS34" s="180"/>
      <c r="AT34" s="180">
        <v>22814.743227555235</v>
      </c>
      <c r="AU34" s="180">
        <v>1158.0165371768126</v>
      </c>
      <c r="AV34" s="180">
        <v>23972.759764732047</v>
      </c>
      <c r="AW34" s="184">
        <v>32.28444101539651</v>
      </c>
      <c r="AX34" s="185"/>
      <c r="AY34" s="148">
        <f t="shared" si="10"/>
        <v>20</v>
      </c>
      <c r="AZ34" s="186">
        <v>0.13798664782447984</v>
      </c>
      <c r="BA34" s="187">
        <v>0.32284441015396509</v>
      </c>
      <c r="BB34" s="186"/>
      <c r="BC34" s="186"/>
      <c r="BD34" s="283"/>
      <c r="BE34" s="190">
        <f>(AN34+AR34+AU34)/AV34</f>
        <v>0.30963235660728111</v>
      </c>
      <c r="BF34" s="190">
        <f>P34/U34</f>
        <v>8.8681969825225318E-2</v>
      </c>
      <c r="BG34" s="190">
        <f>P34/$S34</f>
        <v>0.90636132315521634</v>
      </c>
      <c r="BH34" s="190">
        <f>M34/$S34</f>
        <v>7.3282442748091606E-2</v>
      </c>
      <c r="BI34" s="190">
        <f>K34/$S34</f>
        <v>2.0356234096692113E-2</v>
      </c>
      <c r="BJ34" s="163"/>
      <c r="BL34" s="191">
        <v>14470</v>
      </c>
      <c r="BM34" s="191">
        <v>16666.50244245095</v>
      </c>
      <c r="BN34" s="191">
        <v>22814.743227555235</v>
      </c>
      <c r="BO34" s="191">
        <v>23972.759764732047</v>
      </c>
      <c r="BQ34" s="191">
        <f t="shared" si="13"/>
        <v>3648</v>
      </c>
      <c r="BR34" s="191">
        <f t="shared" si="14"/>
        <v>3416.4975575490498</v>
      </c>
      <c r="BS34" s="191">
        <f t="shared" si="15"/>
        <v>0</v>
      </c>
      <c r="BT34" s="191">
        <f t="shared" si="16"/>
        <v>0</v>
      </c>
      <c r="BV34" s="192"/>
      <c r="BW34" s="56"/>
      <c r="BX34" s="47"/>
      <c r="BY34" s="56"/>
      <c r="BZ34" s="56"/>
      <c r="CA34" s="56"/>
      <c r="CB34" s="56"/>
      <c r="CC34" s="47"/>
      <c r="CD34" s="56"/>
      <c r="CE34" s="47"/>
      <c r="CF34" s="56"/>
      <c r="CG34" s="193"/>
      <c r="CH34" s="56"/>
      <c r="CI34" s="47"/>
      <c r="CJ34" s="57"/>
      <c r="CK34" s="56"/>
      <c r="CL34" s="56"/>
      <c r="CM34" s="47"/>
      <c r="CN34" s="56"/>
      <c r="CO34" s="47"/>
      <c r="CP34" s="56"/>
      <c r="CQ34" s="56"/>
      <c r="CR34" s="56"/>
      <c r="CS34" s="56"/>
      <c r="CT34" s="47"/>
      <c r="CU34" s="56"/>
      <c r="CV34" s="56"/>
      <c r="CW34" s="56"/>
      <c r="CX34" s="47"/>
      <c r="CY34" s="47"/>
      <c r="CZ34" s="47"/>
      <c r="DA34" s="47"/>
      <c r="DB34" s="56"/>
      <c r="DC34" s="56"/>
      <c r="DD34" s="56"/>
      <c r="DE34" s="191"/>
    </row>
    <row r="35" spans="1:109" x14ac:dyDescent="0.25">
      <c r="A35" s="995">
        <v>2019</v>
      </c>
      <c r="B35" s="995"/>
      <c r="C35" s="177">
        <v>9540</v>
      </c>
      <c r="D35" s="177">
        <v>1209</v>
      </c>
      <c r="E35" s="177"/>
      <c r="F35" s="177">
        <v>2449</v>
      </c>
      <c r="G35" s="177">
        <v>582</v>
      </c>
      <c r="H35" s="177"/>
      <c r="I35" s="180">
        <f t="shared" si="18"/>
        <v>11878</v>
      </c>
      <c r="J35" s="179"/>
      <c r="K35" s="180">
        <v>110</v>
      </c>
      <c r="L35" s="180"/>
      <c r="M35" s="180">
        <v>107</v>
      </c>
      <c r="N35" s="180">
        <v>21</v>
      </c>
      <c r="O35" s="180"/>
      <c r="P35" s="180">
        <v>2223</v>
      </c>
      <c r="Q35" s="180">
        <v>157</v>
      </c>
      <c r="R35" s="180"/>
      <c r="S35" s="180">
        <f t="shared" si="19"/>
        <v>2440</v>
      </c>
      <c r="T35" s="179"/>
      <c r="U35" s="180">
        <v>14318</v>
      </c>
      <c r="V35" s="180">
        <v>1471</v>
      </c>
      <c r="W35" s="180"/>
      <c r="X35" s="282">
        <f t="shared" si="1"/>
        <v>15.52591144014527</v>
      </c>
      <c r="Y35" s="182">
        <v>4.2234670370539774E-2</v>
      </c>
      <c r="Z35" s="182">
        <v>9.6869166858330538E-2</v>
      </c>
      <c r="AA35" s="182">
        <v>0.86089616277112979</v>
      </c>
      <c r="AB35" s="182"/>
      <c r="AC35" s="180">
        <v>1340.406219977845</v>
      </c>
      <c r="AD35" s="179"/>
      <c r="AE35" s="180">
        <v>23.927589616623663</v>
      </c>
      <c r="AF35" s="180">
        <v>4439.5843867763651</v>
      </c>
      <c r="AG35" s="180">
        <v>4463.5119763929888</v>
      </c>
      <c r="AH35" s="179"/>
      <c r="AI35" s="180">
        <f t="shared" si="6"/>
        <v>13218.406219977845</v>
      </c>
      <c r="AJ35" s="179"/>
      <c r="AK35" s="180">
        <v>110</v>
      </c>
      <c r="AL35" s="180">
        <f t="shared" si="7"/>
        <v>130.92758961662366</v>
      </c>
      <c r="AM35" s="180">
        <f t="shared" si="8"/>
        <v>6662.5843867763651</v>
      </c>
      <c r="AN35" s="180">
        <f t="shared" si="9"/>
        <v>6903.5119763929888</v>
      </c>
      <c r="AO35" s="179"/>
      <c r="AP35" s="180">
        <v>364.87200000000001</v>
      </c>
      <c r="AQ35" s="180">
        <v>879</v>
      </c>
      <c r="AR35" s="180">
        <v>1243.8720000000001</v>
      </c>
      <c r="AS35" s="180"/>
      <c r="AT35" s="180">
        <v>20144.856913645377</v>
      </c>
      <c r="AU35" s="180">
        <v>1022.5001093541468</v>
      </c>
      <c r="AV35" s="180">
        <v>21167.357022999524</v>
      </c>
      <c r="AW35" s="184">
        <v>44.398889162534459</v>
      </c>
      <c r="AX35" s="185"/>
      <c r="AY35" s="148">
        <f t="shared" si="10"/>
        <v>9</v>
      </c>
      <c r="AZ35" s="186">
        <v>0.20547448470440405</v>
      </c>
      <c r="BA35" s="187">
        <v>0.44398889162534461</v>
      </c>
      <c r="BB35" s="186"/>
      <c r="BC35" s="186"/>
      <c r="BD35" s="283"/>
      <c r="BE35" s="194"/>
      <c r="BG35" s="194"/>
      <c r="BH35" s="194"/>
      <c r="BI35" s="194"/>
      <c r="BL35" s="191">
        <v>10492.571428571428</v>
      </c>
      <c r="BM35" s="191">
        <v>13097.066717274545</v>
      </c>
      <c r="BN35" s="191">
        <v>20144.856913645377</v>
      </c>
      <c r="BO35" s="191">
        <v>21167.357022999524</v>
      </c>
      <c r="BQ35" s="191">
        <f t="shared" si="13"/>
        <v>1385.4285714285725</v>
      </c>
      <c r="BR35" s="191">
        <f t="shared" si="14"/>
        <v>1220.9332827254548</v>
      </c>
      <c r="BS35" s="191">
        <f t="shared" si="15"/>
        <v>0</v>
      </c>
      <c r="BT35" s="191">
        <f t="shared" si="16"/>
        <v>0</v>
      </c>
      <c r="BV35" s="192">
        <v>2016</v>
      </c>
      <c r="BW35" s="56">
        <v>9037.17808219178</v>
      </c>
      <c r="BX35" s="47"/>
      <c r="BY35" s="56">
        <v>114</v>
      </c>
      <c r="BZ35" s="56">
        <v>339</v>
      </c>
      <c r="CA35" s="56">
        <v>1519</v>
      </c>
      <c r="CB35" s="56">
        <v>1972</v>
      </c>
      <c r="CC35" s="47"/>
      <c r="CD35" s="56">
        <v>11009.17808219178</v>
      </c>
      <c r="CE35" s="47"/>
      <c r="CF35" s="56">
        <v>494.77937899773315</v>
      </c>
      <c r="CG35" s="193">
        <v>2.3333277671039006</v>
      </c>
      <c r="CH35" s="56">
        <v>1154.4824636058352</v>
      </c>
      <c r="CI35" s="47"/>
      <c r="CJ35" s="47">
        <v>2</v>
      </c>
      <c r="CK35" s="56">
        <v>3877</v>
      </c>
      <c r="CL35" s="56">
        <v>3879</v>
      </c>
      <c r="CM35" s="47"/>
      <c r="CN35" s="56">
        <v>10191.660545797615</v>
      </c>
      <c r="CO35" s="47"/>
      <c r="CP35" s="56">
        <v>114</v>
      </c>
      <c r="CQ35" s="56">
        <v>341</v>
      </c>
      <c r="CR35" s="56">
        <v>5396</v>
      </c>
      <c r="CS35" s="56">
        <v>5851</v>
      </c>
      <c r="CT35" s="47"/>
      <c r="CU35" s="56">
        <v>739</v>
      </c>
      <c r="CV35" s="56">
        <v>764</v>
      </c>
      <c r="CW35" s="56">
        <v>1503</v>
      </c>
      <c r="CX35" s="47"/>
      <c r="CY35" s="47" t="e">
        <v>#REF!</v>
      </c>
      <c r="CZ35" s="47" t="e">
        <v>#REF!</v>
      </c>
      <c r="DA35" s="47" t="e">
        <v>#REF!</v>
      </c>
      <c r="DB35" s="56">
        <v>17545.660545797615</v>
      </c>
      <c r="DC35" s="47">
        <v>461.3417464667582</v>
      </c>
      <c r="DD35" s="56">
        <v>18007.002292264373</v>
      </c>
    </row>
    <row r="36" spans="1:109" x14ac:dyDescent="0.25">
      <c r="A36" s="995">
        <v>2020</v>
      </c>
      <c r="B36" s="995"/>
      <c r="C36" s="177">
        <v>10636</v>
      </c>
      <c r="D36" s="177">
        <v>1086</v>
      </c>
      <c r="E36" s="177"/>
      <c r="F36" s="177">
        <v>2590</v>
      </c>
      <c r="G36" s="177">
        <v>669</v>
      </c>
      <c r="H36" s="177"/>
      <c r="I36" s="180">
        <f t="shared" si="18"/>
        <v>12959</v>
      </c>
      <c r="J36" s="179"/>
      <c r="K36" s="180">
        <v>266</v>
      </c>
      <c r="L36" s="180"/>
      <c r="M36" s="180">
        <v>97</v>
      </c>
      <c r="N36" s="180">
        <v>19</v>
      </c>
      <c r="O36" s="180"/>
      <c r="P36" s="180">
        <v>1987</v>
      </c>
      <c r="Q36" s="180">
        <v>197</v>
      </c>
      <c r="R36" s="180"/>
      <c r="S36" s="180">
        <f t="shared" si="19"/>
        <v>2350</v>
      </c>
      <c r="T36" s="179"/>
      <c r="U36" s="180">
        <v>15309</v>
      </c>
      <c r="V36" s="180">
        <v>1406</v>
      </c>
      <c r="W36" s="180"/>
      <c r="X36" s="282">
        <f t="shared" si="1"/>
        <v>12.979293226206806</v>
      </c>
      <c r="Y36" s="182">
        <v>0.11626867262545433</v>
      </c>
      <c r="Z36" s="182">
        <v>0.10036021805372136</v>
      </c>
      <c r="AA36" s="182">
        <v>0.78337110932082421</v>
      </c>
      <c r="AB36" s="182"/>
      <c r="AC36" s="180">
        <v>2031.7132432726612</v>
      </c>
      <c r="AD36" s="179"/>
      <c r="AE36" s="180">
        <v>23.680541557217111</v>
      </c>
      <c r="AF36" s="180">
        <v>3688.6</v>
      </c>
      <c r="AG36" s="180">
        <v>3712.280541557217</v>
      </c>
      <c r="AH36" s="179"/>
      <c r="AI36" s="180">
        <f t="shared" si="6"/>
        <v>14990.713243272661</v>
      </c>
      <c r="AJ36" s="179"/>
      <c r="AK36" s="180">
        <v>266</v>
      </c>
      <c r="AL36" s="180">
        <f t="shared" si="7"/>
        <v>120.68054155721711</v>
      </c>
      <c r="AM36" s="180">
        <f t="shared" si="8"/>
        <v>5675.6</v>
      </c>
      <c r="AN36" s="180">
        <f t="shared" si="9"/>
        <v>6062.2805415572175</v>
      </c>
      <c r="AO36" s="179"/>
      <c r="AP36" s="180">
        <v>138.28</v>
      </c>
      <c r="AQ36" s="180">
        <v>330</v>
      </c>
      <c r="AR36" s="180">
        <v>468.28</v>
      </c>
      <c r="AS36" s="180"/>
      <c r="AT36" s="180">
        <v>20765.726660226421</v>
      </c>
      <c r="AU36" s="180">
        <v>1054.0138295307224</v>
      </c>
      <c r="AV36" s="180">
        <v>21819.740489757143</v>
      </c>
      <c r="AW36" s="184">
        <v>35.289475648258438</v>
      </c>
      <c r="AX36" s="185"/>
      <c r="AY36" s="148">
        <f t="shared" si="10"/>
        <v>12</v>
      </c>
      <c r="AZ36" s="186">
        <v>0.17787416666640313</v>
      </c>
      <c r="BA36" s="187">
        <v>0.35289475648258439</v>
      </c>
      <c r="BB36" s="186"/>
      <c r="BC36" s="186"/>
      <c r="BD36" s="283"/>
      <c r="BE36" s="194"/>
      <c r="BG36" s="194"/>
      <c r="BH36" s="194"/>
      <c r="BI36" s="194"/>
      <c r="BL36" s="191">
        <v>12265.648310387985</v>
      </c>
      <c r="BM36" s="191">
        <v>14553.452875396544</v>
      </c>
      <c r="BN36" s="191">
        <v>20765.726660226421</v>
      </c>
      <c r="BO36" s="191">
        <v>21819.740489757143</v>
      </c>
      <c r="BQ36" s="191">
        <f t="shared" si="13"/>
        <v>693.35168961201452</v>
      </c>
      <c r="BR36" s="191">
        <f t="shared" si="14"/>
        <v>755.54712460345581</v>
      </c>
      <c r="BS36" s="191">
        <f t="shared" si="15"/>
        <v>0</v>
      </c>
      <c r="BT36" s="191">
        <f t="shared" si="16"/>
        <v>0</v>
      </c>
      <c r="BV36" s="192"/>
      <c r="BW36" s="56"/>
      <c r="BX36" s="47"/>
      <c r="BY36" s="56"/>
      <c r="BZ36" s="56"/>
      <c r="CA36" s="56"/>
      <c r="CB36" s="56"/>
      <c r="CC36" s="47"/>
      <c r="CD36" s="56"/>
      <c r="CE36" s="47"/>
      <c r="CF36" s="56"/>
      <c r="CG36" s="193"/>
      <c r="CH36" s="56"/>
      <c r="CI36" s="47"/>
      <c r="CJ36" s="47"/>
      <c r="CK36" s="56"/>
      <c r="CL36" s="56"/>
      <c r="CM36" s="47"/>
      <c r="CN36" s="56"/>
      <c r="CO36" s="47"/>
      <c r="CP36" s="56"/>
      <c r="CQ36" s="56"/>
      <c r="CR36" s="56"/>
      <c r="CS36" s="56"/>
      <c r="CT36" s="47"/>
      <c r="CU36" s="56"/>
      <c r="CV36" s="56"/>
      <c r="CW36" s="56"/>
      <c r="CX36" s="47"/>
      <c r="CY36" s="47"/>
      <c r="CZ36" s="47"/>
      <c r="DA36" s="47"/>
      <c r="DB36" s="56"/>
      <c r="DC36" s="47"/>
      <c r="DD36" s="56"/>
    </row>
    <row r="37" spans="1:109" x14ac:dyDescent="0.25">
      <c r="A37" s="995">
        <v>2021</v>
      </c>
      <c r="B37" s="995"/>
      <c r="C37" s="177">
        <v>10627</v>
      </c>
      <c r="D37" s="177">
        <v>904</v>
      </c>
      <c r="E37" s="177"/>
      <c r="F37" s="177">
        <v>1632</v>
      </c>
      <c r="G37" s="177">
        <v>495</v>
      </c>
      <c r="H37" s="177"/>
      <c r="I37" s="180">
        <f t="shared" si="18"/>
        <v>11959</v>
      </c>
      <c r="J37" s="179"/>
      <c r="K37" s="180">
        <v>299</v>
      </c>
      <c r="L37" s="180"/>
      <c r="M37" s="180">
        <v>107</v>
      </c>
      <c r="N37" s="180">
        <v>21</v>
      </c>
      <c r="O37" s="180"/>
      <c r="P37" s="180">
        <v>1015</v>
      </c>
      <c r="Q37" s="180">
        <v>182</v>
      </c>
      <c r="R37" s="180"/>
      <c r="S37" s="180">
        <f t="shared" si="19"/>
        <v>1421</v>
      </c>
      <c r="T37" s="179"/>
      <c r="U37" s="180">
        <v>13380</v>
      </c>
      <c r="V37" s="180">
        <v>1101</v>
      </c>
      <c r="W37" s="180"/>
      <c r="X37" s="282">
        <f t="shared" si="1"/>
        <v>7.5859491778774295</v>
      </c>
      <c r="Y37" s="182">
        <v>0.16820480937430574</v>
      </c>
      <c r="Z37" s="182">
        <v>0.14108661219836127</v>
      </c>
      <c r="AA37" s="182">
        <v>0.69070857842733302</v>
      </c>
      <c r="AB37" s="182"/>
      <c r="AC37" s="180">
        <v>1485.8798346322446</v>
      </c>
      <c r="AD37" s="179"/>
      <c r="AE37" s="180">
        <v>25.076319574755871</v>
      </c>
      <c r="AF37" s="180">
        <v>4571.6000000000004</v>
      </c>
      <c r="AG37" s="180">
        <v>4596.6763195747562</v>
      </c>
      <c r="AH37" s="179"/>
      <c r="AI37" s="180">
        <f t="shared" si="6"/>
        <v>13444.879834632244</v>
      </c>
      <c r="AJ37" s="179"/>
      <c r="AK37" s="180">
        <v>299</v>
      </c>
      <c r="AL37" s="180">
        <f t="shared" si="7"/>
        <v>132.07631957475587</v>
      </c>
      <c r="AM37" s="180">
        <f t="shared" si="8"/>
        <v>5586.6</v>
      </c>
      <c r="AN37" s="180">
        <f t="shared" si="9"/>
        <v>6017.6763195747562</v>
      </c>
      <c r="AO37" s="179"/>
      <c r="AP37" s="180">
        <v>21.655999999999999</v>
      </c>
      <c r="AQ37" s="180">
        <v>379</v>
      </c>
      <c r="AR37" s="180">
        <v>400.65600000000001</v>
      </c>
      <c r="AS37" s="180"/>
      <c r="AT37" s="180">
        <v>19510.674764809301</v>
      </c>
      <c r="AU37" s="180">
        <v>990.31068654935734</v>
      </c>
      <c r="AV37" s="180">
        <v>20500.985451358658</v>
      </c>
      <c r="AW37" s="184">
        <v>39.157986041809139</v>
      </c>
      <c r="AX37" s="185"/>
      <c r="AY37" s="148">
        <f t="shared" si="10"/>
        <v>10</v>
      </c>
      <c r="AZ37" s="186">
        <v>0.13264047333235418</v>
      </c>
      <c r="BA37" s="187">
        <v>0.3915798604180914</v>
      </c>
      <c r="BB37" s="186"/>
      <c r="BC37" s="186"/>
      <c r="BD37" s="283"/>
      <c r="BE37" s="194"/>
      <c r="BG37" s="194"/>
      <c r="BH37" s="194"/>
      <c r="BI37" s="194"/>
      <c r="BL37" s="191">
        <v>11249.867777777778</v>
      </c>
      <c r="BM37" s="191">
        <v>13027.462610602302</v>
      </c>
      <c r="BN37" s="191">
        <v>19510.674764809301</v>
      </c>
      <c r="BO37" s="191">
        <v>20500.985451358658</v>
      </c>
      <c r="BQ37" s="191">
        <f t="shared" si="13"/>
        <v>709.13222222222248</v>
      </c>
      <c r="BR37" s="191">
        <f t="shared" si="14"/>
        <v>352.53738939769755</v>
      </c>
      <c r="BS37" s="191">
        <f t="shared" si="15"/>
        <v>0</v>
      </c>
      <c r="BT37" s="191">
        <f t="shared" si="16"/>
        <v>0</v>
      </c>
      <c r="BV37" s="192"/>
      <c r="BW37" s="56"/>
      <c r="BX37" s="47"/>
      <c r="BY37" s="56"/>
      <c r="BZ37" s="56"/>
      <c r="CA37" s="56"/>
      <c r="CB37" s="56"/>
      <c r="CC37" s="47"/>
      <c r="CD37" s="56"/>
      <c r="CE37" s="47"/>
      <c r="CF37" s="56"/>
      <c r="CG37" s="193"/>
      <c r="CH37" s="56"/>
      <c r="CI37" s="47"/>
      <c r="CJ37" s="47"/>
      <c r="CK37" s="56"/>
      <c r="CL37" s="56"/>
      <c r="CM37" s="47"/>
      <c r="CN37" s="56"/>
      <c r="CO37" s="47"/>
      <c r="CP37" s="56"/>
      <c r="CQ37" s="56"/>
      <c r="CR37" s="56"/>
      <c r="CS37" s="56"/>
      <c r="CT37" s="47"/>
      <c r="CU37" s="56"/>
      <c r="CV37" s="56"/>
      <c r="CW37" s="56"/>
      <c r="CX37" s="47"/>
      <c r="CY37" s="47"/>
      <c r="CZ37" s="47"/>
      <c r="DA37" s="47"/>
      <c r="DB37" s="56"/>
      <c r="DC37" s="47"/>
      <c r="DD37" s="56"/>
    </row>
    <row r="38" spans="1:109" x14ac:dyDescent="0.25">
      <c r="A38" s="995">
        <v>2022</v>
      </c>
      <c r="B38" s="995"/>
      <c r="C38" s="177">
        <v>12227</v>
      </c>
      <c r="D38" s="177">
        <v>1667</v>
      </c>
      <c r="E38" s="177"/>
      <c r="F38" s="177">
        <v>2383</v>
      </c>
      <c r="G38" s="177">
        <v>666</v>
      </c>
      <c r="H38" s="177"/>
      <c r="I38" s="180">
        <f t="shared" si="18"/>
        <v>14572</v>
      </c>
      <c r="J38" s="179"/>
      <c r="K38" s="180">
        <v>38</v>
      </c>
      <c r="L38" s="180"/>
      <c r="M38" s="180">
        <v>113</v>
      </c>
      <c r="N38" s="180">
        <v>23</v>
      </c>
      <c r="O38" s="180"/>
      <c r="P38" s="180">
        <v>1338</v>
      </c>
      <c r="Q38" s="180">
        <v>368</v>
      </c>
      <c r="R38" s="180"/>
      <c r="S38" s="180">
        <f t="shared" si="19"/>
        <v>1489</v>
      </c>
      <c r="T38" s="179"/>
      <c r="U38" s="180">
        <v>16061</v>
      </c>
      <c r="V38" s="180">
        <v>2048</v>
      </c>
      <c r="W38" s="180"/>
      <c r="X38" s="282">
        <f t="shared" si="1"/>
        <v>8.3307390573438767</v>
      </c>
      <c r="Y38" s="182">
        <v>2.2471352778984464E-2</v>
      </c>
      <c r="Z38" s="182">
        <v>0.15673291939916201</v>
      </c>
      <c r="AA38" s="182">
        <v>0.82079572782185362</v>
      </c>
      <c r="AB38" s="182"/>
      <c r="AC38" s="180">
        <v>4800</v>
      </c>
      <c r="AD38" s="179"/>
      <c r="AE38" s="180">
        <v>30.48164605306556</v>
      </c>
      <c r="AF38" s="180">
        <v>2563.1999999999994</v>
      </c>
      <c r="AG38" s="180">
        <v>2593.6816460530649</v>
      </c>
      <c r="AH38" s="179"/>
      <c r="AI38" s="180">
        <f t="shared" si="6"/>
        <v>19372</v>
      </c>
      <c r="AJ38" s="179"/>
      <c r="AK38" s="180">
        <v>38</v>
      </c>
      <c r="AL38" s="180">
        <f t="shared" si="7"/>
        <v>143.48164605306556</v>
      </c>
      <c r="AM38" s="180">
        <f t="shared" si="8"/>
        <v>3901.1999999999994</v>
      </c>
      <c r="AN38" s="180">
        <f t="shared" si="9"/>
        <v>4082.6816460530649</v>
      </c>
      <c r="AO38" s="179"/>
      <c r="AP38" s="180">
        <v>72.823999999999998</v>
      </c>
      <c r="AQ38" s="180">
        <v>291</v>
      </c>
      <c r="AR38" s="180">
        <v>363.82400000000001</v>
      </c>
      <c r="AS38" s="180"/>
      <c r="AT38" s="180">
        <v>22857.040953893968</v>
      </c>
      <c r="AU38" s="180">
        <v>1160.1634588448178</v>
      </c>
      <c r="AV38" s="180">
        <v>24017.204412738785</v>
      </c>
      <c r="AW38" s="184">
        <v>24.567242063140394</v>
      </c>
      <c r="AX38" s="185"/>
      <c r="AY38" s="148">
        <f t="shared" si="10"/>
        <v>17</v>
      </c>
      <c r="AZ38" s="186">
        <v>0.11987226166294518</v>
      </c>
      <c r="BA38" s="187">
        <v>0.24567242063140393</v>
      </c>
      <c r="BB38" s="186"/>
      <c r="BC38" s="186"/>
      <c r="BD38" s="283"/>
      <c r="BE38" s="194"/>
      <c r="BG38" s="194"/>
      <c r="BH38" s="194"/>
      <c r="BI38" s="194"/>
      <c r="BL38" s="191">
        <v>13408.493367742924</v>
      </c>
      <c r="BM38" s="191">
        <v>15099.535307840903</v>
      </c>
      <c r="BN38" s="191">
        <v>22857.040953893968</v>
      </c>
      <c r="BO38" s="191">
        <v>24017.204412738785</v>
      </c>
      <c r="BQ38" s="191">
        <f t="shared" si="13"/>
        <v>1163.5066322570765</v>
      </c>
      <c r="BR38" s="191">
        <f t="shared" si="14"/>
        <v>961.46469215909747</v>
      </c>
      <c r="BS38" s="191">
        <f t="shared" si="15"/>
        <v>0</v>
      </c>
      <c r="BT38" s="191">
        <f t="shared" si="16"/>
        <v>0</v>
      </c>
      <c r="BV38" s="192"/>
      <c r="BW38" s="56"/>
      <c r="BX38" s="47"/>
      <c r="BY38" s="56"/>
      <c r="BZ38" s="56"/>
      <c r="CA38" s="56"/>
      <c r="CB38" s="56"/>
      <c r="CC38" s="47"/>
      <c r="CD38" s="56"/>
      <c r="CE38" s="47"/>
      <c r="CF38" s="56"/>
      <c r="CG38" s="193"/>
      <c r="CH38" s="56"/>
      <c r="CI38" s="47"/>
      <c r="CJ38" s="47"/>
      <c r="CK38" s="56"/>
      <c r="CL38" s="56"/>
      <c r="CM38" s="47"/>
      <c r="CN38" s="56"/>
      <c r="CO38" s="47"/>
      <c r="CP38" s="56"/>
      <c r="CQ38" s="56"/>
      <c r="CR38" s="56"/>
      <c r="CS38" s="56"/>
      <c r="CT38" s="47"/>
      <c r="CU38" s="56"/>
      <c r="CV38" s="56"/>
      <c r="CW38" s="56"/>
      <c r="CX38" s="47"/>
      <c r="CY38" s="47"/>
      <c r="CZ38" s="47"/>
      <c r="DA38" s="47"/>
      <c r="DB38" s="56"/>
      <c r="DC38" s="47"/>
      <c r="DD38" s="56"/>
    </row>
    <row r="39" spans="1:109" x14ac:dyDescent="0.25">
      <c r="A39" s="995">
        <v>2023</v>
      </c>
      <c r="B39" s="995"/>
      <c r="C39" s="177">
        <v>8442</v>
      </c>
      <c r="D39" s="177">
        <v>981</v>
      </c>
      <c r="E39" s="177"/>
      <c r="F39" s="177">
        <v>1908</v>
      </c>
      <c r="G39" s="177">
        <v>504</v>
      </c>
      <c r="H39" s="177"/>
      <c r="I39" s="180">
        <f t="shared" si="18"/>
        <v>10285</v>
      </c>
      <c r="J39" s="177"/>
      <c r="K39" s="180">
        <v>66</v>
      </c>
      <c r="L39" s="180"/>
      <c r="M39" s="180">
        <v>82</v>
      </c>
      <c r="N39" s="180">
        <v>16</v>
      </c>
      <c r="O39" s="180"/>
      <c r="P39" s="180">
        <v>1173</v>
      </c>
      <c r="Q39" s="180">
        <v>128</v>
      </c>
      <c r="R39" s="180"/>
      <c r="S39" s="180">
        <f t="shared" si="19"/>
        <v>1321</v>
      </c>
      <c r="T39" s="177"/>
      <c r="U39" s="180">
        <v>11606</v>
      </c>
      <c r="V39" s="180">
        <v>1236</v>
      </c>
      <c r="W39" s="180"/>
      <c r="X39" s="282">
        <f t="shared" si="1"/>
        <v>10.106841288988454</v>
      </c>
      <c r="Y39" s="195"/>
      <c r="Z39" s="195"/>
      <c r="AA39" s="195"/>
      <c r="AB39" s="196"/>
      <c r="AC39" s="180">
        <v>3118</v>
      </c>
      <c r="AD39" s="177"/>
      <c r="AE39" s="183">
        <v>20</v>
      </c>
      <c r="AF39" s="180">
        <v>1644</v>
      </c>
      <c r="AG39" s="286">
        <v>1664</v>
      </c>
      <c r="AH39" s="197"/>
      <c r="AI39" s="180">
        <f t="shared" si="6"/>
        <v>13403</v>
      </c>
      <c r="AJ39" s="197"/>
      <c r="AK39" s="286">
        <v>66</v>
      </c>
      <c r="AL39" s="180">
        <f t="shared" si="7"/>
        <v>102</v>
      </c>
      <c r="AM39" s="180">
        <f t="shared" si="8"/>
        <v>2817</v>
      </c>
      <c r="AN39" s="180">
        <f t="shared" si="9"/>
        <v>2985</v>
      </c>
      <c r="AO39" s="177"/>
      <c r="AP39" s="180">
        <v>247.00093438060171</v>
      </c>
      <c r="AQ39" s="180">
        <v>263</v>
      </c>
      <c r="AR39" s="180">
        <v>510.00093438060173</v>
      </c>
      <c r="AS39" s="177"/>
      <c r="AT39" s="180">
        <v>17521.200934380602</v>
      </c>
      <c r="AU39" s="180">
        <v>889</v>
      </c>
      <c r="AV39" s="180">
        <v>18410.200934380602</v>
      </c>
      <c r="AW39" s="184">
        <v>27.051468288261333</v>
      </c>
      <c r="AX39" s="185"/>
      <c r="AY39" s="148">
        <f t="shared" si="10"/>
        <v>5</v>
      </c>
      <c r="AZ39" s="186"/>
      <c r="BA39" s="77">
        <v>0.27051468288261332</v>
      </c>
      <c r="BB39" s="186"/>
      <c r="BC39" s="186"/>
      <c r="BD39" s="283"/>
      <c r="BE39" s="194"/>
      <c r="BG39" s="194"/>
      <c r="BH39" s="194"/>
      <c r="BI39" s="194"/>
      <c r="BL39" s="191">
        <v>10375.825950221804</v>
      </c>
      <c r="BM39" s="191">
        <v>12228.874191399254</v>
      </c>
      <c r="BN39" s="191">
        <v>17528.019145049399</v>
      </c>
      <c r="BO39" s="191">
        <v>18417.695431627271</v>
      </c>
      <c r="BQ39" s="191">
        <f t="shared" si="13"/>
        <v>-90.825950221804305</v>
      </c>
      <c r="BR39" s="191">
        <f t="shared" si="14"/>
        <v>-622.87419139925441</v>
      </c>
      <c r="BS39" s="191">
        <f t="shared" si="15"/>
        <v>-6.8182106687963824</v>
      </c>
      <c r="BT39" s="191">
        <f t="shared" si="16"/>
        <v>-7.4944972466691979</v>
      </c>
      <c r="BV39" s="192"/>
      <c r="BW39" s="56"/>
      <c r="BX39" s="47"/>
      <c r="BY39" s="56"/>
      <c r="BZ39" s="56"/>
      <c r="CA39" s="56"/>
      <c r="CB39" s="56"/>
      <c r="CC39" s="47"/>
      <c r="CD39" s="56"/>
      <c r="CE39" s="47"/>
      <c r="CF39" s="56"/>
      <c r="CG39" s="193"/>
      <c r="CH39" s="56"/>
      <c r="CI39" s="47"/>
      <c r="CJ39" s="47"/>
      <c r="CK39" s="56"/>
      <c r="CL39" s="56"/>
      <c r="CM39" s="47"/>
      <c r="CN39" s="56"/>
      <c r="CO39" s="47"/>
      <c r="CP39" s="56"/>
      <c r="CQ39" s="56"/>
      <c r="CR39" s="56"/>
      <c r="CS39" s="56"/>
      <c r="CT39" s="47"/>
      <c r="CU39" s="56"/>
      <c r="CV39" s="56"/>
      <c r="CW39" s="56"/>
      <c r="CX39" s="47"/>
      <c r="CY39" s="47"/>
      <c r="CZ39" s="47"/>
      <c r="DA39" s="47"/>
      <c r="DB39" s="56"/>
      <c r="DC39" s="47"/>
      <c r="DD39" s="56"/>
    </row>
    <row r="40" spans="1:109" x14ac:dyDescent="0.25">
      <c r="A40" s="1014">
        <v>2024</v>
      </c>
      <c r="B40" s="1014"/>
      <c r="C40" s="284">
        <v>10519</v>
      </c>
      <c r="D40" s="284">
        <v>1394</v>
      </c>
      <c r="E40" s="284"/>
      <c r="F40" s="284">
        <v>2281</v>
      </c>
      <c r="G40" s="284">
        <v>534</v>
      </c>
      <c r="H40" s="284"/>
      <c r="I40" s="180">
        <f t="shared" si="18"/>
        <v>12701</v>
      </c>
      <c r="J40" s="177"/>
      <c r="K40" s="180">
        <v>99</v>
      </c>
      <c r="L40" s="180"/>
      <c r="M40" s="180">
        <v>102</v>
      </c>
      <c r="N40" s="180">
        <v>20</v>
      </c>
      <c r="O40" s="180"/>
      <c r="P40" s="180">
        <v>2297</v>
      </c>
      <c r="Q40" s="180">
        <v>47</v>
      </c>
      <c r="R40" s="180"/>
      <c r="S40" s="180">
        <f t="shared" si="19"/>
        <v>2498</v>
      </c>
      <c r="T40" s="284"/>
      <c r="U40" s="285">
        <v>15199</v>
      </c>
      <c r="V40" s="285">
        <v>1675</v>
      </c>
      <c r="W40" s="180"/>
      <c r="X40" s="282">
        <f t="shared" si="1"/>
        <v>15.11283637081387</v>
      </c>
      <c r="Y40" s="195"/>
      <c r="Z40" s="195"/>
      <c r="AA40" s="195"/>
      <c r="AB40" s="196"/>
      <c r="AC40" s="180">
        <v>4273</v>
      </c>
      <c r="AD40" s="177"/>
      <c r="AE40" s="183">
        <v>32.146965659761918</v>
      </c>
      <c r="AF40" s="180">
        <v>3492.4775314261187</v>
      </c>
      <c r="AG40" s="180">
        <v>3524.6244970858806</v>
      </c>
      <c r="AH40" s="177"/>
      <c r="AI40" s="180">
        <f t="shared" si="6"/>
        <v>16974</v>
      </c>
      <c r="AJ40" s="177"/>
      <c r="AK40" s="180">
        <v>99</v>
      </c>
      <c r="AL40" s="180">
        <f t="shared" si="7"/>
        <v>134.14696565976192</v>
      </c>
      <c r="AM40" s="180">
        <f t="shared" si="8"/>
        <v>5789.4775314261187</v>
      </c>
      <c r="AN40" s="180">
        <f t="shared" si="9"/>
        <v>6022.6244970858806</v>
      </c>
      <c r="AO40" s="177"/>
      <c r="AP40" s="180">
        <v>138.36080344994667</v>
      </c>
      <c r="AQ40" s="180">
        <v>355.66851453784363</v>
      </c>
      <c r="AR40" s="180">
        <v>494.02931798779031</v>
      </c>
      <c r="AS40" s="177"/>
      <c r="AT40" s="180">
        <v>23395.653815073674</v>
      </c>
      <c r="AU40" s="180">
        <v>1187.5020352276952</v>
      </c>
      <c r="AV40" s="180">
        <v>24583.155850301369</v>
      </c>
      <c r="AW40" s="184">
        <v>32.1</v>
      </c>
      <c r="AX40" s="185"/>
      <c r="AY40" s="148">
        <f t="shared" si="10"/>
        <v>11</v>
      </c>
      <c r="AZ40" s="186"/>
      <c r="BA40" s="77">
        <v>0.32063238334002331</v>
      </c>
      <c r="BB40" s="186"/>
      <c r="BC40" s="186"/>
      <c r="BD40" s="283"/>
      <c r="BE40" s="194"/>
      <c r="BG40" s="194"/>
      <c r="BH40" s="194"/>
      <c r="BI40" s="194"/>
      <c r="BL40" s="191"/>
      <c r="BM40" s="191"/>
      <c r="BN40" s="191"/>
      <c r="BO40" s="191"/>
      <c r="BQ40" s="191"/>
      <c r="BR40" s="191"/>
      <c r="BS40" s="191"/>
      <c r="BT40" s="191"/>
      <c r="BV40" s="192"/>
      <c r="BW40" s="56"/>
      <c r="BX40" s="47"/>
      <c r="BY40" s="56"/>
      <c r="BZ40" s="56"/>
      <c r="CA40" s="56"/>
      <c r="CB40" s="56"/>
      <c r="CC40" s="47"/>
      <c r="CD40" s="56"/>
      <c r="CE40" s="47"/>
      <c r="CF40" s="56"/>
      <c r="CG40" s="193"/>
      <c r="CH40" s="56"/>
      <c r="CI40" s="47"/>
      <c r="CJ40" s="47"/>
      <c r="CK40" s="56"/>
      <c r="CL40" s="56"/>
      <c r="CM40" s="47"/>
      <c r="CN40" s="56"/>
      <c r="CO40" s="47"/>
      <c r="CP40" s="56"/>
      <c r="CQ40" s="56"/>
      <c r="CR40" s="56"/>
      <c r="CS40" s="56"/>
      <c r="CT40" s="47"/>
      <c r="CU40" s="56"/>
      <c r="CV40" s="56"/>
      <c r="CW40" s="56"/>
      <c r="CX40" s="47"/>
      <c r="CY40" s="47"/>
      <c r="CZ40" s="47"/>
      <c r="DA40" s="47"/>
      <c r="DB40" s="56"/>
      <c r="DC40" s="47"/>
      <c r="DD40" s="56"/>
    </row>
    <row r="41" spans="1:109" x14ac:dyDescent="0.25">
      <c r="A41" s="995">
        <v>2025</v>
      </c>
      <c r="B41" s="995"/>
      <c r="C41" s="177">
        <v>8896</v>
      </c>
      <c r="D41" s="177">
        <v>880</v>
      </c>
      <c r="E41" s="177"/>
      <c r="F41" s="177">
        <v>1830</v>
      </c>
      <c r="G41" s="177">
        <v>811</v>
      </c>
      <c r="H41" s="177"/>
      <c r="I41" s="180">
        <f t="shared" si="18"/>
        <v>10672</v>
      </c>
      <c r="J41" s="177"/>
      <c r="K41" s="180">
        <v>55</v>
      </c>
      <c r="L41" s="180"/>
      <c r="M41" s="180">
        <v>84</v>
      </c>
      <c r="N41" s="180">
        <v>17</v>
      </c>
      <c r="O41" s="180"/>
      <c r="P41" s="180">
        <v>1515</v>
      </c>
      <c r="Q41" s="180">
        <v>124</v>
      </c>
      <c r="R41" s="180"/>
      <c r="S41" s="180">
        <f t="shared" si="19"/>
        <v>1654</v>
      </c>
      <c r="T41" s="177"/>
      <c r="U41" s="180">
        <v>12326</v>
      </c>
      <c r="V41" s="180">
        <v>1119</v>
      </c>
      <c r="W41" s="180"/>
      <c r="X41" s="282">
        <f>P41/U41 * 100</f>
        <v>12.291092000649034</v>
      </c>
      <c r="Y41" s="195"/>
      <c r="Z41" s="195"/>
      <c r="AA41" s="195"/>
      <c r="AB41" s="196"/>
      <c r="AC41" s="180">
        <v>11331.37429236842</v>
      </c>
      <c r="AD41" s="177"/>
      <c r="AE41" s="183">
        <v>58.969566989908344</v>
      </c>
      <c r="AF41" s="180">
        <v>3260.941025796807</v>
      </c>
      <c r="AG41" s="180">
        <v>3319.9105927867154</v>
      </c>
      <c r="AH41" s="177"/>
      <c r="AI41" s="180">
        <f t="shared" si="6"/>
        <v>22003.374292368419</v>
      </c>
      <c r="AJ41" s="177"/>
      <c r="AK41" s="180">
        <v>55</v>
      </c>
      <c r="AL41" s="180">
        <f t="shared" si="7"/>
        <v>142.96956698990834</v>
      </c>
      <c r="AM41" s="180">
        <f t="shared" si="8"/>
        <v>4775.9410257968066</v>
      </c>
      <c r="AN41" s="180">
        <f t="shared" si="9"/>
        <v>4973.9105927867149</v>
      </c>
      <c r="AO41" s="177"/>
      <c r="AP41" s="180">
        <v>132.29599999999999</v>
      </c>
      <c r="AQ41" s="180">
        <v>275</v>
      </c>
      <c r="AR41" s="180">
        <v>407.29599999999999</v>
      </c>
      <c r="AS41" s="177"/>
      <c r="AT41" s="180">
        <v>27188.920394908258</v>
      </c>
      <c r="AU41" s="180">
        <v>1368.7100231842414</v>
      </c>
      <c r="AV41" s="180">
        <v>28557.6304180925</v>
      </c>
      <c r="AW41" s="184">
        <f>BA41*100</f>
        <v>24.728760049999217</v>
      </c>
      <c r="AX41" s="185"/>
      <c r="AY41" s="148">
        <f t="shared" si="10"/>
        <v>6</v>
      </c>
      <c r="AZ41" s="186"/>
      <c r="BA41" s="287">
        <v>0.24728760049999216</v>
      </c>
      <c r="BB41" s="186"/>
      <c r="BC41" s="186"/>
      <c r="BD41" s="283"/>
      <c r="BE41" s="194"/>
      <c r="BG41" s="194"/>
      <c r="BH41" s="194"/>
      <c r="BI41" s="194"/>
      <c r="BL41" s="191"/>
      <c r="BM41" s="191"/>
      <c r="BN41" s="191"/>
      <c r="BO41" s="191"/>
      <c r="BQ41" s="191"/>
      <c r="BR41" s="191"/>
      <c r="BS41" s="191"/>
      <c r="BT41" s="191"/>
      <c r="BV41" s="192"/>
      <c r="BW41" s="56"/>
      <c r="BX41" s="47"/>
      <c r="BY41" s="56"/>
      <c r="BZ41" s="56"/>
      <c r="CA41" s="56"/>
      <c r="CB41" s="56"/>
      <c r="CC41" s="47"/>
      <c r="CD41" s="56"/>
      <c r="CE41" s="47"/>
      <c r="CF41" s="56"/>
      <c r="CG41" s="193"/>
      <c r="CH41" s="56"/>
      <c r="CI41" s="47"/>
      <c r="CJ41" s="47"/>
      <c r="CK41" s="56"/>
      <c r="CL41" s="56"/>
      <c r="CM41" s="47"/>
      <c r="CN41" s="56"/>
      <c r="CO41" s="47"/>
      <c r="CP41" s="56"/>
      <c r="CQ41" s="56"/>
      <c r="CR41" s="56"/>
      <c r="CS41" s="56"/>
      <c r="CT41" s="47"/>
      <c r="CU41" s="56"/>
      <c r="CV41" s="56"/>
      <c r="CW41" s="56"/>
      <c r="CX41" s="47"/>
      <c r="CY41" s="47"/>
      <c r="CZ41" s="47"/>
      <c r="DA41" s="47"/>
      <c r="DB41" s="56"/>
      <c r="DC41" s="47"/>
      <c r="DD41" s="56"/>
    </row>
    <row r="42" spans="1:109" ht="13.5" customHeight="1" x14ac:dyDescent="0.25">
      <c r="A42" s="198"/>
      <c r="B42" s="198"/>
      <c r="C42" s="198"/>
      <c r="D42" s="198"/>
      <c r="E42" s="198"/>
      <c r="F42" s="198"/>
      <c r="G42" s="198"/>
      <c r="H42" s="198"/>
      <c r="I42" s="198"/>
      <c r="J42" s="198"/>
      <c r="K42" s="198"/>
      <c r="L42" s="198"/>
      <c r="M42" s="198"/>
      <c r="N42" s="198"/>
      <c r="O42" s="198"/>
      <c r="P42" s="198"/>
      <c r="Q42" s="198"/>
      <c r="R42" s="198"/>
      <c r="S42" s="198"/>
      <c r="T42" s="198"/>
      <c r="U42" s="177"/>
      <c r="V42" s="177"/>
      <c r="W42" s="177"/>
      <c r="X42" s="198"/>
      <c r="Y42" s="198"/>
      <c r="Z42" s="198"/>
      <c r="AA42" s="198"/>
      <c r="AB42" s="198"/>
      <c r="AC42" s="198"/>
      <c r="AD42" s="198"/>
      <c r="AE42" s="199"/>
      <c r="AF42" s="198"/>
      <c r="AG42" s="198"/>
      <c r="AH42" s="198"/>
      <c r="AI42" s="198"/>
      <c r="AJ42" s="198"/>
      <c r="AK42" s="198"/>
      <c r="AL42" s="198"/>
      <c r="AM42" s="198"/>
      <c r="AN42" s="198"/>
      <c r="AO42" s="198"/>
      <c r="AP42" s="198"/>
      <c r="AQ42" s="198"/>
      <c r="AR42" s="198"/>
      <c r="AS42" s="198"/>
      <c r="AT42" s="198"/>
      <c r="AU42" s="179"/>
      <c r="AV42" s="198"/>
      <c r="AW42" s="200"/>
      <c r="AX42" s="200"/>
      <c r="AY42" s="200"/>
      <c r="AZ42" s="200"/>
      <c r="BA42" s="200"/>
      <c r="BB42" s="200"/>
      <c r="BC42" s="200"/>
      <c r="BD42" s="157"/>
    </row>
    <row r="43" spans="1:109" ht="15" customHeight="1" x14ac:dyDescent="0.25">
      <c r="A43" s="202" t="s">
        <v>193</v>
      </c>
      <c r="B43" s="203"/>
      <c r="C43" s="203"/>
      <c r="D43" s="203"/>
      <c r="E43" s="203"/>
      <c r="F43" s="203"/>
      <c r="G43" s="203"/>
      <c r="H43" s="203"/>
      <c r="I43" s="203"/>
      <c r="J43" s="203"/>
      <c r="K43" s="203"/>
      <c r="L43" s="203"/>
      <c r="M43" s="203"/>
      <c r="N43" s="203"/>
      <c r="O43" s="203"/>
      <c r="P43" s="203"/>
      <c r="Q43" s="203"/>
      <c r="R43" s="203"/>
      <c r="S43" s="203"/>
      <c r="T43" s="203"/>
      <c r="U43" s="204"/>
      <c r="V43" s="204"/>
      <c r="W43" s="204"/>
      <c r="X43" s="203"/>
      <c r="Y43" s="203"/>
      <c r="Z43" s="203"/>
      <c r="AA43" s="203"/>
      <c r="AB43" s="203"/>
      <c r="AC43" s="203"/>
      <c r="AD43" s="203"/>
      <c r="AE43" s="205"/>
      <c r="AF43" s="203"/>
      <c r="AG43" s="203"/>
      <c r="AH43" s="203"/>
      <c r="AI43" s="203"/>
      <c r="AJ43" s="203"/>
      <c r="AK43" s="203"/>
      <c r="AL43" s="203"/>
      <c r="AM43" s="203"/>
      <c r="AN43" s="203"/>
      <c r="AO43" s="203"/>
      <c r="AP43" s="203"/>
      <c r="AQ43" s="203"/>
      <c r="AR43" s="203"/>
      <c r="AS43" s="203"/>
      <c r="AT43" s="203"/>
      <c r="AU43" s="206"/>
      <c r="AV43" s="203"/>
      <c r="AW43" s="207"/>
      <c r="AX43" s="200"/>
      <c r="AY43" s="200"/>
      <c r="AZ43" s="200"/>
      <c r="BA43" s="200"/>
      <c r="BB43" s="200"/>
      <c r="BC43" s="200"/>
      <c r="BD43" s="157"/>
    </row>
    <row r="44" spans="1:109" ht="15" customHeight="1" x14ac:dyDescent="0.25">
      <c r="A44" s="208" t="s">
        <v>194</v>
      </c>
      <c r="B44" s="198"/>
      <c r="C44" s="198"/>
      <c r="D44" s="198"/>
      <c r="E44" s="198"/>
      <c r="F44" s="198"/>
      <c r="G44" s="198"/>
      <c r="H44" s="198"/>
      <c r="I44" s="180">
        <f>ROUND(AVERAGE(I8:I15),0)</f>
        <v>19601</v>
      </c>
      <c r="J44" s="180"/>
      <c r="K44" s="180">
        <f>ROUND(AVERAGE(K8:K15),0)</f>
        <v>254</v>
      </c>
      <c r="L44" s="180"/>
      <c r="M44" s="180">
        <f>ROUND(AVERAGE(M8:M15),0)</f>
        <v>447</v>
      </c>
      <c r="N44" s="180"/>
      <c r="O44" s="180"/>
      <c r="P44" s="180">
        <f>ROUND(AVERAGE(P8:P15),0)</f>
        <v>1707</v>
      </c>
      <c r="Q44" s="180"/>
      <c r="R44" s="180"/>
      <c r="S44" s="180">
        <f>ROUND(AVERAGE(S8:S15),0)</f>
        <v>2409</v>
      </c>
      <c r="T44" s="180"/>
      <c r="U44" s="180">
        <f>ROUND(AVERAGE(U8:U15),0)</f>
        <v>22009</v>
      </c>
      <c r="V44" s="180"/>
      <c r="W44" s="180"/>
      <c r="X44" s="209">
        <f>AVERAGE(X8:X15)</f>
        <v>8.4367652307449941</v>
      </c>
      <c r="Y44" s="196">
        <f>AVERAGE(Y8:Y15)</f>
        <v>9.3919328508949393E-2</v>
      </c>
      <c r="Z44" s="196">
        <f>AVERAGE(Z8:Z15)</f>
        <v>0.21458092310824972</v>
      </c>
      <c r="AA44" s="196">
        <f>AVERAGE(AA8:AA15)</f>
        <v>0.69149974838280093</v>
      </c>
      <c r="AB44" s="196"/>
      <c r="AC44" s="180">
        <f>ROUND(AVERAGE(AC8:AC15),0)</f>
        <v>1476</v>
      </c>
      <c r="AD44" s="180"/>
      <c r="AE44" s="183">
        <f>ROUND(AVERAGE(AE8:AE15),0)</f>
        <v>0</v>
      </c>
      <c r="AF44" s="180">
        <f>ROUND(AVERAGE(AF8:AF15),0)</f>
        <v>5538</v>
      </c>
      <c r="AG44" s="180">
        <f>ROUND(AVERAGE(AG8:AG15),0)</f>
        <v>5538</v>
      </c>
      <c r="AH44" s="180"/>
      <c r="AI44" s="180">
        <f>ROUND(AVERAGE(AI8:AI15),0)</f>
        <v>21077</v>
      </c>
      <c r="AJ44" s="180"/>
      <c r="AK44" s="180">
        <f>ROUND(AVERAGE(AK8:AK15),0)</f>
        <v>254</v>
      </c>
      <c r="AL44" s="180">
        <f>ROUND(AVERAGE(AL8:AL15),0)</f>
        <v>447</v>
      </c>
      <c r="AM44" s="180">
        <f>ROUND(AVERAGE(AM8:AM15),0)</f>
        <v>7245</v>
      </c>
      <c r="AN44" s="180">
        <f>ROUND(AVERAGE(AN8:AN15),0)</f>
        <v>7946</v>
      </c>
      <c r="AO44" s="180"/>
      <c r="AP44" s="180">
        <f>ROUND(AVERAGE(AP8:AP15),0)</f>
        <v>5921</v>
      </c>
      <c r="AQ44" s="180">
        <f>ROUND(AVERAGE(AQ8:AQ15),0)</f>
        <v>3475</v>
      </c>
      <c r="AR44" s="180">
        <f>ROUND(AVERAGE(AR8:AR15),0)</f>
        <v>9396</v>
      </c>
      <c r="AS44" s="180"/>
      <c r="AT44" s="180">
        <f>ROUND(AVERAGE(AT8:AT15),0)</f>
        <v>37222</v>
      </c>
      <c r="AU44" s="180">
        <f>ROUND(AVERAGE(AU8:AU15),0)</f>
        <v>1888</v>
      </c>
      <c r="AV44" s="180">
        <f>ROUND(AVERAGE(AV8:AV15),0)</f>
        <v>39110</v>
      </c>
      <c r="AW44" s="209">
        <f>AVERAGE(AW8:AW15)</f>
        <v>50.714058890734691</v>
      </c>
      <c r="AX44" s="210"/>
      <c r="AY44" s="210"/>
      <c r="AZ44" s="196"/>
      <c r="BA44" s="196"/>
      <c r="BB44" s="196"/>
      <c r="BC44" s="196"/>
      <c r="BD44" s="288"/>
    </row>
    <row r="45" spans="1:109" ht="15" customHeight="1" x14ac:dyDescent="0.25">
      <c r="A45" s="208" t="s">
        <v>238</v>
      </c>
      <c r="B45" s="198"/>
      <c r="C45" s="198"/>
      <c r="D45" s="198"/>
      <c r="E45" s="198"/>
      <c r="F45" s="198"/>
      <c r="G45" s="198"/>
      <c r="H45" s="198"/>
      <c r="I45" s="180">
        <f>ROUND(AVERAGE(I16:I40),0)</f>
        <v>16557</v>
      </c>
      <c r="J45" s="180" t="e">
        <f t="shared" ref="J45:AW45" si="20">ROUND(AVERAGE(J16:J40),0)</f>
        <v>#DIV/0!</v>
      </c>
      <c r="K45" s="180">
        <f t="shared" si="20"/>
        <v>143</v>
      </c>
      <c r="L45" s="180"/>
      <c r="M45" s="180">
        <f t="shared" si="20"/>
        <v>254</v>
      </c>
      <c r="N45" s="180"/>
      <c r="O45" s="180"/>
      <c r="P45" s="180">
        <f t="shared" si="20"/>
        <v>1870</v>
      </c>
      <c r="Q45" s="180"/>
      <c r="R45" s="180"/>
      <c r="S45" s="180">
        <f t="shared" si="20"/>
        <v>2267</v>
      </c>
      <c r="T45" s="180"/>
      <c r="U45" s="180">
        <f t="shared" si="20"/>
        <v>18824</v>
      </c>
      <c r="V45" s="180"/>
      <c r="W45" s="180"/>
      <c r="X45" s="212">
        <f t="shared" si="20"/>
        <v>11</v>
      </c>
      <c r="Y45" s="180">
        <f t="shared" si="20"/>
        <v>0</v>
      </c>
      <c r="Z45" s="180">
        <f t="shared" si="20"/>
        <v>0</v>
      </c>
      <c r="AA45" s="180">
        <f t="shared" si="20"/>
        <v>1</v>
      </c>
      <c r="AB45" s="180"/>
      <c r="AC45" s="180">
        <f t="shared" si="20"/>
        <v>2238</v>
      </c>
      <c r="AD45" s="180"/>
      <c r="AE45" s="180">
        <f t="shared" si="20"/>
        <v>125</v>
      </c>
      <c r="AF45" s="180">
        <f t="shared" si="20"/>
        <v>3733</v>
      </c>
      <c r="AG45" s="180">
        <f t="shared" si="20"/>
        <v>3859</v>
      </c>
      <c r="AH45" s="180"/>
      <c r="AI45" s="180">
        <f t="shared" si="20"/>
        <v>18795</v>
      </c>
      <c r="AJ45" s="180" t="e">
        <f t="shared" si="20"/>
        <v>#DIV/0!</v>
      </c>
      <c r="AK45" s="180">
        <f t="shared" si="20"/>
        <v>143</v>
      </c>
      <c r="AL45" s="180">
        <f t="shared" si="20"/>
        <v>379</v>
      </c>
      <c r="AM45" s="180">
        <f t="shared" si="20"/>
        <v>5604</v>
      </c>
      <c r="AN45" s="180">
        <f t="shared" si="20"/>
        <v>6125</v>
      </c>
      <c r="AO45" s="180"/>
      <c r="AP45" s="180">
        <f t="shared" si="20"/>
        <v>2010</v>
      </c>
      <c r="AQ45" s="180">
        <f t="shared" si="20"/>
        <v>887</v>
      </c>
      <c r="AR45" s="180">
        <f t="shared" si="20"/>
        <v>2897</v>
      </c>
      <c r="AS45" s="180"/>
      <c r="AT45" s="180">
        <f t="shared" si="20"/>
        <v>27035</v>
      </c>
      <c r="AU45" s="180">
        <f t="shared" si="20"/>
        <v>1217</v>
      </c>
      <c r="AV45" s="180">
        <f t="shared" si="20"/>
        <v>28252</v>
      </c>
      <c r="AW45" s="212">
        <f t="shared" si="20"/>
        <v>39</v>
      </c>
      <c r="AX45" s="180"/>
      <c r="AY45" s="210"/>
      <c r="AZ45" s="196"/>
      <c r="BA45" s="196"/>
      <c r="BB45" s="196"/>
      <c r="BC45" s="196"/>
      <c r="BD45" s="288"/>
      <c r="BF45" s="215">
        <f>AVERAGE(BF16:BF35)</f>
        <v>0.10254290470663727</v>
      </c>
      <c r="BG45" s="215">
        <f>AVERAGE(BG16:BG35)</f>
        <v>0.81431503711273179</v>
      </c>
      <c r="BH45" s="215">
        <f>AVERAGE(BH16:BH35)</f>
        <v>0.12594323782047409</v>
      </c>
      <c r="BI45" s="215">
        <f>AVERAGE(BI16:BI35)</f>
        <v>5.9741725066794114E-2</v>
      </c>
    </row>
    <row r="46" spans="1:109" ht="15" customHeight="1" x14ac:dyDescent="0.25">
      <c r="A46" s="208" t="s">
        <v>239</v>
      </c>
      <c r="B46" s="211"/>
      <c r="C46" s="211"/>
      <c r="D46" s="211"/>
      <c r="E46" s="211"/>
      <c r="F46" s="211"/>
      <c r="G46" s="211"/>
      <c r="H46" s="211"/>
      <c r="I46" s="180">
        <f>ROUND(AVERAGE(I10:I40),0)</f>
        <v>17068</v>
      </c>
      <c r="J46" s="180" t="e">
        <f t="shared" ref="J46:AW46" si="21">ROUND(AVERAGE(J10:J40),0)</f>
        <v>#DIV/0!</v>
      </c>
      <c r="K46" s="180">
        <f t="shared" si="21"/>
        <v>142</v>
      </c>
      <c r="L46" s="180"/>
      <c r="M46" s="180">
        <f t="shared" si="21"/>
        <v>245</v>
      </c>
      <c r="N46" s="180"/>
      <c r="O46" s="180"/>
      <c r="P46" s="180">
        <f t="shared" si="21"/>
        <v>1857</v>
      </c>
      <c r="Q46" s="180"/>
      <c r="R46" s="180"/>
      <c r="S46" s="180">
        <f t="shared" si="21"/>
        <v>2244</v>
      </c>
      <c r="T46" s="180"/>
      <c r="U46" s="180">
        <f t="shared" si="21"/>
        <v>19312</v>
      </c>
      <c r="V46" s="180"/>
      <c r="W46" s="180"/>
      <c r="X46" s="212">
        <f t="shared" si="21"/>
        <v>10</v>
      </c>
      <c r="Y46" s="180">
        <f t="shared" si="21"/>
        <v>0</v>
      </c>
      <c r="Z46" s="180">
        <f t="shared" si="21"/>
        <v>0</v>
      </c>
      <c r="AA46" s="180">
        <f t="shared" si="21"/>
        <v>1</v>
      </c>
      <c r="AB46" s="180"/>
      <c r="AC46" s="180">
        <f t="shared" si="21"/>
        <v>2123</v>
      </c>
      <c r="AD46" s="180"/>
      <c r="AE46" s="180">
        <f t="shared" si="21"/>
        <v>101</v>
      </c>
      <c r="AF46" s="180">
        <f t="shared" si="21"/>
        <v>4123</v>
      </c>
      <c r="AG46" s="180">
        <f t="shared" si="21"/>
        <v>4225</v>
      </c>
      <c r="AH46" s="180"/>
      <c r="AI46" s="180">
        <f t="shared" si="21"/>
        <v>19191</v>
      </c>
      <c r="AJ46" s="180" t="e">
        <f t="shared" si="21"/>
        <v>#DIV/0!</v>
      </c>
      <c r="AK46" s="180">
        <f t="shared" si="21"/>
        <v>142</v>
      </c>
      <c r="AL46" s="180">
        <f t="shared" si="21"/>
        <v>346</v>
      </c>
      <c r="AM46" s="180">
        <f t="shared" si="21"/>
        <v>5981</v>
      </c>
      <c r="AN46" s="180">
        <f t="shared" si="21"/>
        <v>6469</v>
      </c>
      <c r="AO46" s="180"/>
      <c r="AP46" s="180">
        <f t="shared" si="21"/>
        <v>2721</v>
      </c>
      <c r="AQ46" s="180">
        <f t="shared" si="21"/>
        <v>1361</v>
      </c>
      <c r="AR46" s="180">
        <f t="shared" si="21"/>
        <v>4082</v>
      </c>
      <c r="AS46" s="180"/>
      <c r="AT46" s="180">
        <f t="shared" si="21"/>
        <v>28801</v>
      </c>
      <c r="AU46" s="180">
        <f t="shared" si="21"/>
        <v>1337</v>
      </c>
      <c r="AV46" s="180">
        <f t="shared" si="21"/>
        <v>30138</v>
      </c>
      <c r="AW46" s="212">
        <f t="shared" si="21"/>
        <v>42</v>
      </c>
      <c r="AX46" s="180"/>
      <c r="AY46" s="210"/>
      <c r="AZ46" s="196"/>
      <c r="BA46" s="196"/>
      <c r="BB46" s="196"/>
      <c r="BC46" s="196"/>
      <c r="BD46" s="288"/>
      <c r="BE46" s="214">
        <f>AW33-AW46</f>
        <v>15.620613492791747</v>
      </c>
    </row>
    <row r="47" spans="1:109" ht="15" customHeight="1" x14ac:dyDescent="0.25">
      <c r="A47" s="216"/>
      <c r="B47" s="211"/>
      <c r="C47" s="211"/>
      <c r="D47" s="211"/>
      <c r="E47" s="211"/>
      <c r="F47" s="211"/>
      <c r="G47" s="211"/>
      <c r="H47" s="211"/>
      <c r="I47" s="180"/>
      <c r="J47" s="198"/>
      <c r="K47" s="180"/>
      <c r="L47" s="180"/>
      <c r="M47" s="180"/>
      <c r="N47" s="180"/>
      <c r="O47" s="180"/>
      <c r="P47" s="180"/>
      <c r="Q47" s="180"/>
      <c r="R47" s="180"/>
      <c r="S47" s="180"/>
      <c r="T47" s="198"/>
      <c r="U47" s="180"/>
      <c r="V47" s="180"/>
      <c r="W47" s="180"/>
      <c r="X47" s="198"/>
      <c r="Y47" s="198"/>
      <c r="Z47" s="198"/>
      <c r="AA47" s="198"/>
      <c r="AB47" s="198"/>
      <c r="AC47" s="180"/>
      <c r="AD47" s="198"/>
      <c r="AE47" s="183"/>
      <c r="AF47" s="180"/>
      <c r="AG47" s="180"/>
      <c r="AH47" s="198"/>
      <c r="AI47" s="180"/>
      <c r="AJ47" s="198"/>
      <c r="AK47" s="180"/>
      <c r="AL47" s="180"/>
      <c r="AM47" s="180"/>
      <c r="AN47" s="180"/>
      <c r="AO47" s="198"/>
      <c r="AP47" s="180"/>
      <c r="AQ47" s="180"/>
      <c r="AR47" s="180"/>
      <c r="AS47" s="198"/>
      <c r="AT47" s="180"/>
      <c r="AU47" s="180"/>
      <c r="AV47" s="180"/>
      <c r="AW47" s="209"/>
      <c r="AX47" s="210"/>
      <c r="AY47" s="210"/>
      <c r="AZ47" s="196"/>
      <c r="BA47" s="196"/>
      <c r="BB47" s="196"/>
      <c r="BC47" s="196"/>
      <c r="BD47" s="288"/>
    </row>
    <row r="48" spans="1:109" ht="15" customHeight="1" x14ac:dyDescent="0.25">
      <c r="A48" s="217" t="s">
        <v>115</v>
      </c>
      <c r="B48" s="217"/>
      <c r="C48" s="217"/>
      <c r="D48" s="217"/>
      <c r="E48" s="217"/>
      <c r="F48" s="217"/>
      <c r="G48" s="217"/>
      <c r="H48" s="217"/>
      <c r="I48" s="218">
        <f>MIN(I$8:I42)</f>
        <v>5938</v>
      </c>
      <c r="J48" s="218"/>
      <c r="K48" s="218">
        <f>MIN(K$8:K42)</f>
        <v>24</v>
      </c>
      <c r="L48" s="218"/>
      <c r="M48" s="218">
        <f>MIN(M$8:M42)</f>
        <v>8</v>
      </c>
      <c r="N48" s="218"/>
      <c r="O48" s="218"/>
      <c r="P48" s="218">
        <f>MIN(P$8:P42)</f>
        <v>1015</v>
      </c>
      <c r="Q48" s="218"/>
      <c r="R48" s="218"/>
      <c r="S48" s="218">
        <f>MIN(S$8:S42)</f>
        <v>1132</v>
      </c>
      <c r="T48" s="218"/>
      <c r="U48" s="218">
        <f>MIN(U$8:U42)</f>
        <v>7070</v>
      </c>
      <c r="V48" s="218"/>
      <c r="W48" s="218"/>
      <c r="X48" s="219">
        <f>MIN(X$8:X42)</f>
        <v>4.6950796950796949</v>
      </c>
      <c r="Y48" s="220">
        <f>MIN(Y$8:Y42)</f>
        <v>4.6970408642555183E-3</v>
      </c>
      <c r="Z48" s="220">
        <f>MIN(Z$8:Z42)</f>
        <v>4.3547530536378123E-2</v>
      </c>
      <c r="AA48" s="220">
        <f>MIN(AA$8:AA42)</f>
        <v>0.40138184311815206</v>
      </c>
      <c r="AB48" s="220"/>
      <c r="AC48" s="218">
        <f>MIN(AC$8:AC42)</f>
        <v>564.55054358444738</v>
      </c>
      <c r="AD48" s="218"/>
      <c r="AE48" s="221">
        <f>MIN(AE$8:AE42)</f>
        <v>0</v>
      </c>
      <c r="AF48" s="218">
        <f>MIN(AF$8:AF42)</f>
        <v>1644</v>
      </c>
      <c r="AG48" s="218">
        <f>MIN(AG$8:AG42)</f>
        <v>1664</v>
      </c>
      <c r="AH48" s="218"/>
      <c r="AI48" s="218">
        <f>MIN(AI$8:AI42)</f>
        <v>6502.550543584447</v>
      </c>
      <c r="AJ48" s="218"/>
      <c r="AK48" s="218">
        <f>MIN(AK$8:AK42)</f>
        <v>24</v>
      </c>
      <c r="AL48" s="218">
        <f>MIN(AL$8:AL42)</f>
        <v>61</v>
      </c>
      <c r="AM48" s="218">
        <f>MIN(AM$8:AM42)</f>
        <v>2817</v>
      </c>
      <c r="AN48" s="218">
        <f>MIN(AN$8:AN42)</f>
        <v>2985</v>
      </c>
      <c r="AO48" s="218"/>
      <c r="AP48" s="218">
        <f>MIN(AP$8:AP42)</f>
        <v>21.655999999999999</v>
      </c>
      <c r="AQ48" s="218">
        <f>MIN(AQ$8:AQ42)</f>
        <v>237</v>
      </c>
      <c r="AR48" s="218">
        <f>MIN(AR$8:AR42)</f>
        <v>363.82400000000001</v>
      </c>
      <c r="AS48" s="218"/>
      <c r="AT48" s="218">
        <f>MIN(AT$8:AT42)</f>
        <v>11077.95809355221</v>
      </c>
      <c r="AU48" s="218">
        <f>MIN(AU$8:AU42)</f>
        <v>186</v>
      </c>
      <c r="AV48" s="218">
        <f>MIN(AV$8:AV42)</f>
        <v>11759.95809355221</v>
      </c>
      <c r="AW48" s="219">
        <f>MIN(AW$8:AW42)</f>
        <v>24.567242063140394</v>
      </c>
      <c r="AX48" s="222"/>
      <c r="AY48" s="222"/>
      <c r="AZ48" s="223"/>
      <c r="BA48" s="223"/>
      <c r="BB48" s="223"/>
      <c r="BC48" s="223"/>
      <c r="BD48" s="288"/>
      <c r="BE48" s="215">
        <f>MIN(BE8:BE29)</f>
        <v>0.22579804074131221</v>
      </c>
    </row>
    <row r="49" spans="1:61" ht="15" customHeight="1" x14ac:dyDescent="0.25">
      <c r="A49" s="216" t="s">
        <v>117</v>
      </c>
      <c r="B49" s="216"/>
      <c r="C49" s="216"/>
      <c r="D49" s="216"/>
      <c r="E49" s="216"/>
      <c r="F49" s="216"/>
      <c r="G49" s="216"/>
      <c r="H49" s="216"/>
      <c r="I49" s="180">
        <f>MAX(I$8:I42)</f>
        <v>31589</v>
      </c>
      <c r="J49" s="180"/>
      <c r="K49" s="180">
        <f>MAX(K$8:K42)</f>
        <v>612</v>
      </c>
      <c r="L49" s="180"/>
      <c r="M49" s="180">
        <f>MAX(M$8:M42)</f>
        <v>1339</v>
      </c>
      <c r="N49" s="180"/>
      <c r="O49" s="180"/>
      <c r="P49" s="180">
        <f>MAX(P$8:P42)</f>
        <v>3609</v>
      </c>
      <c r="Q49" s="180"/>
      <c r="R49" s="180"/>
      <c r="S49" s="180">
        <f>MAX(S$8:S42)</f>
        <v>4126</v>
      </c>
      <c r="T49" s="180"/>
      <c r="U49" s="180">
        <f>MAX(U$8:U42)</f>
        <v>35715</v>
      </c>
      <c r="V49" s="180"/>
      <c r="W49" s="180"/>
      <c r="X49" s="209">
        <f>MAX(X$8:X42)</f>
        <v>15.52591144014527</v>
      </c>
      <c r="Y49" s="196">
        <f>MAX(Y$8:Y42)</f>
        <v>0.19298074669137172</v>
      </c>
      <c r="Z49" s="196">
        <f>MAX(Z$8:Z42)</f>
        <v>0.4108404469834927</v>
      </c>
      <c r="AA49" s="196">
        <f>MAX(AA$8:AA42)</f>
        <v>0.8849450996816397</v>
      </c>
      <c r="AB49" s="196"/>
      <c r="AC49" s="180">
        <f>MAX(AC$8:AC42)</f>
        <v>11331.37429236842</v>
      </c>
      <c r="AD49" s="180"/>
      <c r="AE49" s="183">
        <f>MAX(AE$8:AE42)</f>
        <v>525</v>
      </c>
      <c r="AF49" s="180">
        <f>MAX(AF$8:AF42)</f>
        <v>7470</v>
      </c>
      <c r="AG49" s="180">
        <f>MAX(AG$8:AG42)</f>
        <v>7470</v>
      </c>
      <c r="AH49" s="180"/>
      <c r="AI49" s="180">
        <f>MAX(AI$8:AI42)</f>
        <v>35516.309451904206</v>
      </c>
      <c r="AJ49" s="180"/>
      <c r="AK49" s="180">
        <f>MAX(AK$8:AK42)</f>
        <v>612</v>
      </c>
      <c r="AL49" s="180">
        <f>MAX(AL$8:AL42)</f>
        <v>1339</v>
      </c>
      <c r="AM49" s="180">
        <f>MAX(AM$8:AM42)</f>
        <v>9916</v>
      </c>
      <c r="AN49" s="180">
        <f>MAX(AN$8:AN42)</f>
        <v>10761.008815929265</v>
      </c>
      <c r="AO49" s="180"/>
      <c r="AP49" s="180">
        <f>MAX(AP$8:AP42)</f>
        <v>7809.3391238589656</v>
      </c>
      <c r="AQ49" s="180">
        <f>MAX(AQ$8:AQ42)</f>
        <v>4583.3275428076986</v>
      </c>
      <c r="AR49" s="180">
        <f>MAX(AR$8:AR42)</f>
        <v>12392.666666666664</v>
      </c>
      <c r="AS49" s="180"/>
      <c r="AT49" s="180">
        <f>MAX(AT$8:AT42)</f>
        <v>47898.318267833471</v>
      </c>
      <c r="AU49" s="180">
        <f>MAX(AU$8:AU42)</f>
        <v>2400</v>
      </c>
      <c r="AV49" s="180">
        <f>MAX(AV$8:AV42)</f>
        <v>50298.318267833471</v>
      </c>
      <c r="AW49" s="209">
        <f>MAX(AW$8:AW42)</f>
        <v>61.344527829400128</v>
      </c>
      <c r="AX49" s="210"/>
      <c r="AY49" s="210"/>
      <c r="AZ49" s="196"/>
      <c r="BA49" s="196"/>
      <c r="BB49" s="196"/>
      <c r="BC49" s="196"/>
      <c r="BD49" s="288"/>
      <c r="BE49" s="215">
        <f>MAX(BE8:BE29)</f>
        <v>0.59041034085244526</v>
      </c>
    </row>
    <row r="50" spans="1:61" ht="15" customHeight="1" x14ac:dyDescent="0.25">
      <c r="A50" s="224"/>
      <c r="B50" s="224"/>
      <c r="C50" s="224"/>
      <c r="D50" s="224"/>
      <c r="E50" s="224"/>
      <c r="F50" s="224"/>
      <c r="G50" s="224"/>
      <c r="H50" s="224"/>
      <c r="I50" s="224"/>
      <c r="J50" s="224"/>
      <c r="K50" s="224"/>
      <c r="L50" s="224"/>
      <c r="M50" s="224"/>
      <c r="N50" s="224"/>
      <c r="O50" s="224"/>
      <c r="P50" s="224"/>
      <c r="Q50" s="224"/>
      <c r="R50" s="224"/>
      <c r="S50" s="224"/>
      <c r="T50" s="224"/>
      <c r="U50" s="224"/>
      <c r="V50" s="224"/>
      <c r="W50" s="224"/>
      <c r="X50" s="224"/>
      <c r="Y50" s="224"/>
      <c r="Z50" s="224"/>
      <c r="AA50" s="224"/>
      <c r="AB50" s="224"/>
      <c r="AC50" s="224"/>
      <c r="AD50" s="224"/>
      <c r="AE50" s="225"/>
      <c r="AF50" s="224"/>
      <c r="AG50" s="224"/>
      <c r="AH50" s="224"/>
      <c r="AI50" s="224"/>
      <c r="AJ50" s="224"/>
      <c r="AK50" s="224"/>
      <c r="AL50" s="224"/>
      <c r="AM50" s="224"/>
      <c r="AN50" s="224"/>
      <c r="AO50" s="224"/>
      <c r="AP50" s="224"/>
      <c r="AQ50" s="224"/>
      <c r="AR50" s="224"/>
      <c r="AS50" s="224"/>
      <c r="AT50" s="224"/>
      <c r="AU50" s="224"/>
      <c r="AV50" s="224"/>
      <c r="AW50" s="226"/>
      <c r="AX50" s="157"/>
      <c r="AY50" s="157"/>
      <c r="AZ50" s="157"/>
      <c r="BA50" s="157"/>
      <c r="BB50" s="157"/>
      <c r="BC50" s="157"/>
      <c r="BD50" s="157"/>
    </row>
    <row r="51" spans="1:61" ht="15" customHeight="1" x14ac:dyDescent="0.25">
      <c r="A51" s="227" t="s">
        <v>197</v>
      </c>
      <c r="B51" s="228"/>
      <c r="C51" s="228"/>
      <c r="D51" s="228"/>
      <c r="E51" s="228"/>
      <c r="F51" s="228"/>
      <c r="G51" s="228"/>
      <c r="H51" s="228"/>
      <c r="I51" s="229"/>
      <c r="J51" s="229"/>
      <c r="K51" s="229"/>
      <c r="L51" s="229"/>
      <c r="M51" s="229"/>
      <c r="N51" s="229"/>
      <c r="O51" s="229"/>
      <c r="P51" s="229"/>
      <c r="Q51" s="229"/>
      <c r="R51" s="229"/>
      <c r="S51" s="229"/>
      <c r="T51" s="229"/>
      <c r="U51" s="229"/>
      <c r="V51" s="229"/>
      <c r="W51" s="229"/>
      <c r="X51" s="229"/>
      <c r="Y51" s="229"/>
      <c r="Z51" s="229"/>
      <c r="AA51" s="229"/>
      <c r="AB51" s="229"/>
      <c r="AC51" s="229"/>
      <c r="AD51" s="229"/>
      <c r="AE51" s="229"/>
      <c r="AF51" s="229"/>
      <c r="AG51" s="229"/>
      <c r="AH51" s="229"/>
      <c r="AI51" s="229"/>
      <c r="AJ51" s="229"/>
      <c r="AK51" s="229"/>
      <c r="AL51" s="229"/>
      <c r="AM51" s="229"/>
      <c r="AN51" s="229"/>
      <c r="AO51" s="229"/>
      <c r="AP51" s="229"/>
      <c r="AQ51" s="229"/>
      <c r="AR51" s="229"/>
      <c r="AS51" s="229"/>
      <c r="AT51" s="229"/>
      <c r="AU51" s="229"/>
      <c r="AV51" s="229"/>
      <c r="AW51" s="230"/>
      <c r="AX51" s="157"/>
      <c r="AY51" s="157"/>
      <c r="AZ51" s="157"/>
      <c r="BA51" s="157"/>
      <c r="BB51" s="157"/>
      <c r="BC51" s="157"/>
      <c r="BG51" s="215">
        <v>0.88625210593381565</v>
      </c>
      <c r="BH51" s="215">
        <v>7.6204480079257605E-2</v>
      </c>
      <c r="BI51" s="215">
        <v>3.7543413986926726E-2</v>
      </c>
    </row>
    <row r="52" spans="1:61" ht="15" customHeight="1" x14ac:dyDescent="0.25"/>
    <row r="53" spans="1:61" ht="15" customHeight="1" x14ac:dyDescent="0.25"/>
    <row r="54" spans="1:61" ht="15" customHeight="1" x14ac:dyDescent="0.25"/>
    <row r="55" spans="1:61" ht="12.75" customHeight="1" x14ac:dyDescent="0.25"/>
    <row r="56" spans="1:61" ht="12.75" customHeight="1" x14ac:dyDescent="0.25"/>
    <row r="57" spans="1:61" ht="12.75" customHeight="1" x14ac:dyDescent="0.25"/>
    <row r="58" spans="1:61" ht="12.75" customHeight="1" x14ac:dyDescent="0.25"/>
    <row r="59" spans="1:61" ht="12.75" customHeight="1" x14ac:dyDescent="0.25"/>
    <row r="60" spans="1:61" ht="12.75" customHeight="1" x14ac:dyDescent="0.25"/>
    <row r="61" spans="1:61" ht="12.75" customHeight="1" x14ac:dyDescent="0.25"/>
    <row r="62" spans="1:61" ht="12.75" customHeight="1" x14ac:dyDescent="0.25"/>
    <row r="63" spans="1:61" ht="12.75" customHeight="1" x14ac:dyDescent="0.25"/>
    <row r="64" spans="1:61" ht="12.75" customHeight="1" x14ac:dyDescent="0.25"/>
    <row r="65" ht="12.75" customHeight="1" x14ac:dyDescent="0.25"/>
    <row r="66" ht="12.75" customHeight="1" x14ac:dyDescent="0.25"/>
  </sheetData>
  <mergeCells count="53">
    <mergeCell ref="AC4:AG4"/>
    <mergeCell ref="AI4:AR4"/>
    <mergeCell ref="AU4:AU6"/>
    <mergeCell ref="AV4:AV6"/>
    <mergeCell ref="AW4:AW6"/>
    <mergeCell ref="AE5:AG5"/>
    <mergeCell ref="AI5:AI6"/>
    <mergeCell ref="AK5:AN5"/>
    <mergeCell ref="AP5:AR5"/>
    <mergeCell ref="AT5:AT6"/>
    <mergeCell ref="C6:D6"/>
    <mergeCell ref="F6:G6"/>
    <mergeCell ref="M6:N6"/>
    <mergeCell ref="P6:Q6"/>
    <mergeCell ref="C4:X4"/>
    <mergeCell ref="I5:I6"/>
    <mergeCell ref="K5:S5"/>
    <mergeCell ref="U5:V6"/>
    <mergeCell ref="X5:X6"/>
    <mergeCell ref="A19:B19"/>
    <mergeCell ref="A8:B8"/>
    <mergeCell ref="A9:B9"/>
    <mergeCell ref="A10:B10"/>
    <mergeCell ref="A11:B11"/>
    <mergeCell ref="A12:B12"/>
    <mergeCell ref="A13:B13"/>
    <mergeCell ref="A14:B14"/>
    <mergeCell ref="A15:B15"/>
    <mergeCell ref="A16:B16"/>
    <mergeCell ref="A17:B17"/>
    <mergeCell ref="A18:B18"/>
    <mergeCell ref="A31:B31"/>
    <mergeCell ref="A20:B20"/>
    <mergeCell ref="A21:B21"/>
    <mergeCell ref="A22:B22"/>
    <mergeCell ref="A23:B23"/>
    <mergeCell ref="A24:B24"/>
    <mergeCell ref="A25:B25"/>
    <mergeCell ref="A26:B26"/>
    <mergeCell ref="A27:B27"/>
    <mergeCell ref="A28:B28"/>
    <mergeCell ref="A29:B29"/>
    <mergeCell ref="A30:B30"/>
    <mergeCell ref="A38:B38"/>
    <mergeCell ref="A39:B39"/>
    <mergeCell ref="A40:B40"/>
    <mergeCell ref="A41:B41"/>
    <mergeCell ref="A32:B32"/>
    <mergeCell ref="A33:B33"/>
    <mergeCell ref="A34:B34"/>
    <mergeCell ref="A35:B35"/>
    <mergeCell ref="A36:B36"/>
    <mergeCell ref="A37:B37"/>
  </mergeCells>
  <pageMargins left="0.7" right="0.7" top="0.75" bottom="0.75" header="0.3" footer="0.3"/>
  <headerFooter>
    <oddHeader>&amp;R&amp;"Calibri"&amp;12&amp;K000000 Unclassified - Non-Classifié&amp;1#_x000D_</oddHead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19469-A26A-449A-9DEF-7078F34C6AAA}">
  <sheetPr>
    <tabColor rgb="FF00FF00"/>
    <pageSetUpPr fitToPage="1"/>
  </sheetPr>
  <dimension ref="A1:DP192"/>
  <sheetViews>
    <sheetView showGridLines="0" zoomScale="90" zoomScaleNormal="90" workbookViewId="0">
      <pane xSplit="1" ySplit="3" topLeftCell="B22" activePane="bottomRight" state="frozen"/>
      <selection activeCell="C49" sqref="C49:E49"/>
      <selection pane="topRight" activeCell="C49" sqref="C49:E49"/>
      <selection pane="bottomLeft" activeCell="C49" sqref="C49:E49"/>
      <selection pane="bottomRight" activeCell="AK54" sqref="AK54"/>
    </sheetView>
  </sheetViews>
  <sheetFormatPr defaultColWidth="9.140625" defaultRowHeight="12.75" x14ac:dyDescent="0.2"/>
  <cols>
    <col min="1" max="1" width="9.85546875" style="290" customWidth="1"/>
    <col min="2" max="2" width="12.140625" style="290" customWidth="1"/>
    <col min="3" max="3" width="8.140625" style="290" customWidth="1"/>
    <col min="4" max="4" width="9.140625" style="290" customWidth="1"/>
    <col min="5" max="5" width="11.42578125" style="290" customWidth="1"/>
    <col min="6" max="6" width="7.5703125" style="290" bestFit="1" customWidth="1"/>
    <col min="7" max="7" width="6.85546875" style="290" bestFit="1" customWidth="1"/>
    <col min="8" max="8" width="6.85546875" style="290" customWidth="1"/>
    <col min="9" max="9" width="6" style="290" customWidth="1"/>
    <col min="10" max="10" width="9.42578125" style="290" bestFit="1" customWidth="1"/>
    <col min="11" max="11" width="5.42578125" style="290" hidden="1" customWidth="1"/>
    <col min="12" max="12" width="7.7109375" style="290" hidden="1" customWidth="1"/>
    <col min="13" max="13" width="2.42578125" style="290" customWidth="1"/>
    <col min="14" max="14" width="10.85546875" style="291" bestFit="1" customWidth="1"/>
    <col min="15" max="15" width="25.42578125" style="291" customWidth="1"/>
    <col min="16" max="16" width="1.42578125" style="290" customWidth="1"/>
    <col min="17" max="17" width="6.5703125" style="290" customWidth="1"/>
    <col min="18" max="18" width="8.5703125" style="290" customWidth="1"/>
    <col min="19" max="19" width="10.5703125" style="290" customWidth="1"/>
    <col min="20" max="20" width="8.42578125" style="290" customWidth="1"/>
    <col min="21" max="21" width="7.5703125" style="290" customWidth="1"/>
    <col min="22" max="22" width="9.42578125" style="290" customWidth="1"/>
    <col min="23" max="23" width="9.7109375" style="290" customWidth="1"/>
    <col min="24" max="24" width="11" style="290" customWidth="1"/>
    <col min="25" max="25" width="6.42578125" style="290" bestFit="1" customWidth="1"/>
    <col min="26" max="26" width="2.42578125" style="290" customWidth="1"/>
    <col min="27" max="27" width="8.140625" style="290" customWidth="1"/>
    <col min="28" max="28" width="8.85546875" style="290" customWidth="1"/>
    <col min="29" max="29" width="9.5703125" style="290" customWidth="1"/>
    <col min="30" max="30" width="11.140625" style="290" hidden="1" customWidth="1"/>
    <col min="31" max="31" width="9.140625" style="290" hidden="1" customWidth="1"/>
    <col min="32" max="33" width="1.5703125" style="290" hidden="1" customWidth="1"/>
    <col min="34" max="34" width="3" style="290" customWidth="1"/>
    <col min="35" max="35" width="8.42578125" style="290" customWidth="1"/>
    <col min="36" max="36" width="6.42578125" style="290" customWidth="1"/>
    <col min="37" max="37" width="10" style="290" customWidth="1"/>
    <col min="38" max="38" width="7.7109375" style="290" customWidth="1"/>
    <col min="39" max="39" width="4.7109375" style="290" customWidth="1"/>
    <col min="40" max="40" width="11" style="290" customWidth="1"/>
    <col min="41" max="41" width="6.140625" style="290" customWidth="1"/>
    <col min="42" max="42" width="7.42578125" style="290" customWidth="1"/>
    <col min="43" max="43" width="10.140625" style="292" customWidth="1"/>
    <col min="44" max="44" width="7.7109375" style="290" customWidth="1"/>
    <col min="45" max="45" width="6.5703125" style="290" customWidth="1"/>
    <col min="46" max="46" width="6.85546875" style="290" customWidth="1"/>
    <col min="47" max="47" width="8.42578125" style="290" customWidth="1"/>
    <col min="48" max="48" width="7.85546875" style="290" customWidth="1"/>
    <col min="49" max="49" width="10.140625" style="290" customWidth="1"/>
    <col min="50" max="50" width="3.140625" style="290" customWidth="1"/>
    <col min="51" max="51" width="15" style="293" customWidth="1"/>
    <col min="52" max="52" width="1.85546875" style="290" customWidth="1"/>
    <col min="53" max="53" width="18.5703125" style="290" hidden="1" customWidth="1"/>
    <col min="54" max="54" width="8.5703125" style="290" hidden="1" customWidth="1"/>
    <col min="55" max="55" width="9.42578125" style="290" hidden="1" customWidth="1"/>
    <col min="56" max="56" width="3.85546875" style="290" hidden="1" customWidth="1"/>
    <col min="57" max="57" width="16.140625" style="290" hidden="1" customWidth="1"/>
    <col min="58" max="58" width="5.85546875" style="290" hidden="1" customWidth="1"/>
    <col min="59" max="59" width="23.42578125" style="290" hidden="1" customWidth="1"/>
    <col min="60" max="60" width="9.5703125" style="290" hidden="1" customWidth="1"/>
    <col min="61" max="61" width="9.140625" style="290" hidden="1" customWidth="1"/>
    <col min="62" max="62" width="10.42578125" style="290" hidden="1" customWidth="1"/>
    <col min="63" max="63" width="4" style="290" hidden="1" customWidth="1"/>
    <col min="64" max="64" width="1.5703125" style="290" hidden="1" customWidth="1"/>
    <col min="65" max="65" width="6.42578125" style="291" hidden="1" customWidth="1"/>
    <col min="66" max="66" width="6.42578125" style="290" hidden="1" customWidth="1"/>
    <col min="67" max="67" width="1.5703125" style="290" customWidth="1"/>
    <col min="68" max="68" width="5.42578125" style="290" bestFit="1" customWidth="1"/>
    <col min="69" max="69" width="11.5703125" style="290" bestFit="1" customWidth="1"/>
    <col min="70" max="70" width="8.5703125" style="290" bestFit="1" customWidth="1"/>
    <col min="71" max="71" width="11" style="290" bestFit="1" customWidth="1"/>
    <col min="72" max="72" width="7.5703125" style="290" bestFit="1" customWidth="1"/>
    <col min="73" max="73" width="3.5703125" style="290" customWidth="1"/>
    <col min="74" max="74" width="5.42578125" style="290" bestFit="1" customWidth="1"/>
    <col min="75" max="75" width="11.5703125" style="290" bestFit="1" customWidth="1"/>
    <col min="76" max="76" width="8.5703125" style="290" bestFit="1" customWidth="1"/>
    <col min="77" max="77" width="11" style="290" bestFit="1" customWidth="1"/>
    <col min="78" max="78" width="7.5703125" style="290" bestFit="1" customWidth="1"/>
    <col min="79" max="79" width="2.42578125" style="290" customWidth="1"/>
    <col min="80" max="80" width="7" style="290" customWidth="1"/>
    <col min="81" max="81" width="11.5703125" style="290" customWidth="1"/>
    <col min="82" max="82" width="8.5703125" style="290" bestFit="1" customWidth="1"/>
    <col min="83" max="83" width="11" style="290" bestFit="1" customWidth="1"/>
    <col min="84" max="84" width="7.5703125" style="290" bestFit="1" customWidth="1"/>
    <col min="85" max="85" width="7.28515625" style="290" customWidth="1"/>
    <col min="86" max="86" width="8.42578125" style="290" bestFit="1" customWidth="1"/>
    <col min="87" max="87" width="14" style="291" customWidth="1"/>
    <col min="88" max="88" width="1.42578125" style="290" hidden="1" customWidth="1"/>
    <col min="89" max="89" width="8.85546875" style="290" bestFit="1" customWidth="1"/>
    <col min="90" max="92" width="7.5703125" style="290" bestFit="1" customWidth="1"/>
    <col min="93" max="93" width="7" style="290" bestFit="1" customWidth="1"/>
    <col min="94" max="94" width="6.42578125" style="290" bestFit="1" customWidth="1"/>
    <col min="95" max="95" width="9.140625" style="290"/>
    <col min="96" max="96" width="6" style="290" bestFit="1" customWidth="1"/>
    <col min="97" max="97" width="7.85546875" style="290" customWidth="1"/>
    <col min="98" max="98" width="13.5703125" style="290" customWidth="1"/>
    <col min="99" max="99" width="11.5703125" style="290" customWidth="1"/>
    <col min="100" max="100" width="13.42578125" style="290" customWidth="1"/>
    <col min="101" max="101" width="15" style="290" bestFit="1" customWidth="1"/>
    <col min="102" max="102" width="7.42578125" style="290" bestFit="1" customWidth="1"/>
    <col min="103" max="103" width="7.5703125" style="290" bestFit="1" customWidth="1"/>
    <col min="104" max="104" width="7" style="290" bestFit="1" customWidth="1"/>
    <col min="105" max="105" width="6" style="290" bestFit="1" customWidth="1"/>
    <col min="106" max="107" width="4.42578125" style="290" bestFit="1" customWidth="1"/>
    <col min="108" max="108" width="27.5703125" style="290" bestFit="1" customWidth="1"/>
    <col min="109" max="109" width="21.42578125" style="290" bestFit="1" customWidth="1"/>
    <col min="110" max="110" width="8.85546875" style="290" bestFit="1" customWidth="1"/>
    <col min="111" max="111" width="7.5703125" style="290" bestFit="1" customWidth="1"/>
    <col min="112" max="112" width="6.42578125" style="290" bestFit="1" customWidth="1"/>
    <col min="113" max="113" width="5.5703125" style="290" bestFit="1" customWidth="1"/>
    <col min="114" max="114" width="9.140625" style="290"/>
    <col min="115" max="115" width="5" style="290" bestFit="1" customWidth="1"/>
    <col min="116" max="116" width="7.5703125" style="290" bestFit="1" customWidth="1"/>
    <col min="117" max="117" width="8.42578125" style="290" bestFit="1" customWidth="1"/>
    <col min="118" max="118" width="11" style="290" bestFit="1" customWidth="1"/>
    <col min="119" max="119" width="8.85546875" style="290" bestFit="1" customWidth="1"/>
    <col min="120" max="120" width="7.5703125" style="290" bestFit="1" customWidth="1"/>
    <col min="121" max="16384" width="9.140625" style="290"/>
  </cols>
  <sheetData>
    <row r="1" spans="1:120" ht="13.5" thickBot="1" x14ac:dyDescent="0.25">
      <c r="A1" s="289" t="s">
        <v>240</v>
      </c>
      <c r="Q1" s="289" t="s">
        <v>241</v>
      </c>
      <c r="BA1" s="290" t="s">
        <v>242</v>
      </c>
      <c r="BQ1" s="294"/>
      <c r="BR1" s="294"/>
      <c r="BS1" s="294"/>
      <c r="BT1" s="294"/>
      <c r="BW1" s="294"/>
      <c r="BX1" s="294"/>
      <c r="BY1" s="294"/>
      <c r="BZ1" s="294"/>
      <c r="CA1" s="294"/>
      <c r="CB1" s="290" t="s">
        <v>243</v>
      </c>
      <c r="CC1" s="295">
        <f>CC2/$CG2</f>
        <v>0.375</v>
      </c>
      <c r="CD1" s="295">
        <f>CD2/$CG2</f>
        <v>0.1875</v>
      </c>
      <c r="CE1" s="295">
        <f>CE2/$CG2</f>
        <v>0.16666666666666666</v>
      </c>
      <c r="CF1" s="295">
        <f>CF2/$CG2</f>
        <v>0.27083333333333331</v>
      </c>
      <c r="CG1" s="296">
        <v>22600</v>
      </c>
      <c r="CH1" s="290">
        <f>CG1*0.8</f>
        <v>18080</v>
      </c>
      <c r="DE1" s="290">
        <f>CG1-CG2</f>
        <v>17800</v>
      </c>
    </row>
    <row r="2" spans="1:120" ht="13.5" thickBot="1" x14ac:dyDescent="0.25">
      <c r="A2" s="297"/>
      <c r="B2" s="1028" t="s">
        <v>244</v>
      </c>
      <c r="C2" s="1028"/>
      <c r="D2" s="1028"/>
      <c r="E2" s="1028"/>
      <c r="F2" s="1028"/>
      <c r="G2" s="1028"/>
      <c r="H2" s="298"/>
      <c r="I2" s="298"/>
      <c r="J2" s="299"/>
      <c r="K2" s="300"/>
      <c r="L2" s="300"/>
      <c r="M2" s="300"/>
      <c r="N2" s="1029" t="s">
        <v>150</v>
      </c>
      <c r="O2" s="1030"/>
      <c r="Q2" s="297"/>
      <c r="R2" s="301"/>
      <c r="S2" s="301"/>
      <c r="T2" s="301"/>
      <c r="U2" s="301"/>
      <c r="V2" s="1025" t="s">
        <v>245</v>
      </c>
      <c r="W2" s="1025"/>
      <c r="X2" s="1025"/>
      <c r="Y2" s="301"/>
      <c r="Z2" s="301"/>
      <c r="AA2" s="1025" t="s">
        <v>246</v>
      </c>
      <c r="AB2" s="1025"/>
      <c r="AC2" s="1026"/>
      <c r="AD2" s="1031" t="s">
        <v>247</v>
      </c>
      <c r="AE2" s="1032"/>
      <c r="AI2" s="304" t="s">
        <v>248</v>
      </c>
      <c r="AJ2" s="304"/>
      <c r="AK2" s="304"/>
      <c r="AN2" s="1024" t="s">
        <v>249</v>
      </c>
      <c r="AO2" s="1025"/>
      <c r="AP2" s="1025"/>
      <c r="AQ2" s="1026"/>
      <c r="AS2" s="1024" t="s">
        <v>250</v>
      </c>
      <c r="AT2" s="1025"/>
      <c r="AU2" s="1025"/>
      <c r="AV2" s="1025"/>
      <c r="AW2" s="1025"/>
      <c r="AY2" s="305" t="s">
        <v>251</v>
      </c>
      <c r="BA2" s="306" t="s">
        <v>252</v>
      </c>
      <c r="BB2" s="307"/>
      <c r="BC2" s="290" t="s">
        <v>253</v>
      </c>
      <c r="BH2" s="290" t="s">
        <v>254</v>
      </c>
      <c r="BP2" s="1033" t="s">
        <v>255</v>
      </c>
      <c r="BQ2" s="1034"/>
      <c r="BR2" s="1034"/>
      <c r="BS2" s="1034"/>
      <c r="BT2" s="1035"/>
      <c r="BV2" s="1033" t="s">
        <v>256</v>
      </c>
      <c r="BW2" s="1034"/>
      <c r="BX2" s="1034"/>
      <c r="BY2" s="1034"/>
      <c r="BZ2" s="1035"/>
      <c r="CA2" s="294"/>
      <c r="CB2" s="294"/>
      <c r="CC2" s="308">
        <v>1800</v>
      </c>
      <c r="CD2" s="308">
        <v>900</v>
      </c>
      <c r="CE2" s="308">
        <v>800</v>
      </c>
      <c r="CF2" s="308">
        <v>1300</v>
      </c>
      <c r="CG2" s="308">
        <f>SUM(CC2:CF2)</f>
        <v>4800</v>
      </c>
      <c r="CH2" s="295">
        <f>CG2/CG1</f>
        <v>0.21238938053097345</v>
      </c>
      <c r="CI2" s="309"/>
      <c r="CJ2" s="295"/>
      <c r="CK2" s="295"/>
      <c r="CN2" s="310">
        <f>AVERAGE(CN20:CN31)</f>
        <v>0.94322392529063148</v>
      </c>
      <c r="CO2" s="310">
        <f>AVERAGE(CO17:CO28)</f>
        <v>1.0127982181050903</v>
      </c>
      <c r="CP2" s="310">
        <f>AVERAGE(CP20:CP31)</f>
        <v>0.52640455001975639</v>
      </c>
      <c r="CQ2" s="311"/>
      <c r="CR2" s="311"/>
      <c r="CS2" s="311"/>
      <c r="CT2" s="311"/>
      <c r="CU2" s="311"/>
      <c r="DE2" s="290" t="s">
        <v>257</v>
      </c>
    </row>
    <row r="3" spans="1:120" ht="42.75" customHeight="1" x14ac:dyDescent="0.2">
      <c r="A3" s="312" t="s">
        <v>36</v>
      </c>
      <c r="B3" s="313" t="s">
        <v>258</v>
      </c>
      <c r="C3" s="313" t="s">
        <v>259</v>
      </c>
      <c r="D3" s="313" t="s">
        <v>260</v>
      </c>
      <c r="E3" s="313" t="s">
        <v>261</v>
      </c>
      <c r="F3" s="314" t="s">
        <v>262</v>
      </c>
      <c r="G3" s="314" t="s">
        <v>43</v>
      </c>
      <c r="H3" s="313" t="s">
        <v>263</v>
      </c>
      <c r="I3" s="314"/>
      <c r="J3" s="315" t="s">
        <v>264</v>
      </c>
      <c r="L3" s="316" t="s">
        <v>265</v>
      </c>
      <c r="M3" s="316"/>
      <c r="N3" s="317" t="s">
        <v>266</v>
      </c>
      <c r="O3" s="317" t="s">
        <v>267</v>
      </c>
      <c r="Q3" s="318" t="s">
        <v>36</v>
      </c>
      <c r="R3" s="319" t="s">
        <v>268</v>
      </c>
      <c r="S3" s="319" t="s">
        <v>269</v>
      </c>
      <c r="T3" s="319" t="s">
        <v>270</v>
      </c>
      <c r="U3" s="319" t="s">
        <v>271</v>
      </c>
      <c r="V3" s="319" t="s">
        <v>272</v>
      </c>
      <c r="W3" s="319" t="s">
        <v>264</v>
      </c>
      <c r="X3" s="319" t="s">
        <v>273</v>
      </c>
      <c r="Y3" s="319" t="s">
        <v>274</v>
      </c>
      <c r="Z3" s="319"/>
      <c r="AA3" s="319" t="s">
        <v>272</v>
      </c>
      <c r="AB3" s="319" t="s">
        <v>264</v>
      </c>
      <c r="AC3" s="320" t="s">
        <v>275</v>
      </c>
      <c r="AD3" s="302" t="s">
        <v>276</v>
      </c>
      <c r="AE3" s="303" t="s">
        <v>277</v>
      </c>
      <c r="AI3" s="321" t="s">
        <v>278</v>
      </c>
      <c r="AJ3" s="321" t="s">
        <v>279</v>
      </c>
      <c r="AK3" s="322" t="s">
        <v>280</v>
      </c>
      <c r="AL3" s="323" t="s">
        <v>281</v>
      </c>
      <c r="AN3" s="290" t="s">
        <v>282</v>
      </c>
      <c r="AO3" s="290" t="s">
        <v>283</v>
      </c>
      <c r="AP3" s="290" t="s">
        <v>284</v>
      </c>
      <c r="AQ3" s="290" t="s">
        <v>285</v>
      </c>
      <c r="AS3" s="290" t="s">
        <v>282</v>
      </c>
      <c r="AT3" s="290" t="s">
        <v>286</v>
      </c>
      <c r="AU3" s="290" t="s">
        <v>287</v>
      </c>
      <c r="AV3" s="290" t="s">
        <v>288</v>
      </c>
      <c r="AW3" s="290" t="s">
        <v>285</v>
      </c>
      <c r="AY3" s="324" t="s">
        <v>289</v>
      </c>
      <c r="BA3" s="306" t="s">
        <v>290</v>
      </c>
      <c r="BB3" s="307" t="s">
        <v>291</v>
      </c>
      <c r="BC3" s="290" t="s">
        <v>292</v>
      </c>
      <c r="BE3" s="325" t="s">
        <v>293</v>
      </c>
      <c r="BF3" s="290" t="s">
        <v>294</v>
      </c>
      <c r="BH3" s="290" t="s">
        <v>295</v>
      </c>
      <c r="BM3" s="326" t="s">
        <v>296</v>
      </c>
      <c r="BN3" s="327" t="s">
        <v>297</v>
      </c>
      <c r="BP3" s="328" t="s">
        <v>298</v>
      </c>
      <c r="BQ3" s="329" t="str">
        <f>B3</f>
        <v>Ksi Hlginx (Ishkeenickh)</v>
      </c>
      <c r="BR3" s="329" t="str">
        <f>D3</f>
        <v>Gingolx (Kincolith)</v>
      </c>
      <c r="BS3" s="329" t="str">
        <f>E3</f>
        <v>Ksi X'anmas (Kwinamass)</v>
      </c>
      <c r="BT3" s="329" t="str">
        <f>F3</f>
        <v>Kitsault</v>
      </c>
      <c r="BV3" s="330" t="s">
        <v>298</v>
      </c>
      <c r="BW3" s="329" t="str">
        <f>BQ3</f>
        <v>Ksi Hlginx (Ishkeenickh)</v>
      </c>
      <c r="BX3" s="329" t="str">
        <f>BR3</f>
        <v>Gingolx (Kincolith)</v>
      </c>
      <c r="BY3" s="329" t="str">
        <f>BS3</f>
        <v>Ksi X'anmas (Kwinamass)</v>
      </c>
      <c r="BZ3" s="329" t="str">
        <f>BT3</f>
        <v>Kitsault</v>
      </c>
      <c r="CA3" s="294"/>
      <c r="CB3" s="296" t="s">
        <v>36</v>
      </c>
      <c r="CC3" s="331" t="str">
        <f>BQ3</f>
        <v>Ksi Hlginx (Ishkeenickh)</v>
      </c>
      <c r="CD3" s="331" t="str">
        <f>BR3</f>
        <v>Gingolx (Kincolith)</v>
      </c>
      <c r="CE3" s="331" t="str">
        <f>BS3</f>
        <v>Ksi X'anmas (Kwinamass)</v>
      </c>
      <c r="CF3" s="331" t="str">
        <f>BT3</f>
        <v>Kitsault</v>
      </c>
      <c r="CG3" s="332" t="s">
        <v>150</v>
      </c>
      <c r="CH3" s="333" t="s">
        <v>299</v>
      </c>
      <c r="CI3" s="334" t="s">
        <v>300</v>
      </c>
      <c r="CJ3" s="335" t="s">
        <v>301</v>
      </c>
      <c r="CK3" s="336" t="s">
        <v>302</v>
      </c>
      <c r="CL3" s="337" t="s">
        <v>276</v>
      </c>
      <c r="CN3" s="338" t="s">
        <v>303</v>
      </c>
      <c r="CO3" s="338" t="s">
        <v>304</v>
      </c>
      <c r="CP3" s="339" t="s">
        <v>103</v>
      </c>
      <c r="CQ3" s="323"/>
      <c r="CR3" s="323"/>
      <c r="CS3" s="323"/>
      <c r="CT3" s="323"/>
      <c r="CU3" s="323"/>
      <c r="DD3" s="290" t="s">
        <v>305</v>
      </c>
      <c r="DE3" s="340" t="s">
        <v>306</v>
      </c>
      <c r="DF3" s="341" t="s">
        <v>302</v>
      </c>
      <c r="DG3" s="333" t="s">
        <v>276</v>
      </c>
      <c r="DK3" s="296" t="s">
        <v>36</v>
      </c>
      <c r="DL3" s="338" t="s">
        <v>307</v>
      </c>
      <c r="DM3" s="340" t="s">
        <v>306</v>
      </c>
      <c r="DN3" s="340" t="s">
        <v>308</v>
      </c>
      <c r="DO3" s="341" t="s">
        <v>302</v>
      </c>
      <c r="DP3" s="333" t="s">
        <v>276</v>
      </c>
    </row>
    <row r="4" spans="1:120" ht="6" customHeight="1" x14ac:dyDescent="0.2">
      <c r="G4" s="342"/>
      <c r="H4" s="342"/>
      <c r="I4" s="342"/>
      <c r="N4" s="317"/>
      <c r="O4" s="317"/>
      <c r="Q4" s="343"/>
      <c r="AC4" s="344"/>
      <c r="AI4" s="345"/>
      <c r="AJ4" s="345"/>
      <c r="AK4" s="345"/>
      <c r="BA4" s="306"/>
      <c r="BB4" s="307"/>
      <c r="BM4" s="346"/>
      <c r="BN4" s="347"/>
      <c r="BP4" s="294"/>
      <c r="BQ4" s="294"/>
      <c r="BR4" s="294"/>
      <c r="BS4" s="294"/>
      <c r="BT4" s="294"/>
      <c r="BW4" s="294"/>
      <c r="BX4" s="294"/>
      <c r="BY4" s="294"/>
      <c r="BZ4" s="294"/>
      <c r="CA4" s="294"/>
      <c r="CB4" s="296"/>
      <c r="CC4" s="348"/>
      <c r="CD4" s="348"/>
      <c r="CE4" s="348"/>
      <c r="CF4" s="348"/>
      <c r="CG4" s="348"/>
      <c r="CH4" s="349"/>
      <c r="CI4" s="350"/>
      <c r="CJ4" s="351"/>
      <c r="CK4" s="352"/>
      <c r="CL4" s="353"/>
      <c r="CN4" s="338"/>
      <c r="CO4" s="338"/>
      <c r="CP4" s="338"/>
      <c r="CQ4" s="294"/>
      <c r="CR4" s="294"/>
      <c r="CS4" s="294"/>
      <c r="CT4" s="294"/>
      <c r="CU4" s="294"/>
    </row>
    <row r="5" spans="1:120" hidden="1" x14ac:dyDescent="0.2">
      <c r="A5" s="354">
        <v>1977</v>
      </c>
      <c r="B5" s="355">
        <v>150</v>
      </c>
      <c r="C5" s="355">
        <v>50</v>
      </c>
      <c r="D5" s="355">
        <v>100</v>
      </c>
      <c r="E5" s="356">
        <v>600</v>
      </c>
      <c r="F5" s="355">
        <v>500</v>
      </c>
      <c r="G5" s="357">
        <f t="shared" ref="G5:G33" si="0">SUM(B5:F5)</f>
        <v>1400</v>
      </c>
      <c r="H5" s="358">
        <f>1</f>
        <v>1</v>
      </c>
      <c r="I5" s="357">
        <f t="shared" ref="I5:I19" si="1">G5/H5</f>
        <v>1400</v>
      </c>
      <c r="J5" s="359">
        <f t="shared" ref="J5:J19" si="2">I5</f>
        <v>1400</v>
      </c>
      <c r="L5" s="360">
        <v>1400</v>
      </c>
      <c r="M5" s="360"/>
      <c r="N5" s="361" t="s">
        <v>309</v>
      </c>
      <c r="O5" s="317"/>
      <c r="Q5" s="343"/>
      <c r="R5" s="291"/>
      <c r="S5" s="362"/>
      <c r="T5" s="362"/>
      <c r="U5" s="362"/>
      <c r="V5" s="362"/>
      <c r="W5" s="362"/>
      <c r="X5" s="362"/>
      <c r="Y5" s="363"/>
      <c r="Z5" s="363"/>
      <c r="AA5" s="362"/>
      <c r="AB5" s="362"/>
      <c r="AC5" s="364"/>
      <c r="AD5" s="362"/>
      <c r="AE5" s="362"/>
      <c r="AI5" s="345"/>
      <c r="AJ5" s="345"/>
      <c r="AK5" s="345"/>
      <c r="AN5" s="296"/>
      <c r="AO5" s="296"/>
      <c r="AP5" s="296"/>
      <c r="AQ5" s="365"/>
      <c r="AR5" s="296"/>
      <c r="AS5" s="296"/>
      <c r="AT5" s="296"/>
      <c r="AU5" s="296"/>
      <c r="AV5" s="296"/>
      <c r="AW5" s="296"/>
      <c r="AY5" s="366"/>
      <c r="BA5" s="306"/>
      <c r="BB5" s="307"/>
      <c r="BM5" s="346"/>
      <c r="BN5" s="347"/>
      <c r="BP5" s="294"/>
      <c r="BQ5" s="294"/>
      <c r="BR5" s="294"/>
      <c r="BS5" s="294"/>
      <c r="BT5" s="294"/>
      <c r="BW5" s="294"/>
      <c r="BX5" s="294"/>
      <c r="BY5" s="294"/>
      <c r="BZ5" s="294"/>
      <c r="CA5" s="294"/>
      <c r="CB5" s="367">
        <v>1977</v>
      </c>
      <c r="CC5" s="348"/>
      <c r="CD5" s="348"/>
      <c r="CE5" s="348"/>
      <c r="CF5" s="348"/>
      <c r="CG5" s="348"/>
      <c r="CH5" s="349"/>
      <c r="CI5" s="350"/>
      <c r="CJ5" s="351"/>
      <c r="CK5" s="352"/>
      <c r="CL5" s="353"/>
      <c r="CN5" s="338"/>
      <c r="CO5" s="338"/>
      <c r="CP5" s="338"/>
      <c r="CQ5" s="294"/>
      <c r="CR5" s="294"/>
      <c r="CS5" s="294"/>
      <c r="CT5" s="294"/>
      <c r="CU5" s="294"/>
    </row>
    <row r="6" spans="1:120" hidden="1" x14ac:dyDescent="0.2">
      <c r="A6" s="354">
        <v>1978</v>
      </c>
      <c r="B6" s="355">
        <v>550</v>
      </c>
      <c r="C6" s="355">
        <v>50</v>
      </c>
      <c r="D6" s="355">
        <v>100</v>
      </c>
      <c r="E6" s="356">
        <v>700</v>
      </c>
      <c r="F6" s="355">
        <v>700</v>
      </c>
      <c r="G6" s="357">
        <f t="shared" si="0"/>
        <v>2100</v>
      </c>
      <c r="H6" s="358">
        <f>1</f>
        <v>1</v>
      </c>
      <c r="I6" s="357">
        <f t="shared" si="1"/>
        <v>2100</v>
      </c>
      <c r="J6" s="368">
        <f t="shared" si="2"/>
        <v>2100</v>
      </c>
      <c r="L6" s="360">
        <v>2100</v>
      </c>
      <c r="M6" s="360"/>
      <c r="N6" s="361" t="s">
        <v>309</v>
      </c>
      <c r="O6" s="317"/>
      <c r="Q6" s="343"/>
      <c r="R6" s="291"/>
      <c r="S6" s="291"/>
      <c r="T6" s="291"/>
      <c r="U6" s="291"/>
      <c r="V6" s="291"/>
      <c r="W6" s="291"/>
      <c r="X6" s="291"/>
      <c r="Y6" s="363"/>
      <c r="Z6" s="363"/>
      <c r="AA6" s="291"/>
      <c r="AB6" s="291"/>
      <c r="AC6" s="369"/>
      <c r="AD6" s="291"/>
      <c r="AE6" s="291"/>
      <c r="AI6" s="345"/>
      <c r="AJ6" s="345"/>
      <c r="AK6" s="345"/>
      <c r="AN6" s="296"/>
      <c r="AO6" s="296"/>
      <c r="AP6" s="296"/>
      <c r="AQ6" s="365"/>
      <c r="AR6" s="296"/>
      <c r="AS6" s="296"/>
      <c r="AT6" s="296"/>
      <c r="AU6" s="296"/>
      <c r="AV6" s="296"/>
      <c r="AW6" s="296"/>
      <c r="AY6" s="366"/>
      <c r="BA6" s="306"/>
      <c r="BB6" s="307"/>
      <c r="BM6" s="346"/>
      <c r="BN6" s="347"/>
      <c r="BP6" s="294"/>
      <c r="BQ6" s="294"/>
      <c r="BR6" s="294"/>
      <c r="BS6" s="294"/>
      <c r="BT6" s="294"/>
      <c r="BW6" s="294"/>
      <c r="BX6" s="294"/>
      <c r="BY6" s="294"/>
      <c r="BZ6" s="294"/>
      <c r="CA6" s="294"/>
      <c r="CB6" s="367">
        <v>1978</v>
      </c>
      <c r="CC6" s="348"/>
      <c r="CD6" s="348"/>
      <c r="CE6" s="348"/>
      <c r="CF6" s="348"/>
      <c r="CG6" s="348"/>
      <c r="CH6" s="349"/>
      <c r="CI6" s="350"/>
      <c r="CJ6" s="351"/>
      <c r="CK6" s="352"/>
      <c r="CL6" s="353"/>
      <c r="CN6" s="338"/>
      <c r="CO6" s="338"/>
      <c r="CP6" s="338"/>
      <c r="CQ6" s="294"/>
      <c r="CR6" s="294"/>
      <c r="CS6" s="294"/>
      <c r="CT6" s="294"/>
      <c r="CU6" s="294"/>
    </row>
    <row r="7" spans="1:120" hidden="1" x14ac:dyDescent="0.2">
      <c r="A7" s="354">
        <v>1979</v>
      </c>
      <c r="B7" s="355">
        <v>340</v>
      </c>
      <c r="C7" s="355">
        <v>125</v>
      </c>
      <c r="D7" s="355">
        <v>300</v>
      </c>
      <c r="E7" s="356">
        <v>300</v>
      </c>
      <c r="F7" s="355">
        <v>200</v>
      </c>
      <c r="G7" s="357">
        <f t="shared" si="0"/>
        <v>1265</v>
      </c>
      <c r="H7" s="358">
        <f>1</f>
        <v>1</v>
      </c>
      <c r="I7" s="357">
        <f t="shared" si="1"/>
        <v>1265</v>
      </c>
      <c r="J7" s="368">
        <f t="shared" si="2"/>
        <v>1265</v>
      </c>
      <c r="L7" s="360">
        <v>1265</v>
      </c>
      <c r="M7" s="360"/>
      <c r="N7" s="361" t="s">
        <v>309</v>
      </c>
      <c r="O7" s="317"/>
      <c r="Q7" s="343"/>
      <c r="R7" s="291"/>
      <c r="S7" s="291"/>
      <c r="T7" s="291"/>
      <c r="U7" s="291"/>
      <c r="V7" s="291"/>
      <c r="W7" s="291"/>
      <c r="X7" s="291"/>
      <c r="Y7" s="363"/>
      <c r="Z7" s="363"/>
      <c r="AA7" s="291"/>
      <c r="AB7" s="291"/>
      <c r="AC7" s="369"/>
      <c r="AD7" s="291"/>
      <c r="AE7" s="291"/>
      <c r="AI7" s="345"/>
      <c r="AJ7" s="345"/>
      <c r="AK7" s="345"/>
      <c r="AN7" s="296"/>
      <c r="AO7" s="296"/>
      <c r="AP7" s="296"/>
      <c r="AQ7" s="365"/>
      <c r="AR7" s="296"/>
      <c r="AS7" s="296"/>
      <c r="AT7" s="296"/>
      <c r="AU7" s="296"/>
      <c r="AV7" s="296"/>
      <c r="AW7" s="296"/>
      <c r="AY7" s="366"/>
      <c r="BA7" s="306"/>
      <c r="BB7" s="307"/>
      <c r="BJ7" s="290" t="s">
        <v>310</v>
      </c>
      <c r="BM7" s="346"/>
      <c r="BN7" s="347"/>
      <c r="BP7" s="294"/>
      <c r="BQ7" s="294"/>
      <c r="BR7" s="294"/>
      <c r="BS7" s="294"/>
      <c r="BT7" s="294"/>
      <c r="BW7" s="294"/>
      <c r="BX7" s="294"/>
      <c r="BY7" s="294"/>
      <c r="BZ7" s="294"/>
      <c r="CA7" s="294"/>
      <c r="CB7" s="367">
        <v>1979</v>
      </c>
      <c r="CC7" s="348"/>
      <c r="CD7" s="348"/>
      <c r="CE7" s="348"/>
      <c r="CF7" s="348"/>
      <c r="CG7" s="348"/>
      <c r="CH7" s="349"/>
      <c r="CI7" s="350"/>
      <c r="CJ7" s="351"/>
      <c r="CK7" s="352"/>
      <c r="CL7" s="353"/>
      <c r="CN7" s="338"/>
      <c r="CO7" s="338"/>
      <c r="CP7" s="338"/>
      <c r="CQ7" s="294"/>
      <c r="CR7" s="294"/>
      <c r="CS7" s="294"/>
      <c r="CT7" s="294"/>
      <c r="CU7" s="294"/>
    </row>
    <row r="8" spans="1:120" hidden="1" x14ac:dyDescent="0.2">
      <c r="A8" s="354">
        <v>1980</v>
      </c>
      <c r="B8" s="355">
        <v>210</v>
      </c>
      <c r="C8" s="355"/>
      <c r="D8" s="355">
        <v>350</v>
      </c>
      <c r="E8" s="356">
        <v>300</v>
      </c>
      <c r="F8" s="355">
        <v>50</v>
      </c>
      <c r="G8" s="357">
        <f t="shared" si="0"/>
        <v>910</v>
      </c>
      <c r="H8" s="358">
        <f>1-(C$55)</f>
        <v>0.98479011579332021</v>
      </c>
      <c r="I8" s="357">
        <f t="shared" si="1"/>
        <v>924.0547659913592</v>
      </c>
      <c r="J8" s="368">
        <f t="shared" si="2"/>
        <v>924.0547659913592</v>
      </c>
      <c r="L8" s="360">
        <v>959.92869310303843</v>
      </c>
      <c r="M8" s="360"/>
      <c r="N8" s="361" t="s">
        <v>309</v>
      </c>
      <c r="O8" s="317"/>
      <c r="Q8" s="343"/>
      <c r="R8" s="291"/>
      <c r="S8" s="291"/>
      <c r="T8" s="291"/>
      <c r="U8" s="291"/>
      <c r="V8" s="291"/>
      <c r="W8" s="291"/>
      <c r="X8" s="291"/>
      <c r="Y8" s="363"/>
      <c r="Z8" s="363"/>
      <c r="AA8" s="291"/>
      <c r="AB8" s="291"/>
      <c r="AC8" s="369"/>
      <c r="AD8" s="291"/>
      <c r="AE8" s="291"/>
      <c r="AI8" s="345"/>
      <c r="AJ8" s="345"/>
      <c r="AK8" s="345"/>
      <c r="AN8" s="296"/>
      <c r="AO8" s="296"/>
      <c r="AP8" s="296"/>
      <c r="AQ8" s="365"/>
      <c r="AR8" s="296"/>
      <c r="AS8" s="296"/>
      <c r="AT8" s="296"/>
      <c r="AU8" s="296"/>
      <c r="AV8" s="296"/>
      <c r="AW8" s="296"/>
      <c r="AY8" s="366"/>
      <c r="BA8" s="306"/>
      <c r="BB8" s="307"/>
      <c r="BH8" s="370">
        <f t="shared" ref="BH8:BH50" si="3">J8*$D$63</f>
        <v>261.63345500326869</v>
      </c>
      <c r="BJ8" s="370">
        <f t="shared" ref="BJ8:BJ18" si="4">D8</f>
        <v>350</v>
      </c>
      <c r="BM8" s="346"/>
      <c r="BN8" s="347"/>
      <c r="BP8" s="294"/>
      <c r="BQ8" s="294"/>
      <c r="BR8" s="294"/>
      <c r="BS8" s="294"/>
      <c r="BT8" s="294"/>
      <c r="BW8" s="294"/>
      <c r="BX8" s="294"/>
      <c r="BY8" s="294"/>
      <c r="BZ8" s="294"/>
      <c r="CA8" s="294"/>
      <c r="CB8" s="367">
        <v>1980</v>
      </c>
      <c r="CC8" s="348"/>
      <c r="CD8" s="348"/>
      <c r="CE8" s="348"/>
      <c r="CF8" s="348"/>
      <c r="CG8" s="348"/>
      <c r="CH8" s="349"/>
      <c r="CI8" s="350"/>
      <c r="CJ8" s="351"/>
      <c r="CK8" s="352"/>
      <c r="CL8" s="353"/>
      <c r="CN8" s="338"/>
      <c r="CO8" s="338"/>
      <c r="CP8" s="338"/>
      <c r="CQ8" s="294"/>
      <c r="CR8" s="294"/>
      <c r="CS8" s="294"/>
      <c r="CT8" s="294"/>
      <c r="CU8" s="294"/>
    </row>
    <row r="9" spans="1:120" hidden="1" x14ac:dyDescent="0.2">
      <c r="A9" s="354">
        <v>1981</v>
      </c>
      <c r="B9" s="355">
        <v>400</v>
      </c>
      <c r="C9" s="355">
        <v>50</v>
      </c>
      <c r="D9" s="355">
        <v>200</v>
      </c>
      <c r="E9" s="356">
        <v>300</v>
      </c>
      <c r="F9" s="355">
        <v>100</v>
      </c>
      <c r="G9" s="357">
        <f t="shared" si="0"/>
        <v>1050</v>
      </c>
      <c r="H9" s="358">
        <f>1</f>
        <v>1</v>
      </c>
      <c r="I9" s="357">
        <f t="shared" si="1"/>
        <v>1050</v>
      </c>
      <c r="J9" s="368">
        <f t="shared" si="2"/>
        <v>1050</v>
      </c>
      <c r="L9" s="360">
        <v>1050</v>
      </c>
      <c r="M9" s="360"/>
      <c r="N9" s="361" t="s">
        <v>309</v>
      </c>
      <c r="O9" s="317"/>
      <c r="Q9" s="343"/>
      <c r="R9" s="291"/>
      <c r="S9" s="291"/>
      <c r="T9" s="291"/>
      <c r="U9" s="291"/>
      <c r="V9" s="291"/>
      <c r="W9" s="291"/>
      <c r="X9" s="291"/>
      <c r="Y9" s="363"/>
      <c r="Z9" s="363"/>
      <c r="AA9" s="291"/>
      <c r="AB9" s="291"/>
      <c r="AC9" s="369"/>
      <c r="AD9" s="291"/>
      <c r="AE9" s="291"/>
      <c r="AI9" s="345"/>
      <c r="AJ9" s="345"/>
      <c r="AK9" s="345"/>
      <c r="AN9" s="296"/>
      <c r="AO9" s="296"/>
      <c r="AP9" s="296"/>
      <c r="AQ9" s="365"/>
      <c r="AR9" s="296"/>
      <c r="AS9" s="296"/>
      <c r="AT9" s="296"/>
      <c r="AU9" s="296"/>
      <c r="AV9" s="296"/>
      <c r="AW9" s="296"/>
      <c r="AY9" s="366"/>
      <c r="BA9" s="306"/>
      <c r="BB9" s="307"/>
      <c r="BH9" s="370">
        <f t="shared" si="3"/>
        <v>297.29312359393316</v>
      </c>
      <c r="BJ9" s="370">
        <f t="shared" si="4"/>
        <v>200</v>
      </c>
      <c r="BM9" s="346"/>
      <c r="BN9" s="347"/>
      <c r="BP9" s="294"/>
      <c r="BQ9" s="294"/>
      <c r="BR9" s="294"/>
      <c r="BS9" s="294"/>
      <c r="BT9" s="294"/>
      <c r="BW9" s="294"/>
      <c r="BX9" s="294"/>
      <c r="BY9" s="294"/>
      <c r="BZ9" s="294"/>
      <c r="CA9" s="294"/>
      <c r="CB9" s="367">
        <v>1981</v>
      </c>
      <c r="CC9" s="348"/>
      <c r="CD9" s="348"/>
      <c r="CE9" s="348"/>
      <c r="CF9" s="348"/>
      <c r="CG9" s="348"/>
      <c r="CH9" s="349"/>
      <c r="CI9" s="350"/>
      <c r="CJ9" s="351"/>
      <c r="CK9" s="352"/>
      <c r="CL9" s="353"/>
      <c r="CN9" s="338"/>
      <c r="CO9" s="338"/>
      <c r="CP9" s="338"/>
      <c r="CQ9" s="294"/>
      <c r="CR9" s="294"/>
      <c r="CS9" s="294"/>
      <c r="CT9" s="294"/>
      <c r="CU9" s="294"/>
    </row>
    <row r="10" spans="1:120" hidden="1" x14ac:dyDescent="0.2">
      <c r="A10" s="354">
        <v>1982</v>
      </c>
      <c r="B10" s="355">
        <v>200</v>
      </c>
      <c r="C10" s="355">
        <v>500</v>
      </c>
      <c r="D10" s="355">
        <v>500</v>
      </c>
      <c r="E10" s="356">
        <v>500</v>
      </c>
      <c r="F10" s="355">
        <v>175</v>
      </c>
      <c r="G10" s="357">
        <f t="shared" si="0"/>
        <v>1875</v>
      </c>
      <c r="H10" s="358">
        <f>1</f>
        <v>1</v>
      </c>
      <c r="I10" s="357">
        <f t="shared" si="1"/>
        <v>1875</v>
      </c>
      <c r="J10" s="368">
        <f t="shared" si="2"/>
        <v>1875</v>
      </c>
      <c r="L10" s="360">
        <v>1875</v>
      </c>
      <c r="M10" s="360"/>
      <c r="N10" s="361" t="s">
        <v>309</v>
      </c>
      <c r="O10" s="317"/>
      <c r="Q10" s="343"/>
      <c r="R10" s="291"/>
      <c r="S10" s="291"/>
      <c r="T10" s="291"/>
      <c r="U10" s="291"/>
      <c r="V10" s="291"/>
      <c r="W10" s="291"/>
      <c r="X10" s="291"/>
      <c r="Y10" s="363"/>
      <c r="Z10" s="363"/>
      <c r="AA10" s="291"/>
      <c r="AB10" s="291"/>
      <c r="AC10" s="369"/>
      <c r="AD10" s="291"/>
      <c r="AE10" s="291"/>
      <c r="AI10" s="371"/>
      <c r="AJ10" s="345"/>
      <c r="AK10" s="372"/>
      <c r="AL10" s="373">
        <f>IF(AJ10&gt;0,AJ10+AI10,AI10/(1-$AK$54))</f>
        <v>0</v>
      </c>
      <c r="AN10" s="296"/>
      <c r="AO10" s="296"/>
      <c r="AP10" s="296"/>
      <c r="AQ10" s="365"/>
      <c r="AR10" s="296"/>
      <c r="AS10" s="296"/>
      <c r="AT10" s="296"/>
      <c r="AU10" s="296"/>
      <c r="AV10" s="296"/>
      <c r="AW10" s="296"/>
      <c r="AY10" s="366"/>
      <c r="BA10" s="306"/>
      <c r="BB10" s="307"/>
      <c r="BH10" s="370">
        <f t="shared" si="3"/>
        <v>530.88057784630928</v>
      </c>
      <c r="BJ10" s="370">
        <f t="shared" si="4"/>
        <v>500</v>
      </c>
      <c r="BM10" s="346"/>
      <c r="BN10" s="347"/>
      <c r="BP10" s="294"/>
      <c r="BQ10" s="294"/>
      <c r="BR10" s="294"/>
      <c r="BS10" s="294"/>
      <c r="BT10" s="294"/>
      <c r="BW10" s="294"/>
      <c r="BX10" s="294"/>
      <c r="BY10" s="294"/>
      <c r="BZ10" s="294"/>
      <c r="CA10" s="294"/>
      <c r="CB10" s="367">
        <v>1982</v>
      </c>
      <c r="CC10" s="348"/>
      <c r="CD10" s="348"/>
      <c r="CE10" s="348"/>
      <c r="CF10" s="348"/>
      <c r="CG10" s="348"/>
      <c r="CH10" s="349"/>
      <c r="CI10" s="350"/>
      <c r="CJ10" s="351"/>
      <c r="CK10" s="352"/>
      <c r="CL10" s="353"/>
      <c r="CN10" s="338"/>
      <c r="CO10" s="338"/>
      <c r="CP10" s="338"/>
      <c r="CQ10" s="294"/>
      <c r="CR10" s="294"/>
      <c r="CS10" s="294"/>
      <c r="CT10" s="294"/>
      <c r="CU10" s="294"/>
    </row>
    <row r="11" spans="1:120" hidden="1" x14ac:dyDescent="0.2">
      <c r="A11" s="354">
        <v>1983</v>
      </c>
      <c r="B11" s="355">
        <v>1000</v>
      </c>
      <c r="C11" s="355" t="s">
        <v>106</v>
      </c>
      <c r="D11" s="355">
        <v>300</v>
      </c>
      <c r="E11" s="356">
        <v>150</v>
      </c>
      <c r="F11" s="355">
        <v>130</v>
      </c>
      <c r="G11" s="357">
        <f t="shared" si="0"/>
        <v>1580</v>
      </c>
      <c r="H11" s="358">
        <f>1-(C$55)</f>
        <v>0.98479011579332021</v>
      </c>
      <c r="I11" s="357">
        <f t="shared" si="1"/>
        <v>1604.4027805124697</v>
      </c>
      <c r="J11" s="368">
        <f t="shared" si="2"/>
        <v>1604.4027805124697</v>
      </c>
      <c r="L11" s="360">
        <v>1666.6893792338469</v>
      </c>
      <c r="M11" s="360"/>
      <c r="N11" s="361" t="s">
        <v>309</v>
      </c>
      <c r="O11" s="317"/>
      <c r="Q11" s="343"/>
      <c r="R11" s="291"/>
      <c r="S11" s="291"/>
      <c r="T11" s="291"/>
      <c r="U11" s="291"/>
      <c r="V11" s="291"/>
      <c r="W11" s="291"/>
      <c r="X11" s="291"/>
      <c r="Y11" s="363"/>
      <c r="Z11" s="363"/>
      <c r="AA11" s="291"/>
      <c r="AB11" s="291"/>
      <c r="AC11" s="369"/>
      <c r="AD11" s="291"/>
      <c r="AE11" s="291"/>
      <c r="AI11" s="371"/>
      <c r="AJ11" s="345"/>
      <c r="AK11" s="372"/>
      <c r="AL11" s="373">
        <f>IF(AJ11&gt;0,AJ11+AI11,AI11/(1-$AK$54))</f>
        <v>0</v>
      </c>
      <c r="AN11" s="296"/>
      <c r="AO11" s="296"/>
      <c r="AP11" s="296"/>
      <c r="AQ11" s="365"/>
      <c r="AR11" s="296"/>
      <c r="AS11" s="296"/>
      <c r="AT11" s="296"/>
      <c r="AU11" s="296"/>
      <c r="AV11" s="296"/>
      <c r="AW11" s="296"/>
      <c r="AY11" s="366"/>
      <c r="BA11" s="306"/>
      <c r="BB11" s="307"/>
      <c r="BH11" s="370">
        <f t="shared" si="3"/>
        <v>454.2646801155654</v>
      </c>
      <c r="BJ11" s="370">
        <f t="shared" si="4"/>
        <v>300</v>
      </c>
      <c r="BM11" s="346"/>
      <c r="BN11" s="347"/>
      <c r="BP11" s="294"/>
      <c r="BQ11" s="294"/>
      <c r="BR11" s="294"/>
      <c r="BS11" s="294"/>
      <c r="BT11" s="294"/>
      <c r="BW11" s="294"/>
      <c r="BX11" s="294"/>
      <c r="BY11" s="294"/>
      <c r="BZ11" s="294"/>
      <c r="CA11" s="294"/>
      <c r="CB11" s="367">
        <v>1983</v>
      </c>
      <c r="CC11" s="348"/>
      <c r="CD11" s="348"/>
      <c r="CE11" s="348"/>
      <c r="CF11" s="348"/>
      <c r="CG11" s="348"/>
      <c r="CH11" s="349"/>
      <c r="CI11" s="350"/>
      <c r="CJ11" s="351"/>
      <c r="CK11" s="352"/>
      <c r="CL11" s="353"/>
      <c r="CN11" s="338"/>
      <c r="CO11" s="338"/>
      <c r="CP11" s="338"/>
      <c r="CQ11" s="294"/>
      <c r="CR11" s="294"/>
      <c r="CS11" s="294"/>
      <c r="CT11" s="294"/>
      <c r="CU11" s="294"/>
    </row>
    <row r="12" spans="1:120" hidden="1" x14ac:dyDescent="0.2">
      <c r="A12" s="374">
        <v>1984</v>
      </c>
      <c r="B12" s="355">
        <v>1200</v>
      </c>
      <c r="C12" s="355">
        <v>300</v>
      </c>
      <c r="D12" s="355">
        <v>500</v>
      </c>
      <c r="E12" s="356">
        <v>300</v>
      </c>
      <c r="F12" s="355">
        <v>100</v>
      </c>
      <c r="G12" s="357">
        <f t="shared" si="0"/>
        <v>2400</v>
      </c>
      <c r="H12" s="358">
        <f>1</f>
        <v>1</v>
      </c>
      <c r="I12" s="357">
        <f t="shared" si="1"/>
        <v>2400</v>
      </c>
      <c r="J12" s="368">
        <f t="shared" si="2"/>
        <v>2400</v>
      </c>
      <c r="L12" s="360">
        <v>2400</v>
      </c>
      <c r="M12" s="360"/>
      <c r="N12" s="361" t="s">
        <v>309</v>
      </c>
      <c r="O12" s="317"/>
      <c r="Q12" s="343"/>
      <c r="R12" s="291"/>
      <c r="S12" s="291"/>
      <c r="T12" s="291"/>
      <c r="U12" s="291"/>
      <c r="V12" s="291"/>
      <c r="W12" s="291"/>
      <c r="X12" s="291"/>
      <c r="Y12" s="363"/>
      <c r="Z12" s="363"/>
      <c r="AA12" s="291"/>
      <c r="AB12" s="291"/>
      <c r="AC12" s="369"/>
      <c r="AD12" s="291"/>
      <c r="AE12" s="291"/>
      <c r="AI12" s="371"/>
      <c r="AJ12" s="345"/>
      <c r="AK12" s="372"/>
      <c r="AL12" s="373">
        <f>IF(AJ12&gt;0,AJ12+AI12,AI12/(1-$AK$54))</f>
        <v>0</v>
      </c>
      <c r="AN12" s="296"/>
      <c r="AO12" s="296"/>
      <c r="AP12" s="296"/>
      <c r="AQ12" s="365"/>
      <c r="AR12" s="296"/>
      <c r="AS12" s="296"/>
      <c r="AT12" s="296"/>
      <c r="AU12" s="296"/>
      <c r="AV12" s="296"/>
      <c r="AW12" s="296"/>
      <c r="AY12" s="366"/>
      <c r="BA12" s="306"/>
      <c r="BB12" s="307"/>
      <c r="BH12" s="370">
        <f t="shared" si="3"/>
        <v>679.52713964327586</v>
      </c>
      <c r="BJ12" s="370">
        <f t="shared" si="4"/>
        <v>500</v>
      </c>
      <c r="BM12" s="346"/>
      <c r="BN12" s="347"/>
      <c r="BP12" s="294"/>
      <c r="BQ12" s="294"/>
      <c r="BR12" s="294"/>
      <c r="BS12" s="294"/>
      <c r="BT12" s="294"/>
      <c r="BW12" s="294"/>
      <c r="BX12" s="294"/>
      <c r="BY12" s="294"/>
      <c r="BZ12" s="294"/>
      <c r="CA12" s="294"/>
      <c r="CB12" s="367">
        <v>1984</v>
      </c>
      <c r="CC12" s="348"/>
      <c r="CD12" s="348"/>
      <c r="CE12" s="348"/>
      <c r="CF12" s="348"/>
      <c r="CG12" s="348"/>
      <c r="CH12" s="349"/>
      <c r="CI12" s="350"/>
      <c r="CJ12" s="351"/>
      <c r="CK12" s="352"/>
      <c r="CL12" s="353"/>
      <c r="CN12" s="338"/>
      <c r="CO12" s="338"/>
      <c r="CP12" s="338"/>
      <c r="CQ12" s="294"/>
      <c r="CR12" s="294"/>
      <c r="CS12" s="294"/>
      <c r="CT12" s="294"/>
      <c r="CU12" s="294"/>
    </row>
    <row r="13" spans="1:120" hidden="1" x14ac:dyDescent="0.2">
      <c r="A13" s="374">
        <v>1985</v>
      </c>
      <c r="B13" s="355">
        <v>600</v>
      </c>
      <c r="C13" s="355" t="s">
        <v>311</v>
      </c>
      <c r="D13" s="355">
        <v>200</v>
      </c>
      <c r="E13" s="355">
        <v>200</v>
      </c>
      <c r="F13" s="355">
        <v>100</v>
      </c>
      <c r="G13" s="357">
        <f t="shared" si="0"/>
        <v>1100</v>
      </c>
      <c r="H13" s="358">
        <f>1-(C$55)</f>
        <v>0.98479011579332021</v>
      </c>
      <c r="I13" s="357">
        <f t="shared" si="1"/>
        <v>1116.9892775719727</v>
      </c>
      <c r="J13" s="359">
        <f t="shared" si="2"/>
        <v>1116.9892775719727</v>
      </c>
      <c r="L13" s="360">
        <v>1160.3533652893871</v>
      </c>
      <c r="M13" s="360"/>
      <c r="N13" s="361" t="s">
        <v>309</v>
      </c>
      <c r="O13" s="317"/>
      <c r="Q13" s="343"/>
      <c r="R13" s="291"/>
      <c r="S13" s="291"/>
      <c r="T13" s="291"/>
      <c r="U13" s="291"/>
      <c r="V13" s="291"/>
      <c r="W13" s="291"/>
      <c r="X13" s="291"/>
      <c r="Y13" s="363"/>
      <c r="Z13" s="363"/>
      <c r="AA13" s="291"/>
      <c r="AB13" s="291"/>
      <c r="AC13" s="369"/>
      <c r="AD13" s="291"/>
      <c r="AE13" s="291"/>
      <c r="AI13" s="371"/>
      <c r="AJ13" s="345"/>
      <c r="AK13" s="372"/>
      <c r="AL13" s="373">
        <f>IF(AJ13&gt;0,AJ13+AI13,AI13/(1-$AK$54))</f>
        <v>0</v>
      </c>
      <c r="AN13" s="296"/>
      <c r="AO13" s="296"/>
      <c r="AP13" s="296"/>
      <c r="AQ13" s="365"/>
      <c r="AR13" s="296"/>
      <c r="AS13" s="296"/>
      <c r="AT13" s="296"/>
      <c r="AU13" s="296"/>
      <c r="AV13" s="296"/>
      <c r="AW13" s="296"/>
      <c r="AY13" s="366"/>
      <c r="BA13" s="306"/>
      <c r="BB13" s="307"/>
      <c r="BH13" s="370">
        <f t="shared" si="3"/>
        <v>316.26022033362153</v>
      </c>
      <c r="BJ13" s="370">
        <f t="shared" si="4"/>
        <v>200</v>
      </c>
      <c r="BM13" s="346"/>
      <c r="BN13" s="347"/>
      <c r="BP13" s="294"/>
      <c r="BQ13" s="294"/>
      <c r="BR13" s="294"/>
      <c r="BS13" s="294"/>
      <c r="BT13" s="294"/>
      <c r="BW13" s="294"/>
      <c r="BX13" s="294"/>
      <c r="BY13" s="294"/>
      <c r="BZ13" s="294"/>
      <c r="CA13" s="294"/>
      <c r="CB13" s="367">
        <v>1985</v>
      </c>
      <c r="CC13" s="348"/>
      <c r="CD13" s="348"/>
      <c r="CE13" s="348"/>
      <c r="CF13" s="348"/>
      <c r="CG13" s="348"/>
      <c r="CH13" s="349"/>
      <c r="CI13" s="350"/>
      <c r="CJ13" s="351"/>
      <c r="CK13" s="352"/>
      <c r="CL13" s="353"/>
      <c r="CN13" s="338"/>
      <c r="CO13" s="338"/>
      <c r="CP13" s="338"/>
      <c r="CQ13" s="294"/>
      <c r="CR13" s="294"/>
      <c r="CS13" s="294"/>
      <c r="CT13" s="294"/>
      <c r="CU13" s="294"/>
    </row>
    <row r="14" spans="1:120" x14ac:dyDescent="0.2">
      <c r="A14" s="375">
        <v>1986</v>
      </c>
      <c r="B14" s="376">
        <v>300</v>
      </c>
      <c r="C14" s="376">
        <v>200</v>
      </c>
      <c r="D14" s="376">
        <v>300</v>
      </c>
      <c r="E14" s="376">
        <v>600</v>
      </c>
      <c r="F14" s="376">
        <v>25</v>
      </c>
      <c r="G14" s="357">
        <f t="shared" si="0"/>
        <v>1425</v>
      </c>
      <c r="H14" s="358">
        <f>1</f>
        <v>1</v>
      </c>
      <c r="I14" s="357">
        <f t="shared" si="1"/>
        <v>1425</v>
      </c>
      <c r="J14" s="377">
        <f t="shared" si="2"/>
        <v>1425</v>
      </c>
      <c r="L14" s="360">
        <v>1425</v>
      </c>
      <c r="M14" s="360"/>
      <c r="N14" s="361" t="s">
        <v>309</v>
      </c>
      <c r="O14" s="317" t="s">
        <v>312</v>
      </c>
      <c r="Q14" s="343"/>
      <c r="R14" s="291"/>
      <c r="S14" s="291"/>
      <c r="T14" s="291"/>
      <c r="U14" s="291"/>
      <c r="V14" s="291"/>
      <c r="W14" s="291"/>
      <c r="X14" s="291"/>
      <c r="Y14" s="363"/>
      <c r="Z14" s="363"/>
      <c r="AA14" s="291"/>
      <c r="AB14" s="291"/>
      <c r="AC14" s="369"/>
      <c r="AD14" s="291"/>
      <c r="AE14" s="291"/>
      <c r="AI14" s="371"/>
      <c r="AJ14" s="345"/>
      <c r="AK14" s="372"/>
      <c r="AL14" s="373"/>
      <c r="AN14" s="296"/>
      <c r="AO14" s="296"/>
      <c r="AP14" s="296"/>
      <c r="AQ14" s="365"/>
      <c r="AR14" s="296"/>
      <c r="AS14" s="296"/>
      <c r="AT14" s="296"/>
      <c r="AU14" s="296"/>
      <c r="AV14" s="296"/>
      <c r="AW14" s="296"/>
      <c r="AY14" s="366"/>
      <c r="BA14" s="306"/>
      <c r="BB14" s="307"/>
      <c r="BH14" s="370">
        <f t="shared" si="3"/>
        <v>403.46923916319503</v>
      </c>
      <c r="BJ14" s="370">
        <f t="shared" si="4"/>
        <v>300</v>
      </c>
      <c r="BM14" s="346"/>
      <c r="BN14" s="347"/>
      <c r="BP14" s="294"/>
      <c r="BQ14" s="294"/>
      <c r="BR14" s="294"/>
      <c r="BS14" s="294"/>
      <c r="BT14" s="294"/>
      <c r="BW14" s="294"/>
      <c r="BX14" s="294"/>
      <c r="BY14" s="294"/>
      <c r="BZ14" s="294"/>
      <c r="CA14" s="294"/>
      <c r="CB14" s="367">
        <v>1986</v>
      </c>
      <c r="CC14" s="348"/>
      <c r="CD14" s="348"/>
      <c r="CE14" s="348"/>
      <c r="CF14" s="348"/>
      <c r="CG14" s="348"/>
      <c r="CH14" s="349"/>
      <c r="CI14" s="350"/>
      <c r="CJ14" s="351"/>
      <c r="CK14" s="352"/>
      <c r="CL14" s="353"/>
      <c r="CN14" s="338"/>
      <c r="CO14" s="338"/>
      <c r="CP14" s="338"/>
      <c r="CQ14" s="294"/>
      <c r="CR14" s="294"/>
      <c r="CS14" s="294"/>
      <c r="CT14" s="294"/>
      <c r="CU14" s="294"/>
    </row>
    <row r="15" spans="1:120" x14ac:dyDescent="0.2">
      <c r="A15" s="375">
        <v>1987</v>
      </c>
      <c r="B15" s="376">
        <v>250</v>
      </c>
      <c r="C15" s="376" t="s">
        <v>313</v>
      </c>
      <c r="D15" s="376">
        <v>300</v>
      </c>
      <c r="E15" s="376">
        <v>300</v>
      </c>
      <c r="F15" s="376">
        <v>370</v>
      </c>
      <c r="G15" s="357">
        <f t="shared" si="0"/>
        <v>1220</v>
      </c>
      <c r="H15" s="358">
        <f>1-(C$55)</f>
        <v>0.98479011579332021</v>
      </c>
      <c r="I15" s="357">
        <f t="shared" si="1"/>
        <v>1238.842653307097</v>
      </c>
      <c r="J15" s="377">
        <f t="shared" si="2"/>
        <v>1238.842653307097</v>
      </c>
      <c r="L15" s="360">
        <v>1286.9373687755021</v>
      </c>
      <c r="M15" s="360"/>
      <c r="N15" s="361" t="s">
        <v>309</v>
      </c>
      <c r="O15" s="317" t="s">
        <v>312</v>
      </c>
      <c r="Q15" s="343"/>
      <c r="R15" s="291"/>
      <c r="S15" s="291"/>
      <c r="T15" s="291"/>
      <c r="U15" s="291"/>
      <c r="V15" s="291"/>
      <c r="W15" s="291"/>
      <c r="X15" s="291"/>
      <c r="Y15" s="363"/>
      <c r="Z15" s="363"/>
      <c r="AA15" s="291"/>
      <c r="AB15" s="291"/>
      <c r="AC15" s="369"/>
      <c r="AD15" s="291"/>
      <c r="AE15" s="291"/>
      <c r="AI15" s="371"/>
      <c r="AJ15" s="345"/>
      <c r="AK15" s="372"/>
      <c r="AL15" s="373"/>
      <c r="AN15" s="296"/>
      <c r="AO15" s="296"/>
      <c r="AP15" s="296"/>
      <c r="AQ15" s="365"/>
      <c r="AR15" s="296"/>
      <c r="AS15" s="296"/>
      <c r="AT15" s="296"/>
      <c r="AU15" s="296"/>
      <c r="AV15" s="296"/>
      <c r="AW15" s="296"/>
      <c r="AY15" s="366"/>
      <c r="BA15" s="306"/>
      <c r="BB15" s="307"/>
      <c r="BH15" s="370">
        <f t="shared" si="3"/>
        <v>350.76133527910753</v>
      </c>
      <c r="BJ15" s="370">
        <f t="shared" si="4"/>
        <v>300</v>
      </c>
      <c r="BM15" s="346"/>
      <c r="BN15" s="347"/>
      <c r="BP15" s="294"/>
      <c r="BQ15" s="294"/>
      <c r="BR15" s="294"/>
      <c r="BS15" s="294"/>
      <c r="BT15" s="294"/>
      <c r="BW15" s="294"/>
      <c r="BX15" s="294"/>
      <c r="BY15" s="294"/>
      <c r="BZ15" s="294"/>
      <c r="CA15" s="294"/>
      <c r="CB15" s="367">
        <v>1987</v>
      </c>
      <c r="CC15" s="348"/>
      <c r="CD15" s="348"/>
      <c r="CE15" s="348"/>
      <c r="CF15" s="348"/>
      <c r="CG15" s="348"/>
      <c r="CH15" s="349"/>
      <c r="CI15" s="350"/>
      <c r="CJ15" s="351"/>
      <c r="CK15" s="352"/>
      <c r="CL15" s="353"/>
      <c r="CN15" s="338"/>
      <c r="CO15" s="338"/>
      <c r="CP15" s="338"/>
      <c r="CQ15" s="294"/>
      <c r="CR15" s="294"/>
      <c r="CS15" s="294"/>
      <c r="CT15" s="294"/>
      <c r="CU15" s="294"/>
    </row>
    <row r="16" spans="1:120" x14ac:dyDescent="0.2">
      <c r="A16" s="375">
        <v>1988</v>
      </c>
      <c r="B16" s="376">
        <v>250</v>
      </c>
      <c r="C16" s="376"/>
      <c r="D16" s="376">
        <v>300</v>
      </c>
      <c r="E16" s="376">
        <v>300</v>
      </c>
      <c r="F16" s="376">
        <v>100</v>
      </c>
      <c r="G16" s="357">
        <f t="shared" si="0"/>
        <v>950</v>
      </c>
      <c r="H16" s="358">
        <f>1-(C$55)</f>
        <v>0.98479011579332021</v>
      </c>
      <c r="I16" s="357">
        <f t="shared" si="1"/>
        <v>964.67255790306729</v>
      </c>
      <c r="J16" s="377">
        <f t="shared" si="2"/>
        <v>964.67255790306729</v>
      </c>
      <c r="L16" s="360">
        <v>1002.1233609317435</v>
      </c>
      <c r="M16" s="360"/>
      <c r="N16" s="361" t="s">
        <v>309</v>
      </c>
      <c r="O16" s="317" t="s">
        <v>312</v>
      </c>
      <c r="Q16" s="343"/>
      <c r="R16" s="291"/>
      <c r="S16" s="291"/>
      <c r="T16" s="291"/>
      <c r="U16" s="291"/>
      <c r="V16" s="291"/>
      <c r="W16" s="291"/>
      <c r="X16" s="291"/>
      <c r="Y16" s="363"/>
      <c r="Z16" s="363"/>
      <c r="AA16" s="291"/>
      <c r="AB16" s="291"/>
      <c r="AC16" s="369"/>
      <c r="AD16" s="291"/>
      <c r="AE16" s="291"/>
      <c r="AI16" s="371"/>
      <c r="AJ16" s="345"/>
      <c r="AK16" s="372"/>
      <c r="AL16" s="373"/>
      <c r="AN16" s="296"/>
      <c r="AO16" s="296"/>
      <c r="AP16" s="296"/>
      <c r="AQ16" s="365"/>
      <c r="AR16" s="296"/>
      <c r="AS16" s="296"/>
      <c r="AT16" s="296"/>
      <c r="AU16" s="296"/>
      <c r="AV16" s="296"/>
      <c r="AW16" s="296"/>
      <c r="AY16" s="366"/>
      <c r="BA16" s="306"/>
      <c r="BB16" s="307"/>
      <c r="BH16" s="370">
        <f t="shared" si="3"/>
        <v>273.13382665176402</v>
      </c>
      <c r="BJ16" s="370">
        <f t="shared" si="4"/>
        <v>300</v>
      </c>
      <c r="BM16" s="346"/>
      <c r="BN16" s="347"/>
      <c r="BP16" s="294"/>
      <c r="BQ16" s="294"/>
      <c r="BR16" s="294"/>
      <c r="BS16" s="294"/>
      <c r="BT16" s="294"/>
      <c r="BW16" s="294"/>
      <c r="BX16" s="294"/>
      <c r="BY16" s="294"/>
      <c r="BZ16" s="294"/>
      <c r="CA16" s="294"/>
      <c r="CB16" s="367">
        <v>1988</v>
      </c>
      <c r="CC16" s="348"/>
      <c r="CD16" s="348"/>
      <c r="CE16" s="348"/>
      <c r="CF16" s="348"/>
      <c r="CG16" s="348"/>
      <c r="CH16" s="349"/>
      <c r="CI16" s="350"/>
      <c r="CJ16" s="351"/>
      <c r="CK16" s="352"/>
      <c r="CL16" s="353"/>
      <c r="CN16" s="338"/>
      <c r="CO16" s="338"/>
      <c r="CP16" s="338"/>
      <c r="CQ16" s="294"/>
      <c r="CR16" s="294"/>
      <c r="CS16" s="294"/>
      <c r="CT16" s="294"/>
      <c r="CU16" s="294"/>
    </row>
    <row r="17" spans="1:120" x14ac:dyDescent="0.2">
      <c r="A17" s="375">
        <v>1989</v>
      </c>
      <c r="B17" s="376">
        <v>175</v>
      </c>
      <c r="C17" s="376"/>
      <c r="D17" s="376">
        <v>250</v>
      </c>
      <c r="E17" s="376">
        <v>200</v>
      </c>
      <c r="F17" s="376">
        <v>50</v>
      </c>
      <c r="G17" s="357">
        <f t="shared" si="0"/>
        <v>675</v>
      </c>
      <c r="H17" s="358">
        <f>1-(C$55)</f>
        <v>0.98479011579332021</v>
      </c>
      <c r="I17" s="357">
        <f t="shared" si="1"/>
        <v>685.42523851007411</v>
      </c>
      <c r="J17" s="377">
        <f t="shared" si="2"/>
        <v>685.42523851007411</v>
      </c>
      <c r="L17" s="360">
        <v>712.03501960939661</v>
      </c>
      <c r="M17" s="360"/>
      <c r="N17" s="361" t="s">
        <v>309</v>
      </c>
      <c r="O17" s="317" t="s">
        <v>312</v>
      </c>
      <c r="Q17" s="343"/>
      <c r="R17" s="291"/>
      <c r="S17" s="291"/>
      <c r="T17" s="291"/>
      <c r="U17" s="291"/>
      <c r="V17" s="291"/>
      <c r="W17" s="291"/>
      <c r="X17" s="291"/>
      <c r="Y17" s="363"/>
      <c r="Z17" s="363"/>
      <c r="AA17" s="291"/>
      <c r="AB17" s="291"/>
      <c r="AC17" s="369"/>
      <c r="AD17" s="291"/>
      <c r="AE17" s="291"/>
      <c r="AI17" s="371"/>
      <c r="AJ17" s="345"/>
      <c r="AK17" s="372"/>
      <c r="AL17" s="373"/>
      <c r="AN17" s="296"/>
      <c r="AO17" s="296"/>
      <c r="AP17" s="296"/>
      <c r="AQ17" s="365"/>
      <c r="AR17" s="296"/>
      <c r="AS17" s="296"/>
      <c r="AT17" s="296"/>
      <c r="AU17" s="296"/>
      <c r="AV17" s="296"/>
      <c r="AW17" s="296"/>
      <c r="AY17" s="366"/>
      <c r="BA17" s="306"/>
      <c r="BB17" s="307"/>
      <c r="BH17" s="370">
        <f t="shared" si="3"/>
        <v>194.06877156835864</v>
      </c>
      <c r="BJ17" s="370">
        <f t="shared" si="4"/>
        <v>250</v>
      </c>
      <c r="BM17" s="346"/>
      <c r="BN17" s="347"/>
      <c r="BP17" s="294"/>
      <c r="BQ17" s="294"/>
      <c r="BR17" s="294"/>
      <c r="BS17" s="294"/>
      <c r="BT17" s="294"/>
      <c r="BW17" s="294"/>
      <c r="BX17" s="294"/>
      <c r="BY17" s="294"/>
      <c r="BZ17" s="294"/>
      <c r="CA17" s="294"/>
      <c r="CB17" s="367">
        <v>1989</v>
      </c>
      <c r="CC17" s="348"/>
      <c r="CD17" s="348"/>
      <c r="CE17" s="348"/>
      <c r="CF17" s="348"/>
      <c r="CG17" s="348"/>
      <c r="CH17" s="349"/>
      <c r="CI17" s="350"/>
      <c r="CJ17" s="351"/>
      <c r="CK17" s="352"/>
      <c r="CL17" s="353"/>
      <c r="CN17" s="338"/>
      <c r="CO17" s="338"/>
      <c r="CP17" s="338"/>
      <c r="CQ17" s="294"/>
      <c r="CR17" s="294"/>
      <c r="CS17" s="294"/>
      <c r="CT17" s="294"/>
      <c r="CU17" s="294"/>
    </row>
    <row r="18" spans="1:120" x14ac:dyDescent="0.2">
      <c r="A18" s="375">
        <v>1990</v>
      </c>
      <c r="B18" s="376">
        <v>400</v>
      </c>
      <c r="C18" s="376">
        <v>50</v>
      </c>
      <c r="D18" s="376">
        <v>800</v>
      </c>
      <c r="E18" s="376">
        <v>350</v>
      </c>
      <c r="F18" s="376">
        <v>40</v>
      </c>
      <c r="G18" s="357">
        <f t="shared" si="0"/>
        <v>1640</v>
      </c>
      <c r="H18" s="358">
        <f>1</f>
        <v>1</v>
      </c>
      <c r="I18" s="357">
        <f t="shared" si="1"/>
        <v>1640</v>
      </c>
      <c r="J18" s="377">
        <f t="shared" si="2"/>
        <v>1640</v>
      </c>
      <c r="L18" s="360">
        <v>1640</v>
      </c>
      <c r="M18" s="360"/>
      <c r="N18" s="361" t="s">
        <v>309</v>
      </c>
      <c r="O18" s="317" t="s">
        <v>312</v>
      </c>
      <c r="Q18" s="343"/>
      <c r="R18" s="291"/>
      <c r="S18" s="291"/>
      <c r="T18" s="291"/>
      <c r="U18" s="291"/>
      <c r="V18" s="291"/>
      <c r="W18" s="291"/>
      <c r="X18" s="291"/>
      <c r="Y18" s="363"/>
      <c r="Z18" s="363"/>
      <c r="AA18" s="291"/>
      <c r="AB18" s="291"/>
      <c r="AC18" s="369"/>
      <c r="AD18" s="291"/>
      <c r="AE18" s="291"/>
      <c r="AI18" s="371"/>
      <c r="AJ18" s="345"/>
      <c r="AK18" s="372"/>
      <c r="AL18" s="373"/>
      <c r="AN18" s="296"/>
      <c r="AO18" s="296"/>
      <c r="AP18" s="296"/>
      <c r="AQ18" s="365"/>
      <c r="AR18" s="296"/>
      <c r="AS18" s="296"/>
      <c r="AT18" s="296"/>
      <c r="AU18" s="296"/>
      <c r="AV18" s="296"/>
      <c r="AW18" s="296"/>
      <c r="AY18" s="366"/>
      <c r="BA18" s="306"/>
      <c r="BB18" s="307"/>
      <c r="BH18" s="370">
        <f t="shared" si="3"/>
        <v>464.34354542290515</v>
      </c>
      <c r="BJ18" s="370">
        <f t="shared" si="4"/>
        <v>800</v>
      </c>
      <c r="BM18" s="346"/>
      <c r="BN18" s="347"/>
      <c r="BP18" s="294"/>
      <c r="BQ18" s="294"/>
      <c r="BR18" s="294"/>
      <c r="BS18" s="294"/>
      <c r="BT18" s="294"/>
      <c r="BW18" s="294"/>
      <c r="BX18" s="294"/>
      <c r="BY18" s="294"/>
      <c r="BZ18" s="294"/>
      <c r="CA18" s="294"/>
      <c r="CB18" s="367">
        <v>1990</v>
      </c>
      <c r="CC18" s="348"/>
      <c r="CD18" s="348"/>
      <c r="CE18" s="348"/>
      <c r="CF18" s="348"/>
      <c r="CG18" s="348"/>
      <c r="CH18" s="349"/>
      <c r="CI18" s="350"/>
      <c r="CJ18" s="351"/>
      <c r="CK18" s="352"/>
      <c r="CL18" s="353"/>
      <c r="CN18" s="338"/>
      <c r="CO18" s="338"/>
      <c r="CP18" s="338"/>
      <c r="CQ18" s="294"/>
      <c r="CR18" s="294"/>
      <c r="CS18" s="294"/>
      <c r="CT18" s="294"/>
      <c r="CU18" s="294"/>
    </row>
    <row r="19" spans="1:120" x14ac:dyDescent="0.2">
      <c r="A19" s="375">
        <v>1991</v>
      </c>
      <c r="B19" s="376">
        <v>67</v>
      </c>
      <c r="C19" s="376" t="s">
        <v>314</v>
      </c>
      <c r="D19" s="376" t="s">
        <v>311</v>
      </c>
      <c r="E19" s="376">
        <v>300</v>
      </c>
      <c r="F19" s="376">
        <v>100</v>
      </c>
      <c r="G19" s="357">
        <f t="shared" si="0"/>
        <v>467</v>
      </c>
      <c r="H19" s="358">
        <f>1-(C$55+D$55)</f>
        <v>0.60805191926897439</v>
      </c>
      <c r="I19" s="357">
        <f t="shared" si="1"/>
        <v>768.02652076396214</v>
      </c>
      <c r="J19" s="377">
        <f t="shared" si="2"/>
        <v>768.02652076396214</v>
      </c>
      <c r="L19" s="360">
        <v>679.41189968857566</v>
      </c>
      <c r="M19" s="360"/>
      <c r="N19" s="361" t="s">
        <v>309</v>
      </c>
      <c r="O19" s="317" t="s">
        <v>312</v>
      </c>
      <c r="Q19" s="343"/>
      <c r="R19" s="291"/>
      <c r="S19" s="291"/>
      <c r="T19" s="291"/>
      <c r="U19" s="291"/>
      <c r="V19" s="291"/>
      <c r="W19" s="291"/>
      <c r="X19" s="291"/>
      <c r="Y19" s="363"/>
      <c r="Z19" s="363"/>
      <c r="AA19" s="291"/>
      <c r="AB19" s="291"/>
      <c r="AC19" s="369"/>
      <c r="AD19" s="291"/>
      <c r="AE19" s="291"/>
      <c r="AI19" s="371"/>
      <c r="AJ19" s="345"/>
      <c r="AK19" s="372"/>
      <c r="AL19" s="373"/>
      <c r="AN19" s="296"/>
      <c r="AO19" s="296"/>
      <c r="AP19" s="296"/>
      <c r="AQ19" s="365"/>
      <c r="AR19" s="296"/>
      <c r="AS19" s="296"/>
      <c r="AT19" s="296"/>
      <c r="AU19" s="296"/>
      <c r="AV19" s="296"/>
      <c r="AW19" s="296"/>
      <c r="AY19" s="366"/>
      <c r="BA19" s="306"/>
      <c r="BB19" s="307"/>
      <c r="BH19" s="370">
        <f t="shared" si="3"/>
        <v>217.45619367704674</v>
      </c>
      <c r="BJ19" s="370">
        <f>E19</f>
        <v>300</v>
      </c>
      <c r="BM19" s="346"/>
      <c r="BN19" s="347"/>
      <c r="BP19" s="294"/>
      <c r="BQ19" s="294"/>
      <c r="BR19" s="294"/>
      <c r="BS19" s="294"/>
      <c r="BT19" s="294"/>
      <c r="BW19" s="294"/>
      <c r="BX19" s="294"/>
      <c r="BY19" s="294"/>
      <c r="BZ19" s="294"/>
      <c r="CA19" s="294"/>
      <c r="CB19" s="367">
        <v>1991</v>
      </c>
      <c r="CC19" s="348"/>
      <c r="CD19" s="348"/>
      <c r="CE19" s="348"/>
      <c r="CF19" s="348"/>
      <c r="CG19" s="348"/>
      <c r="CH19" s="349"/>
      <c r="CI19" s="350"/>
      <c r="CJ19" s="351"/>
      <c r="CK19" s="352"/>
      <c r="CL19" s="353"/>
      <c r="CN19" s="338"/>
      <c r="CO19" s="338"/>
      <c r="CP19" s="338"/>
      <c r="CQ19" s="294"/>
      <c r="CR19" s="294"/>
      <c r="CS19" s="294"/>
      <c r="CT19" s="294"/>
      <c r="CU19" s="294"/>
    </row>
    <row r="20" spans="1:120" x14ac:dyDescent="0.2">
      <c r="A20" s="375">
        <v>1992</v>
      </c>
      <c r="B20" s="376">
        <v>250</v>
      </c>
      <c r="C20" s="376">
        <v>10</v>
      </c>
      <c r="D20" s="376">
        <v>40</v>
      </c>
      <c r="E20" s="376">
        <v>295</v>
      </c>
      <c r="F20" s="376">
        <v>10</v>
      </c>
      <c r="G20" s="357">
        <f t="shared" si="0"/>
        <v>605</v>
      </c>
      <c r="H20" s="358">
        <f>1</f>
        <v>1</v>
      </c>
      <c r="I20" s="357">
        <f>G20/H20</f>
        <v>605</v>
      </c>
      <c r="J20" s="377">
        <f>I20</f>
        <v>605</v>
      </c>
      <c r="L20" s="360">
        <v>605</v>
      </c>
      <c r="M20" s="360"/>
      <c r="N20" s="361" t="s">
        <v>309</v>
      </c>
      <c r="O20" s="317" t="s">
        <v>312</v>
      </c>
      <c r="Q20" s="354">
        <f>A20</f>
        <v>1992</v>
      </c>
      <c r="R20" s="291">
        <f t="shared" ref="R20:R50" si="5">COUNT(B20:F20)</f>
        <v>5</v>
      </c>
      <c r="S20" s="362">
        <f>'A6-Chin (NEW2+Khutz)'!C13</f>
        <v>16808</v>
      </c>
      <c r="T20" s="362">
        <f>IF(R20&gt;=3,S20+J20,"")</f>
        <v>17413</v>
      </c>
      <c r="U20" s="378">
        <f>IF(R20&gt;=3,J20/T20,AVERAGE(U$20:U$24))</f>
        <v>3.474415666456096E-2</v>
      </c>
      <c r="V20" s="379">
        <f>IF(T20="",S20/(1-U20)-S20,T20*U20)</f>
        <v>605</v>
      </c>
      <c r="W20" s="379">
        <f>J20</f>
        <v>605</v>
      </c>
      <c r="X20" s="379">
        <f t="shared" ref="X20:X53" si="6">AC20/Y20</f>
        <v>671.73076923076928</v>
      </c>
      <c r="Y20" s="380">
        <f t="shared" ref="Y20:Y29" si="7">AV$73</f>
        <v>2.3333277671039006</v>
      </c>
      <c r="Z20" s="380"/>
      <c r="AA20" s="379">
        <f t="shared" ref="AA20:AB35" si="8">V20*$Y20</f>
        <v>1411.6632990978599</v>
      </c>
      <c r="AB20" s="379">
        <f t="shared" si="8"/>
        <v>1411.6632990978599</v>
      </c>
      <c r="AC20" s="381">
        <f t="shared" ref="AC20:AC43" si="9">CH20</f>
        <v>1567.3680558642163</v>
      </c>
      <c r="AD20" s="382"/>
      <c r="AE20" s="383"/>
      <c r="AI20" s="384">
        <f>V20</f>
        <v>605</v>
      </c>
      <c r="AJ20" s="345">
        <v>275</v>
      </c>
      <c r="AK20" s="372">
        <f t="shared" ref="AK20:AK52" si="10">IF(AJ20&gt;0,AJ20/(AJ20+AI20),"")</f>
        <v>0.3125</v>
      </c>
      <c r="AL20" s="373">
        <f>IF(AJ20&gt;0,(AJ20+AI20)*Y20,AA20/(1-$AK$54))</f>
        <v>2053.3284350514323</v>
      </c>
      <c r="AN20" s="296"/>
      <c r="AO20" s="296"/>
      <c r="AP20" s="296"/>
      <c r="AQ20" s="365"/>
      <c r="AR20" s="296"/>
      <c r="AS20" s="296"/>
      <c r="AT20" s="296"/>
      <c r="AU20" s="296"/>
      <c r="AV20" s="296"/>
      <c r="AW20" s="296"/>
      <c r="AY20" s="366"/>
      <c r="BA20" s="306"/>
      <c r="BB20" s="307"/>
      <c r="BH20" s="370">
        <f t="shared" si="3"/>
        <v>171.29746645174245</v>
      </c>
      <c r="BJ20" s="370">
        <f>D20</f>
        <v>40</v>
      </c>
      <c r="BM20" s="385">
        <f>AB20</f>
        <v>1411.6632990978599</v>
      </c>
      <c r="BN20" s="386">
        <f t="shared" ref="BN20:BN38" si="11">AC20-BM20</f>
        <v>155.70475676635647</v>
      </c>
      <c r="BP20" s="387">
        <f t="shared" ref="BP20:BQ50" si="12">A20</f>
        <v>1992</v>
      </c>
      <c r="BQ20" s="387">
        <f t="shared" si="12"/>
        <v>250</v>
      </c>
      <c r="BR20" s="387">
        <f t="shared" ref="BR20:BT50" si="13">D20</f>
        <v>40</v>
      </c>
      <c r="BS20" s="387">
        <f t="shared" si="13"/>
        <v>295</v>
      </c>
      <c r="BT20" s="387">
        <f t="shared" si="13"/>
        <v>10</v>
      </c>
      <c r="BV20" s="388">
        <f>BP20</f>
        <v>1992</v>
      </c>
      <c r="BW20" s="389">
        <f>IF((ISERROR(BQ20)),"",BQ20*$Y20)</f>
        <v>583.33194177597511</v>
      </c>
      <c r="BX20" s="389">
        <f t="shared" ref="BX20:BZ34" si="14">IF((ISERROR(BR20)),"",BR20*$Y20)</f>
        <v>93.333110684156026</v>
      </c>
      <c r="BY20" s="389">
        <f t="shared" si="14"/>
        <v>688.33169129565067</v>
      </c>
      <c r="BZ20" s="389">
        <f t="shared" si="14"/>
        <v>23.333277671039006</v>
      </c>
      <c r="CA20" s="294"/>
      <c r="CB20" s="390">
        <v>1992</v>
      </c>
      <c r="CC20" s="391">
        <f t="shared" ref="CC20:CF45" si="15">IF(BW20="","",BW20/CC$2)</f>
        <v>0.32407330098665282</v>
      </c>
      <c r="CD20" s="391">
        <f t="shared" si="15"/>
        <v>0.10370345631572891</v>
      </c>
      <c r="CE20" s="391">
        <f t="shared" si="15"/>
        <v>0.86041461411956333</v>
      </c>
      <c r="CF20" s="391">
        <f t="shared" si="15"/>
        <v>1.7948675131568465E-2</v>
      </c>
      <c r="CG20" s="392">
        <f>AVERAGE(CC20:CF20)</f>
        <v>0.32653501163837839</v>
      </c>
      <c r="CH20" s="393">
        <f>IF($CG20&gt;1,$CG$2*1,$CG$2*$CG20)</f>
        <v>1567.3680558642163</v>
      </c>
      <c r="CI20" s="394">
        <f>$CG$2*$CG20</f>
        <v>1567.3680558642163</v>
      </c>
      <c r="CJ20" s="395">
        <f>CI20*CN20</f>
        <v>1567.3680558642163</v>
      </c>
      <c r="CK20" s="396">
        <f t="shared" ref="CK20:CK38" si="16">AB20</f>
        <v>1411.6632990978599</v>
      </c>
      <c r="CL20" s="397">
        <f t="shared" ref="CL20:CL28" si="17">S20*U21</f>
        <v>514.03913038066605</v>
      </c>
      <c r="CN20" s="398">
        <f>CH20/CI20</f>
        <v>1</v>
      </c>
      <c r="CO20" s="399">
        <f>CK20/CJ20</f>
        <v>0.90065845977669623</v>
      </c>
      <c r="CP20" s="398">
        <f>CL20/CJ20</f>
        <v>0.32796325563572548</v>
      </c>
      <c r="CQ20" s="400"/>
      <c r="CR20" s="400"/>
      <c r="CS20" s="400"/>
      <c r="CT20" s="400"/>
      <c r="CU20" s="400"/>
      <c r="CX20" s="311"/>
      <c r="CY20" s="311"/>
      <c r="CZ20" s="311"/>
      <c r="DA20" s="311"/>
      <c r="DB20" s="311"/>
      <c r="DC20" s="311"/>
      <c r="DE20" s="401">
        <f>CH20/(CH20+$S20)</f>
        <v>8.5297233290737545E-2</v>
      </c>
      <c r="DF20" s="401">
        <f t="shared" ref="DF20:DG38" si="18">CK20/(CK20+$S20)</f>
        <v>7.7480207835001966E-2</v>
      </c>
      <c r="DG20" s="402"/>
      <c r="DH20" s="403">
        <f>DG20-DE20</f>
        <v>-8.5297233290737545E-2</v>
      </c>
      <c r="DI20" s="370">
        <f t="shared" ref="DI20:DI38" si="19">CH20-CL20</f>
        <v>1053.3289254835504</v>
      </c>
      <c r="DK20" s="296">
        <f t="shared" ref="DK20:DK50" si="20">A20</f>
        <v>1992</v>
      </c>
      <c r="DL20" s="404">
        <f t="shared" ref="DL20:DL38" si="21">CE20</f>
        <v>0.86041461411956333</v>
      </c>
      <c r="DM20" s="405">
        <f t="shared" ref="DM20:DM38" si="22">$CG$2*$DL20</f>
        <v>4129.990147773904</v>
      </c>
      <c r="DN20" s="406">
        <f>DM20/(DM20+$S20)</f>
        <v>0.19724864318999588</v>
      </c>
      <c r="DO20" s="407">
        <f t="shared" ref="DO20:DP38" si="23">CK20</f>
        <v>1411.6632990978599</v>
      </c>
      <c r="DP20" s="407">
        <f t="shared" si="23"/>
        <v>514.03913038066605</v>
      </c>
    </row>
    <row r="21" spans="1:120" x14ac:dyDescent="0.2">
      <c r="A21" s="375">
        <v>1993</v>
      </c>
      <c r="B21" s="376">
        <v>226</v>
      </c>
      <c r="C21" s="376" t="s">
        <v>314</v>
      </c>
      <c r="D21" s="376" t="s">
        <v>311</v>
      </c>
      <c r="E21" s="376">
        <v>200</v>
      </c>
      <c r="F21" s="376">
        <v>50</v>
      </c>
      <c r="G21" s="357">
        <f t="shared" si="0"/>
        <v>476</v>
      </c>
      <c r="H21" s="358">
        <f>1-(C$55+D$55)</f>
        <v>0.60805191926897439</v>
      </c>
      <c r="I21" s="357">
        <f t="shared" ref="I21:I53" si="24">G21/H21</f>
        <v>782.82788840181149</v>
      </c>
      <c r="J21" s="377">
        <f t="shared" ref="J21:J53" si="25">I21</f>
        <v>782.82788840181149</v>
      </c>
      <c r="L21" s="360">
        <v>692.50549090313064</v>
      </c>
      <c r="M21" s="360"/>
      <c r="N21" s="361" t="s">
        <v>309</v>
      </c>
      <c r="O21" s="317" t="s">
        <v>312</v>
      </c>
      <c r="Q21" s="354">
        <f t="shared" ref="Q21:Q53" si="26">A21</f>
        <v>1993</v>
      </c>
      <c r="R21" s="291">
        <f t="shared" si="5"/>
        <v>3</v>
      </c>
      <c r="S21" s="362">
        <f>'A6-Chin (NEW2+Khutz)'!C14</f>
        <v>24814</v>
      </c>
      <c r="T21" s="362">
        <f>IF(R21&gt;=3,S21+J21,"")</f>
        <v>25596.827888401811</v>
      </c>
      <c r="U21" s="378">
        <f t="shared" ref="U21:U28" si="27">IF(R21&gt;=3,J21/T21,AVERAGE(U$20:U$24))</f>
        <v>3.0583003949349478E-2</v>
      </c>
      <c r="V21" s="379">
        <f t="shared" ref="V21:V53" si="28">IF(T21="",S21/(1-U21)-S21,T21*U21)</f>
        <v>782.82788840181149</v>
      </c>
      <c r="W21" s="379">
        <f t="shared" ref="W21:W53" si="29">J21</f>
        <v>782.82788840181149</v>
      </c>
      <c r="X21" s="379">
        <f t="shared" si="6"/>
        <v>662.42735042735035</v>
      </c>
      <c r="Y21" s="380">
        <f t="shared" si="7"/>
        <v>2.3333277671039006</v>
      </c>
      <c r="Z21" s="380"/>
      <c r="AA21" s="379">
        <f t="shared" si="8"/>
        <v>1826.5940488712602</v>
      </c>
      <c r="AB21" s="379">
        <f t="shared" si="8"/>
        <v>1826.5940488712602</v>
      </c>
      <c r="AC21" s="381">
        <f t="shared" si="9"/>
        <v>1545.6601304412025</v>
      </c>
      <c r="AD21" s="382"/>
      <c r="AE21" s="383"/>
      <c r="AI21" s="384">
        <f t="shared" ref="AI21:AI52" si="30">V21</f>
        <v>782.82788840181149</v>
      </c>
      <c r="AJ21" s="345">
        <v>200</v>
      </c>
      <c r="AK21" s="372">
        <f t="shared" si="10"/>
        <v>0.20349442904517337</v>
      </c>
      <c r="AL21" s="373">
        <f t="shared" ref="AL21:AL52" si="31">IF(AJ21&gt;0,(AJ21+AI21)*Y21,AA21/(1-$AK$54))</f>
        <v>2293.2596022920402</v>
      </c>
      <c r="AN21" s="296"/>
      <c r="AO21" s="296"/>
      <c r="AP21" s="296"/>
      <c r="AQ21" s="365"/>
      <c r="AR21" s="296"/>
      <c r="AS21" s="296"/>
      <c r="AT21" s="296"/>
      <c r="AU21" s="296"/>
      <c r="AV21" s="296"/>
      <c r="AW21" s="296"/>
      <c r="AY21" s="366"/>
      <c r="BA21" s="306"/>
      <c r="BB21" s="307"/>
      <c r="BH21" s="370">
        <f t="shared" si="3"/>
        <v>221.64699826611186</v>
      </c>
      <c r="BJ21" s="370">
        <f>E21</f>
        <v>200</v>
      </c>
      <c r="BM21" s="385">
        <f>AB21</f>
        <v>1826.5940488712602</v>
      </c>
      <c r="BN21" s="386">
        <f t="shared" si="11"/>
        <v>-280.9339184300577</v>
      </c>
      <c r="BP21" s="387">
        <f t="shared" si="12"/>
        <v>1993</v>
      </c>
      <c r="BQ21" s="387">
        <f t="shared" si="12"/>
        <v>226</v>
      </c>
      <c r="BR21" s="387" t="str">
        <f t="shared" si="13"/>
        <v xml:space="preserve">     UNK</v>
      </c>
      <c r="BS21" s="387">
        <f t="shared" si="13"/>
        <v>200</v>
      </c>
      <c r="BT21" s="387">
        <f t="shared" si="13"/>
        <v>50</v>
      </c>
      <c r="BV21" s="388">
        <f t="shared" ref="BV21:BV53" si="32">BP21</f>
        <v>1993</v>
      </c>
      <c r="BW21" s="389">
        <f>IF((ISERROR(BQ21)),"",BQ21*$Y21)</f>
        <v>527.3320753654815</v>
      </c>
      <c r="BX21" s="389"/>
      <c r="BY21" s="389">
        <f t="shared" si="14"/>
        <v>466.6655534207801</v>
      </c>
      <c r="BZ21" s="389">
        <f t="shared" si="14"/>
        <v>116.66638835519502</v>
      </c>
      <c r="CA21" s="294"/>
      <c r="CB21" s="390">
        <v>1993</v>
      </c>
      <c r="CC21" s="391">
        <f t="shared" si="15"/>
        <v>0.29296226409193415</v>
      </c>
      <c r="CD21" s="391" t="str">
        <f t="shared" si="15"/>
        <v/>
      </c>
      <c r="CE21" s="391">
        <f t="shared" si="15"/>
        <v>0.58333194177597514</v>
      </c>
      <c r="CF21" s="391">
        <f t="shared" si="15"/>
        <v>8.9743375657842323E-2</v>
      </c>
      <c r="CG21" s="392">
        <f t="shared" ref="CG21:CG53" si="33">AVERAGE(CC21:CF21)</f>
        <v>0.32201252717525053</v>
      </c>
      <c r="CH21" s="393">
        <f t="shared" ref="CH21:CH42" si="34">IF($CG21&gt;1,$CG$2*1,$CG$2*$CG21)</f>
        <v>1545.6601304412025</v>
      </c>
      <c r="CI21" s="394">
        <f t="shared" ref="CI21:CI53" si="35">$CG$2*$CG21</f>
        <v>1545.6601304412025</v>
      </c>
      <c r="CJ21" s="395">
        <f>CI21*CN21</f>
        <v>1545.6601304412025</v>
      </c>
      <c r="CK21" s="396">
        <f t="shared" si="16"/>
        <v>1826.5940488712602</v>
      </c>
      <c r="CL21" s="397">
        <f t="shared" si="17"/>
        <v>2266.4032113451422</v>
      </c>
      <c r="CN21" s="398">
        <f t="shared" ref="CN21:CN30" si="36">CH21/CI21</f>
        <v>1</v>
      </c>
      <c r="CO21" s="399">
        <f>CK21/CJ21</f>
        <v>1.1817565924728008</v>
      </c>
      <c r="CP21" s="398">
        <f t="shared" ref="CP21:CP28" si="37">CL21/CJ21</f>
        <v>1.4663011400172472</v>
      </c>
      <c r="CQ21" s="400"/>
      <c r="CR21" s="400"/>
      <c r="CS21" s="400"/>
      <c r="CT21" s="400"/>
      <c r="CU21" s="400"/>
      <c r="DE21" s="401">
        <f t="shared" ref="DE21:DE31" si="38">CH21/(CH21+S21)</f>
        <v>5.8637331543444735E-2</v>
      </c>
      <c r="DF21" s="401">
        <f t="shared" si="18"/>
        <v>6.856431375067823E-2</v>
      </c>
      <c r="DG21" s="402"/>
      <c r="DH21" s="403">
        <f t="shared" ref="DH21:DH43" si="39">DG21-DE21</f>
        <v>-5.8637331543444735E-2</v>
      </c>
      <c r="DI21" s="370">
        <f t="shared" si="19"/>
        <v>-720.7430809039397</v>
      </c>
      <c r="DK21" s="296">
        <f t="shared" si="20"/>
        <v>1993</v>
      </c>
      <c r="DL21" s="404">
        <f t="shared" si="21"/>
        <v>0.58333194177597514</v>
      </c>
      <c r="DM21" s="405">
        <f t="shared" si="22"/>
        <v>2799.9933205246807</v>
      </c>
      <c r="DN21" s="406">
        <f t="shared" ref="DN21:DN43" si="40">DM21/(DM21+$S21)</f>
        <v>0.10139762431402946</v>
      </c>
      <c r="DO21" s="407">
        <f t="shared" si="23"/>
        <v>1826.5940488712602</v>
      </c>
      <c r="DP21" s="407">
        <f t="shared" si="23"/>
        <v>2266.4032113451422</v>
      </c>
    </row>
    <row r="22" spans="1:120" x14ac:dyDescent="0.2">
      <c r="A22" s="375">
        <v>1994</v>
      </c>
      <c r="B22" s="376">
        <v>200</v>
      </c>
      <c r="C22" s="376" t="s">
        <v>315</v>
      </c>
      <c r="D22" s="376">
        <v>2000</v>
      </c>
      <c r="E22" s="376">
        <v>100</v>
      </c>
      <c r="F22" s="376">
        <v>40</v>
      </c>
      <c r="G22" s="357">
        <f t="shared" si="0"/>
        <v>2340</v>
      </c>
      <c r="H22" s="358">
        <f>1-(C$55)</f>
        <v>0.98479011579332021</v>
      </c>
      <c r="I22" s="357">
        <f t="shared" si="24"/>
        <v>2376.1408268349237</v>
      </c>
      <c r="J22" s="377">
        <f t="shared" si="25"/>
        <v>2376.1408268349237</v>
      </c>
      <c r="L22" s="360">
        <v>2468.3880679792419</v>
      </c>
      <c r="M22" s="360"/>
      <c r="N22" s="361" t="s">
        <v>309</v>
      </c>
      <c r="O22" s="317" t="s">
        <v>312</v>
      </c>
      <c r="Q22" s="354">
        <f t="shared" si="26"/>
        <v>1994</v>
      </c>
      <c r="R22" s="291">
        <f t="shared" si="5"/>
        <v>4</v>
      </c>
      <c r="S22" s="362">
        <f>'A6-Chin (NEW2+Khutz)'!C15</f>
        <v>23639.335228763888</v>
      </c>
      <c r="T22" s="362">
        <f t="shared" ref="T22:T50" si="41">IF(R22&gt;=3,S22+J22,"")</f>
        <v>26015.47605559881</v>
      </c>
      <c r="U22" s="378">
        <f t="shared" si="27"/>
        <v>9.1335665807412841E-2</v>
      </c>
      <c r="V22" s="379">
        <f t="shared" si="28"/>
        <v>2376.1408268349237</v>
      </c>
      <c r="W22" s="379">
        <f t="shared" si="29"/>
        <v>2376.1408268349237</v>
      </c>
      <c r="X22" s="379">
        <f t="shared" si="6"/>
        <v>2057.1477645241862</v>
      </c>
      <c r="Y22" s="380">
        <f t="shared" si="7"/>
        <v>2.3333277671039006</v>
      </c>
      <c r="Z22" s="380"/>
      <c r="AA22" s="379">
        <f t="shared" si="8"/>
        <v>5544.3153698031483</v>
      </c>
      <c r="AB22" s="379">
        <f t="shared" si="8"/>
        <v>5544.3153698031483</v>
      </c>
      <c r="AC22" s="381">
        <f t="shared" si="9"/>
        <v>4800</v>
      </c>
      <c r="AD22" s="382"/>
      <c r="AE22" s="383"/>
      <c r="AI22" s="384">
        <f t="shared" si="30"/>
        <v>2376.1408268349237</v>
      </c>
      <c r="AJ22" s="345">
        <v>100</v>
      </c>
      <c r="AK22" s="372">
        <f t="shared" si="10"/>
        <v>4.038542514071098E-2</v>
      </c>
      <c r="AL22" s="373">
        <f t="shared" si="31"/>
        <v>5777.6481465135384</v>
      </c>
      <c r="AN22" s="296"/>
      <c r="AO22" s="296"/>
      <c r="AP22" s="296"/>
      <c r="AQ22" s="365"/>
      <c r="AR22" s="296"/>
      <c r="AS22" s="296"/>
      <c r="AT22" s="296"/>
      <c r="AU22" s="296"/>
      <c r="AV22" s="296"/>
      <c r="AW22" s="296"/>
      <c r="AY22" s="366"/>
      <c r="BA22" s="306"/>
      <c r="BB22" s="307"/>
      <c r="BH22" s="370">
        <f t="shared" si="3"/>
        <v>672.77174143697675</v>
      </c>
      <c r="BJ22" s="370">
        <f>D22</f>
        <v>2000</v>
      </c>
      <c r="BM22" s="385">
        <f>AB22</f>
        <v>5544.3153698031483</v>
      </c>
      <c r="BN22" s="386">
        <f t="shared" si="11"/>
        <v>-744.31536980314831</v>
      </c>
      <c r="BP22" s="387">
        <f t="shared" si="12"/>
        <v>1994</v>
      </c>
      <c r="BQ22" s="387">
        <f t="shared" si="12"/>
        <v>200</v>
      </c>
      <c r="BR22" s="387">
        <f t="shared" si="13"/>
        <v>2000</v>
      </c>
      <c r="BS22" s="387">
        <f t="shared" si="13"/>
        <v>100</v>
      </c>
      <c r="BT22" s="387">
        <f t="shared" si="13"/>
        <v>40</v>
      </c>
      <c r="BV22" s="388">
        <f t="shared" si="32"/>
        <v>1994</v>
      </c>
      <c r="BW22" s="389">
        <f>IF((ISERROR(BQ22)),"",BQ22*$Y22)</f>
        <v>466.6655534207801</v>
      </c>
      <c r="BX22" s="389">
        <f>IF((ISERROR(BR22)),"",BR22*$Y22)</f>
        <v>4666.6555342078009</v>
      </c>
      <c r="BY22" s="389">
        <f t="shared" si="14"/>
        <v>233.33277671039005</v>
      </c>
      <c r="BZ22" s="389">
        <f t="shared" si="14"/>
        <v>93.333110684156026</v>
      </c>
      <c r="CA22" s="294"/>
      <c r="CB22" s="390">
        <v>1994</v>
      </c>
      <c r="CC22" s="391">
        <f t="shared" si="15"/>
        <v>0.25925864078932226</v>
      </c>
      <c r="CD22" s="391">
        <f t="shared" si="15"/>
        <v>5.1851728157864452</v>
      </c>
      <c r="CE22" s="391">
        <f t="shared" si="15"/>
        <v>0.29166597088798757</v>
      </c>
      <c r="CF22" s="391">
        <f t="shared" si="15"/>
        <v>7.1794700526273861E-2</v>
      </c>
      <c r="CG22" s="392">
        <f t="shared" si="33"/>
        <v>1.4519730319975073</v>
      </c>
      <c r="CH22" s="393">
        <f t="shared" si="34"/>
        <v>4800</v>
      </c>
      <c r="CI22" s="394">
        <f t="shared" si="35"/>
        <v>6969.4705535880348</v>
      </c>
      <c r="CJ22" s="395">
        <f>CI22*CN22</f>
        <v>4800</v>
      </c>
      <c r="CK22" s="396">
        <f t="shared" si="16"/>
        <v>5544.3153698031483</v>
      </c>
      <c r="CL22" s="397">
        <f t="shared" si="17"/>
        <v>1505.0023177017511</v>
      </c>
      <c r="CN22" s="398">
        <f t="shared" si="36"/>
        <v>0.68871802572275098</v>
      </c>
      <c r="CO22" s="399">
        <f>CK22/CJ22</f>
        <v>1.1550657020423225</v>
      </c>
      <c r="CP22" s="398">
        <f t="shared" si="37"/>
        <v>0.31354214952119813</v>
      </c>
      <c r="CQ22" s="400"/>
      <c r="CR22" s="400"/>
      <c r="CS22" s="400" t="s">
        <v>316</v>
      </c>
      <c r="CT22" s="311" t="s">
        <v>103</v>
      </c>
      <c r="CU22" s="400"/>
      <c r="DE22" s="401">
        <f t="shared" si="38"/>
        <v>0.16878031646623096</v>
      </c>
      <c r="DF22" s="401">
        <f t="shared" si="18"/>
        <v>0.18998018603181135</v>
      </c>
      <c r="DG22" s="402"/>
      <c r="DH22" s="403">
        <f t="shared" si="39"/>
        <v>-0.16878031646623096</v>
      </c>
      <c r="DI22" s="370">
        <f t="shared" si="19"/>
        <v>3294.9976822982489</v>
      </c>
      <c r="DK22" s="296">
        <f t="shared" si="20"/>
        <v>1994</v>
      </c>
      <c r="DL22" s="404">
        <f t="shared" si="21"/>
        <v>0.29166597088798757</v>
      </c>
      <c r="DM22" s="405">
        <f t="shared" si="22"/>
        <v>1399.9966602623404</v>
      </c>
      <c r="DN22" s="406">
        <f t="shared" si="40"/>
        <v>5.5911901582162617E-2</v>
      </c>
      <c r="DO22" s="407">
        <f t="shared" si="23"/>
        <v>5544.3153698031483</v>
      </c>
      <c r="DP22" s="407">
        <f t="shared" si="23"/>
        <v>1505.0023177017511</v>
      </c>
    </row>
    <row r="23" spans="1:120" x14ac:dyDescent="0.2">
      <c r="A23" s="375">
        <v>1995</v>
      </c>
      <c r="B23" s="376">
        <v>150</v>
      </c>
      <c r="C23" s="376" t="s">
        <v>311</v>
      </c>
      <c r="D23" s="408">
        <v>300</v>
      </c>
      <c r="E23" s="376">
        <v>100</v>
      </c>
      <c r="F23" s="376">
        <v>65</v>
      </c>
      <c r="G23" s="357">
        <f t="shared" si="0"/>
        <v>615</v>
      </c>
      <c r="H23" s="358">
        <f>1-(C$55)</f>
        <v>0.98479011579332021</v>
      </c>
      <c r="I23" s="357">
        <f t="shared" si="24"/>
        <v>624.49855064251199</v>
      </c>
      <c r="J23" s="377">
        <f t="shared" si="25"/>
        <v>624.49855064251199</v>
      </c>
      <c r="L23" s="360">
        <v>648.74301786633919</v>
      </c>
      <c r="M23" s="360"/>
      <c r="N23" s="361" t="s">
        <v>309</v>
      </c>
      <c r="O23" s="317" t="s">
        <v>312</v>
      </c>
      <c r="Q23" s="354">
        <f t="shared" si="26"/>
        <v>1995</v>
      </c>
      <c r="R23" s="291">
        <f t="shared" si="5"/>
        <v>4</v>
      </c>
      <c r="S23" s="362">
        <f>'A6-Chin (NEW2+Khutz)'!C16</f>
        <v>9184.6096579476871</v>
      </c>
      <c r="T23" s="362">
        <f t="shared" si="41"/>
        <v>9809.1082085901999</v>
      </c>
      <c r="U23" s="378">
        <f t="shared" si="27"/>
        <v>6.3665170916925501E-2</v>
      </c>
      <c r="V23" s="379">
        <f t="shared" si="28"/>
        <v>624.49855064251199</v>
      </c>
      <c r="W23" s="379">
        <f t="shared" si="29"/>
        <v>624.49855064251199</v>
      </c>
      <c r="X23" s="379">
        <f t="shared" si="6"/>
        <v>710</v>
      </c>
      <c r="Y23" s="380">
        <f t="shared" si="7"/>
        <v>2.3333277671039006</v>
      </c>
      <c r="Z23" s="380"/>
      <c r="AA23" s="379">
        <f t="shared" si="8"/>
        <v>1457.1598087303146</v>
      </c>
      <c r="AB23" s="379">
        <f t="shared" si="8"/>
        <v>1457.1598087303146</v>
      </c>
      <c r="AC23" s="381">
        <f t="shared" si="9"/>
        <v>1656.6627146437695</v>
      </c>
      <c r="AD23" s="382"/>
      <c r="AE23" s="383"/>
      <c r="AI23" s="384">
        <f t="shared" si="30"/>
        <v>624.49855064251199</v>
      </c>
      <c r="AJ23" s="345">
        <v>100</v>
      </c>
      <c r="AK23" s="372">
        <f t="shared" si="10"/>
        <v>0.13802650110385495</v>
      </c>
      <c r="AL23" s="373">
        <f t="shared" si="31"/>
        <v>1690.4925854407047</v>
      </c>
      <c r="AN23" s="296"/>
      <c r="AO23" s="296"/>
      <c r="AP23" s="296"/>
      <c r="AQ23" s="365"/>
      <c r="AR23" s="296"/>
      <c r="AS23" s="296"/>
      <c r="AT23" s="296"/>
      <c r="AU23" s="296"/>
      <c r="AV23" s="296"/>
      <c r="AW23" s="296"/>
      <c r="AY23" s="366"/>
      <c r="BA23" s="306"/>
      <c r="BB23" s="307"/>
      <c r="BH23" s="370">
        <f t="shared" si="3"/>
        <v>176.81821409561567</v>
      </c>
      <c r="BJ23" s="370">
        <f>D23</f>
        <v>300</v>
      </c>
      <c r="BM23" s="385">
        <f>AB23</f>
        <v>1457.1598087303146</v>
      </c>
      <c r="BN23" s="386">
        <f t="shared" si="11"/>
        <v>199.50290591345492</v>
      </c>
      <c r="BP23" s="387">
        <f t="shared" si="12"/>
        <v>1995</v>
      </c>
      <c r="BQ23" s="387">
        <f t="shared" si="12"/>
        <v>150</v>
      </c>
      <c r="BR23" s="387">
        <f t="shared" si="13"/>
        <v>300</v>
      </c>
      <c r="BS23" s="387">
        <f t="shared" si="13"/>
        <v>100</v>
      </c>
      <c r="BT23" s="387">
        <f t="shared" si="13"/>
        <v>65</v>
      </c>
      <c r="BV23" s="388">
        <f t="shared" si="32"/>
        <v>1995</v>
      </c>
      <c r="BW23" s="389">
        <f>IF((ISERROR(BQ23)),"",BQ23*$Y23)</f>
        <v>349.99916506558509</v>
      </c>
      <c r="BX23" s="389">
        <f>IF((ISERROR(BR23)),"",BR23*$Y23)</f>
        <v>699.99833013117018</v>
      </c>
      <c r="BY23" s="389">
        <f t="shared" si="14"/>
        <v>233.33277671039005</v>
      </c>
      <c r="BZ23" s="389">
        <f t="shared" si="14"/>
        <v>151.66630486175353</v>
      </c>
      <c r="CA23" s="294"/>
      <c r="CB23" s="390">
        <v>1995</v>
      </c>
      <c r="CC23" s="391">
        <f t="shared" si="15"/>
        <v>0.19444398059199172</v>
      </c>
      <c r="CD23" s="391">
        <f t="shared" si="15"/>
        <v>0.77777592236796689</v>
      </c>
      <c r="CE23" s="391">
        <f t="shared" si="15"/>
        <v>0.29166597088798757</v>
      </c>
      <c r="CF23" s="391">
        <f t="shared" si="15"/>
        <v>0.11666638835519502</v>
      </c>
      <c r="CG23" s="392">
        <f t="shared" si="33"/>
        <v>0.3451380655507853</v>
      </c>
      <c r="CH23" s="393">
        <f t="shared" si="34"/>
        <v>1656.6627146437695</v>
      </c>
      <c r="CI23" s="394">
        <f t="shared" si="35"/>
        <v>1656.6627146437695</v>
      </c>
      <c r="CJ23" s="395">
        <f>CI23*CN23</f>
        <v>1656.6627146437695</v>
      </c>
      <c r="CK23" s="396">
        <f t="shared" si="16"/>
        <v>1457.1598087303146</v>
      </c>
      <c r="CL23" s="397">
        <f t="shared" si="17"/>
        <v>291.03005064719468</v>
      </c>
      <c r="CN23" s="398">
        <f t="shared" si="36"/>
        <v>1</v>
      </c>
      <c r="CO23" s="399">
        <f>CK23/CJ23</f>
        <v>0.8795754234401576</v>
      </c>
      <c r="CP23" s="398">
        <f t="shared" si="37"/>
        <v>0.17567248183633721</v>
      </c>
      <c r="CQ23" s="400"/>
      <c r="CR23" s="400"/>
      <c r="CS23" s="400" t="s">
        <v>317</v>
      </c>
      <c r="CT23" s="311" t="s">
        <v>318</v>
      </c>
      <c r="CU23" s="400"/>
      <c r="DE23" s="401">
        <f t="shared" si="38"/>
        <v>0.15281072716446908</v>
      </c>
      <c r="DF23" s="401">
        <f t="shared" si="18"/>
        <v>0.13692833821415137</v>
      </c>
      <c r="DG23" s="402"/>
      <c r="DH23" s="403">
        <f t="shared" si="39"/>
        <v>-0.15281072716446908</v>
      </c>
      <c r="DI23" s="370">
        <f t="shared" si="19"/>
        <v>1365.6326639965748</v>
      </c>
      <c r="DK23" s="296">
        <f t="shared" si="20"/>
        <v>1995</v>
      </c>
      <c r="DL23" s="404">
        <f t="shared" si="21"/>
        <v>0.29166597088798757</v>
      </c>
      <c r="DM23" s="405">
        <f t="shared" si="22"/>
        <v>1399.9966602623404</v>
      </c>
      <c r="DN23" s="406">
        <f t="shared" si="40"/>
        <v>0.13226723962834122</v>
      </c>
      <c r="DO23" s="407">
        <f t="shared" si="23"/>
        <v>1457.1598087303146</v>
      </c>
      <c r="DP23" s="407">
        <f t="shared" si="23"/>
        <v>291.03005064719468</v>
      </c>
    </row>
    <row r="24" spans="1:120" x14ac:dyDescent="0.2">
      <c r="A24" s="375">
        <v>1996</v>
      </c>
      <c r="B24" s="376">
        <v>250</v>
      </c>
      <c r="C24" s="376" t="s">
        <v>313</v>
      </c>
      <c r="D24" s="408">
        <v>100</v>
      </c>
      <c r="E24" s="376">
        <v>300</v>
      </c>
      <c r="F24" s="376">
        <v>50</v>
      </c>
      <c r="G24" s="357">
        <f>SUM(B24:F24)</f>
        <v>700</v>
      </c>
      <c r="H24" s="358">
        <f>1-(C$55)</f>
        <v>0.98479011579332021</v>
      </c>
      <c r="I24" s="357">
        <f t="shared" si="24"/>
        <v>710.81135845489166</v>
      </c>
      <c r="J24" s="377">
        <f t="shared" si="25"/>
        <v>710.81135845489166</v>
      </c>
      <c r="L24" s="360">
        <v>738.40668700233732</v>
      </c>
      <c r="M24" s="360"/>
      <c r="N24" s="361" t="s">
        <v>309</v>
      </c>
      <c r="O24" s="317" t="s">
        <v>312</v>
      </c>
      <c r="Q24" s="354">
        <f t="shared" si="26"/>
        <v>1996</v>
      </c>
      <c r="R24" s="291">
        <f t="shared" si="5"/>
        <v>4</v>
      </c>
      <c r="S24" s="362">
        <f>'A6-Chin (NEW2+Khutz)'!C17</f>
        <v>21721.665471087395</v>
      </c>
      <c r="T24" s="362">
        <f t="shared" si="41"/>
        <v>22432.476829542287</v>
      </c>
      <c r="U24" s="378">
        <f t="shared" si="27"/>
        <v>3.1686708688306489E-2</v>
      </c>
      <c r="V24" s="379">
        <f t="shared" si="28"/>
        <v>710.81135845489155</v>
      </c>
      <c r="W24" s="379">
        <f t="shared" si="29"/>
        <v>710.81135845489166</v>
      </c>
      <c r="X24" s="379">
        <f t="shared" si="6"/>
        <v>796.15384615384608</v>
      </c>
      <c r="Y24" s="380">
        <f t="shared" si="7"/>
        <v>2.3333277671039006</v>
      </c>
      <c r="Z24" s="380"/>
      <c r="AA24" s="379">
        <f t="shared" si="8"/>
        <v>1658.5558798556424</v>
      </c>
      <c r="AB24" s="379">
        <f t="shared" si="8"/>
        <v>1658.5558798556426</v>
      </c>
      <c r="AC24" s="381">
        <f t="shared" si="9"/>
        <v>1857.6878761173361</v>
      </c>
      <c r="AD24" s="382"/>
      <c r="AE24" s="383"/>
      <c r="AI24" s="384">
        <f t="shared" si="30"/>
        <v>710.81135845489155</v>
      </c>
      <c r="AJ24" s="345"/>
      <c r="AK24" s="372" t="str">
        <f t="shared" si="10"/>
        <v/>
      </c>
      <c r="AL24" s="373">
        <f t="shared" si="31"/>
        <v>2124.6061268403055</v>
      </c>
      <c r="AN24" s="409">
        <f>D24</f>
        <v>100</v>
      </c>
      <c r="AO24" s="296">
        <v>334</v>
      </c>
      <c r="AP24" s="410">
        <f>D24/AO24</f>
        <v>0.29940119760479039</v>
      </c>
      <c r="AQ24" s="365">
        <f>1/AP24</f>
        <v>3.3400000000000003</v>
      </c>
      <c r="AR24" s="296"/>
      <c r="AS24" s="296"/>
      <c r="AT24" s="296"/>
      <c r="AU24" s="296"/>
      <c r="AV24" s="296"/>
      <c r="AW24" s="296"/>
      <c r="AY24" s="366"/>
      <c r="BA24" s="411"/>
      <c r="BB24" s="412"/>
      <c r="BH24" s="370">
        <f t="shared" si="3"/>
        <v>201.25650384866822</v>
      </c>
      <c r="BJ24" s="370">
        <f>D24</f>
        <v>100</v>
      </c>
      <c r="BK24" s="370">
        <v>234</v>
      </c>
      <c r="BM24" s="385">
        <f>AB24</f>
        <v>1658.5558798556426</v>
      </c>
      <c r="BN24" s="386">
        <f t="shared" si="11"/>
        <v>199.13199626169353</v>
      </c>
      <c r="BP24" s="387">
        <f t="shared" si="12"/>
        <v>1996</v>
      </c>
      <c r="BQ24" s="387">
        <f t="shared" si="12"/>
        <v>250</v>
      </c>
      <c r="BR24" s="387">
        <f t="shared" si="13"/>
        <v>100</v>
      </c>
      <c r="BS24" s="387">
        <f t="shared" si="13"/>
        <v>300</v>
      </c>
      <c r="BT24" s="387">
        <f t="shared" si="13"/>
        <v>50</v>
      </c>
      <c r="BV24" s="388">
        <f t="shared" si="32"/>
        <v>1996</v>
      </c>
      <c r="BW24" s="389">
        <f>IF((ISERROR(BQ24)),"",BQ24*$Y24)</f>
        <v>583.33194177597511</v>
      </c>
      <c r="BX24" s="389">
        <f>IF((ISERROR(BR24)),"",BR24*$Y24)</f>
        <v>233.33277671039005</v>
      </c>
      <c r="BY24" s="389">
        <f t="shared" si="14"/>
        <v>699.99833013117018</v>
      </c>
      <c r="BZ24" s="389">
        <f t="shared" si="14"/>
        <v>116.66638835519502</v>
      </c>
      <c r="CA24" s="294"/>
      <c r="CB24" s="390">
        <v>1996</v>
      </c>
      <c r="CC24" s="391">
        <f t="shared" si="15"/>
        <v>0.32407330098665282</v>
      </c>
      <c r="CD24" s="391">
        <f t="shared" si="15"/>
        <v>0.25925864078932226</v>
      </c>
      <c r="CE24" s="391">
        <f t="shared" si="15"/>
        <v>0.87499791266396276</v>
      </c>
      <c r="CF24" s="391">
        <f t="shared" si="15"/>
        <v>8.9743375657842323E-2</v>
      </c>
      <c r="CG24" s="392">
        <f t="shared" si="33"/>
        <v>0.38701830752444505</v>
      </c>
      <c r="CH24" s="393">
        <f t="shared" si="34"/>
        <v>1857.6878761173361</v>
      </c>
      <c r="CI24" s="394">
        <f t="shared" si="35"/>
        <v>1857.6878761173361</v>
      </c>
      <c r="CJ24" s="395">
        <f>CI24*CN24</f>
        <v>1857.6878761173361</v>
      </c>
      <c r="CK24" s="396">
        <f t="shared" si="16"/>
        <v>1658.5558798556426</v>
      </c>
      <c r="CL24" s="397">
        <f t="shared" si="17"/>
        <v>1094.8358276206534</v>
      </c>
      <c r="CN24" s="398">
        <f t="shared" si="36"/>
        <v>1</v>
      </c>
      <c r="CO24" s="399">
        <f>CK24/CJ24</f>
        <v>0.89280653718971903</v>
      </c>
      <c r="CP24" s="398">
        <f t="shared" si="37"/>
        <v>0.58935402534300696</v>
      </c>
      <c r="CQ24" s="400"/>
      <c r="CR24" s="400"/>
      <c r="CS24" s="400" t="s">
        <v>319</v>
      </c>
      <c r="CT24" s="311" t="s">
        <v>320</v>
      </c>
      <c r="CU24" s="400"/>
      <c r="DE24" s="401">
        <f t="shared" si="38"/>
        <v>7.8784513246100529E-2</v>
      </c>
      <c r="DF24" s="401">
        <f t="shared" si="18"/>
        <v>7.0938416491456574E-2</v>
      </c>
      <c r="DG24" s="402"/>
      <c r="DH24" s="403">
        <f t="shared" si="39"/>
        <v>-7.8784513246100529E-2</v>
      </c>
      <c r="DI24" s="370">
        <f t="shared" si="19"/>
        <v>762.85204849668276</v>
      </c>
      <c r="DK24" s="296">
        <f t="shared" si="20"/>
        <v>1996</v>
      </c>
      <c r="DL24" s="404">
        <f t="shared" si="21"/>
        <v>0.87499791266396276</v>
      </c>
      <c r="DM24" s="405">
        <f t="shared" si="22"/>
        <v>4199.9899807870215</v>
      </c>
      <c r="DN24" s="406">
        <f t="shared" si="40"/>
        <v>0.16202630223924672</v>
      </c>
      <c r="DO24" s="407">
        <f t="shared" si="23"/>
        <v>1658.5558798556426</v>
      </c>
      <c r="DP24" s="407">
        <f t="shared" si="23"/>
        <v>1094.8358276206534</v>
      </c>
    </row>
    <row r="25" spans="1:120" x14ac:dyDescent="0.2">
      <c r="A25" s="375">
        <v>1997</v>
      </c>
      <c r="B25" s="376" t="s">
        <v>106</v>
      </c>
      <c r="C25" s="376" t="s">
        <v>106</v>
      </c>
      <c r="D25" s="376" t="s">
        <v>106</v>
      </c>
      <c r="E25" s="376">
        <v>300</v>
      </c>
      <c r="F25" s="376">
        <v>20</v>
      </c>
      <c r="G25" s="357">
        <f t="shared" si="0"/>
        <v>320</v>
      </c>
      <c r="H25" s="358">
        <f>1-(B$55+C$55+D$55)</f>
        <v>0.46488275115577604</v>
      </c>
      <c r="I25" s="357">
        <f t="shared" si="24"/>
        <v>688.34560801498151</v>
      </c>
      <c r="J25" s="377">
        <f t="shared" si="25"/>
        <v>688.34560801498151</v>
      </c>
      <c r="L25" s="360">
        <v>793.75500698649273</v>
      </c>
      <c r="M25" s="360"/>
      <c r="N25" s="361" t="s">
        <v>309</v>
      </c>
      <c r="O25" s="317" t="s">
        <v>312</v>
      </c>
      <c r="Q25" s="354">
        <f t="shared" si="26"/>
        <v>1997</v>
      </c>
      <c r="R25" s="291">
        <f t="shared" si="5"/>
        <v>2</v>
      </c>
      <c r="S25" s="362">
        <f>'A6-Chin (NEW2+Khutz)'!C18</f>
        <v>21372.273291925467</v>
      </c>
      <c r="T25" s="362" t="str">
        <f t="shared" si="41"/>
        <v/>
      </c>
      <c r="U25" s="378">
        <f>IF(R25&gt;=3,J25/T25,AVERAGE(U$20:U$24))</f>
        <v>5.040294120531106E-2</v>
      </c>
      <c r="V25" s="379">
        <f t="shared" si="28"/>
        <v>1134.4026649830485</v>
      </c>
      <c r="W25" s="379">
        <f t="shared" si="29"/>
        <v>688.34560801498151</v>
      </c>
      <c r="X25" s="379">
        <f t="shared" si="6"/>
        <v>936.92307692307702</v>
      </c>
      <c r="Y25" s="380">
        <f t="shared" si="7"/>
        <v>2.3333277671039006</v>
      </c>
      <c r="Z25" s="380"/>
      <c r="AA25" s="379">
        <f t="shared" si="8"/>
        <v>2646.9332372816107</v>
      </c>
      <c r="AB25" s="379">
        <f t="shared" ref="AB25:AB38" si="42">IF(W25=0,"",W25*$Y25)</f>
        <v>1606.1359205453737</v>
      </c>
      <c r="AC25" s="381">
        <f t="shared" si="9"/>
        <v>2186.1486310250393</v>
      </c>
      <c r="AD25" s="382"/>
      <c r="AE25" s="383"/>
      <c r="AI25" s="384">
        <f t="shared" si="30"/>
        <v>1134.4026649830485</v>
      </c>
      <c r="AJ25" s="345">
        <v>150</v>
      </c>
      <c r="AK25" s="372">
        <f t="shared" si="10"/>
        <v>0.11678580564295209</v>
      </c>
      <c r="AL25" s="373">
        <f t="shared" si="31"/>
        <v>2996.9324023471959</v>
      </c>
      <c r="AN25" s="296"/>
      <c r="AO25" s="296"/>
      <c r="AP25" s="296"/>
      <c r="AQ25" s="365"/>
      <c r="AR25" s="296"/>
      <c r="AS25" s="296"/>
      <c r="AT25" s="296"/>
      <c r="AU25" s="296"/>
      <c r="AV25" s="296"/>
      <c r="AW25" s="296"/>
      <c r="AY25" s="366"/>
      <c r="BA25" s="411"/>
      <c r="BB25" s="412"/>
      <c r="BH25" s="370">
        <f t="shared" si="3"/>
        <v>194.89563420851331</v>
      </c>
      <c r="BJ25" s="370">
        <f>E25</f>
        <v>300</v>
      </c>
      <c r="BM25" s="413">
        <f t="shared" ref="BM25:BM46" si="43">AA25</f>
        <v>2646.9332372816107</v>
      </c>
      <c r="BN25" s="386">
        <f t="shared" si="11"/>
        <v>-460.78460625657135</v>
      </c>
      <c r="BP25" s="338">
        <f t="shared" si="12"/>
        <v>1997</v>
      </c>
      <c r="BQ25" s="338" t="str">
        <f t="shared" si="12"/>
        <v>UNK</v>
      </c>
      <c r="BR25" s="338" t="str">
        <f t="shared" si="13"/>
        <v>UNK</v>
      </c>
      <c r="BS25" s="338">
        <f t="shared" si="13"/>
        <v>300</v>
      </c>
      <c r="BT25" s="338">
        <f t="shared" si="13"/>
        <v>20</v>
      </c>
      <c r="BV25" s="296">
        <f t="shared" si="32"/>
        <v>1997</v>
      </c>
      <c r="BW25" s="389"/>
      <c r="BX25" s="389"/>
      <c r="BY25" s="389">
        <f t="shared" si="14"/>
        <v>699.99833013117018</v>
      </c>
      <c r="BZ25" s="389">
        <f t="shared" si="14"/>
        <v>46.666555342078013</v>
      </c>
      <c r="CA25" s="294"/>
      <c r="CB25" s="367">
        <v>1997</v>
      </c>
      <c r="CC25" s="391" t="str">
        <f t="shared" si="15"/>
        <v/>
      </c>
      <c r="CD25" s="391" t="str">
        <f t="shared" si="15"/>
        <v/>
      </c>
      <c r="CE25" s="391">
        <f t="shared" si="15"/>
        <v>0.87499791266396276</v>
      </c>
      <c r="CF25" s="391">
        <f t="shared" si="15"/>
        <v>3.589735026313693E-2</v>
      </c>
      <c r="CG25" s="392">
        <f t="shared" si="33"/>
        <v>0.45544763146354983</v>
      </c>
      <c r="CH25" s="393">
        <f t="shared" si="34"/>
        <v>2186.1486310250393</v>
      </c>
      <c r="CI25" s="394">
        <f t="shared" si="35"/>
        <v>2186.1486310250393</v>
      </c>
      <c r="CJ25" s="395">
        <f>CI25*CN$2</f>
        <v>2062.027693024178</v>
      </c>
      <c r="CK25" s="396">
        <f t="shared" si="16"/>
        <v>1606.1359205453737</v>
      </c>
      <c r="CL25" s="397">
        <f t="shared" si="17"/>
        <v>905.41256323478603</v>
      </c>
      <c r="CN25" s="414">
        <f t="shared" si="36"/>
        <v>1</v>
      </c>
      <c r="CO25" s="414"/>
      <c r="CP25" s="414"/>
      <c r="CQ25" s="311"/>
      <c r="CR25" s="311"/>
      <c r="CS25" s="311"/>
      <c r="CT25" s="311"/>
      <c r="CU25" s="311"/>
      <c r="DE25" s="401">
        <f t="shared" si="38"/>
        <v>9.2796904570900118E-2</v>
      </c>
      <c r="DF25" s="401">
        <f t="shared" si="18"/>
        <v>6.989761152280688E-2</v>
      </c>
      <c r="DG25" s="402"/>
      <c r="DH25" s="403">
        <f t="shared" si="39"/>
        <v>-9.2796904570900118E-2</v>
      </c>
      <c r="DI25" s="370">
        <f t="shared" si="19"/>
        <v>1280.7360677902534</v>
      </c>
      <c r="DK25" s="296">
        <f t="shared" si="20"/>
        <v>1997</v>
      </c>
      <c r="DL25" s="404">
        <f t="shared" si="21"/>
        <v>0.87499791266396276</v>
      </c>
      <c r="DM25" s="405">
        <f t="shared" si="22"/>
        <v>4199.9899807870215</v>
      </c>
      <c r="DN25" s="406">
        <f t="shared" si="40"/>
        <v>0.16424005712739256</v>
      </c>
      <c r="DO25" s="407">
        <f t="shared" si="23"/>
        <v>1606.1359205453737</v>
      </c>
      <c r="DP25" s="407">
        <f t="shared" si="23"/>
        <v>905.41256323478603</v>
      </c>
    </row>
    <row r="26" spans="1:120" x14ac:dyDescent="0.2">
      <c r="A26" s="375">
        <v>1998</v>
      </c>
      <c r="B26" s="376">
        <v>200</v>
      </c>
      <c r="C26" s="376" t="s">
        <v>313</v>
      </c>
      <c r="D26" s="376" t="s">
        <v>313</v>
      </c>
      <c r="E26" s="376">
        <v>400</v>
      </c>
      <c r="F26" s="376">
        <v>70</v>
      </c>
      <c r="G26" s="357">
        <f t="shared" si="0"/>
        <v>670</v>
      </c>
      <c r="H26" s="358">
        <f>1-(C$55+D$55)</f>
        <v>0.60805191926897439</v>
      </c>
      <c r="I26" s="357">
        <f t="shared" si="24"/>
        <v>1101.879590817676</v>
      </c>
      <c r="J26" s="377">
        <f t="shared" si="25"/>
        <v>1101.879590817676</v>
      </c>
      <c r="L26" s="360">
        <v>974.74512375020481</v>
      </c>
      <c r="M26" s="360"/>
      <c r="N26" s="361" t="s">
        <v>309</v>
      </c>
      <c r="O26" s="317" t="s">
        <v>312</v>
      </c>
      <c r="Q26" s="354">
        <f t="shared" si="26"/>
        <v>1998</v>
      </c>
      <c r="R26" s="291">
        <f t="shared" si="5"/>
        <v>3</v>
      </c>
      <c r="S26" s="362">
        <f>'A6-Chin (NEW2+Khutz)'!C19</f>
        <v>24908</v>
      </c>
      <c r="T26" s="362">
        <f t="shared" si="41"/>
        <v>26009.879590817676</v>
      </c>
      <c r="U26" s="378">
        <f>IF(R26&gt;=3,J26/T26,AVERAGE(U$20:U$24))</f>
        <v>4.2363886652004148E-2</v>
      </c>
      <c r="V26" s="379">
        <f t="shared" si="28"/>
        <v>1101.879590817676</v>
      </c>
      <c r="W26" s="379">
        <f t="shared" si="29"/>
        <v>1101.879590817676</v>
      </c>
      <c r="X26" s="379">
        <f t="shared" si="6"/>
        <v>1063.9316239316238</v>
      </c>
      <c r="Y26" s="380">
        <f t="shared" si="7"/>
        <v>2.3333277671039006</v>
      </c>
      <c r="Z26" s="380"/>
      <c r="AA26" s="379">
        <f t="shared" si="8"/>
        <v>2571.0462452599677</v>
      </c>
      <c r="AB26" s="379">
        <f t="shared" si="42"/>
        <v>2571.0462452599677</v>
      </c>
      <c r="AC26" s="381">
        <f t="shared" si="9"/>
        <v>2482.5012004196028</v>
      </c>
      <c r="AD26" s="382"/>
      <c r="AE26" s="383"/>
      <c r="AI26" s="384">
        <f t="shared" si="30"/>
        <v>1101.879590817676</v>
      </c>
      <c r="AJ26" s="345">
        <v>100</v>
      </c>
      <c r="AK26" s="372">
        <f t="shared" si="10"/>
        <v>8.3203010321497267E-2</v>
      </c>
      <c r="AL26" s="373">
        <f t="shared" si="31"/>
        <v>2804.3790219703574</v>
      </c>
      <c r="AN26" s="296"/>
      <c r="AO26" s="296"/>
      <c r="AP26" s="296"/>
      <c r="AQ26" s="365"/>
      <c r="AR26" s="296"/>
      <c r="AS26" s="296"/>
      <c r="AT26" s="296"/>
      <c r="AU26" s="296"/>
      <c r="AV26" s="296"/>
      <c r="AW26" s="296"/>
      <c r="AY26" s="366"/>
      <c r="BA26" s="411"/>
      <c r="BB26" s="412"/>
      <c r="BH26" s="370">
        <f t="shared" si="3"/>
        <v>311.98211940818271</v>
      </c>
      <c r="BJ26" s="370">
        <f>E26</f>
        <v>400</v>
      </c>
      <c r="BM26" s="385">
        <f t="shared" si="43"/>
        <v>2571.0462452599677</v>
      </c>
      <c r="BN26" s="386">
        <f t="shared" si="11"/>
        <v>-88.545044840364881</v>
      </c>
      <c r="BP26" s="387">
        <f t="shared" si="12"/>
        <v>1998</v>
      </c>
      <c r="BQ26" s="387">
        <f t="shared" si="12"/>
        <v>200</v>
      </c>
      <c r="BR26" s="387" t="str">
        <f t="shared" si="13"/>
        <v>N/I</v>
      </c>
      <c r="BS26" s="387">
        <f t="shared" si="13"/>
        <v>400</v>
      </c>
      <c r="BT26" s="387">
        <f t="shared" si="13"/>
        <v>70</v>
      </c>
      <c r="BV26" s="388">
        <f t="shared" si="32"/>
        <v>1998</v>
      </c>
      <c r="BW26" s="389">
        <f>IF((ISERROR(BQ26)),"",BQ26*$Y26)</f>
        <v>466.6655534207801</v>
      </c>
      <c r="BX26" s="389"/>
      <c r="BY26" s="389">
        <f t="shared" si="14"/>
        <v>933.3311068415602</v>
      </c>
      <c r="BZ26" s="389">
        <f t="shared" si="14"/>
        <v>163.33294369727304</v>
      </c>
      <c r="CA26" s="294"/>
      <c r="CB26" s="390">
        <v>1998</v>
      </c>
      <c r="CC26" s="391">
        <f t="shared" si="15"/>
        <v>0.25925864078932226</v>
      </c>
      <c r="CD26" s="391" t="str">
        <f t="shared" si="15"/>
        <v/>
      </c>
      <c r="CE26" s="391">
        <f t="shared" si="15"/>
        <v>1.1666638835519503</v>
      </c>
      <c r="CF26" s="391">
        <f t="shared" si="15"/>
        <v>0.12564072592097925</v>
      </c>
      <c r="CG26" s="392">
        <f t="shared" si="33"/>
        <v>0.51718775008741724</v>
      </c>
      <c r="CH26" s="393">
        <f t="shared" si="34"/>
        <v>2482.5012004196028</v>
      </c>
      <c r="CI26" s="394">
        <f t="shared" si="35"/>
        <v>2482.5012004196028</v>
      </c>
      <c r="CJ26" s="395">
        <f>CI26*CN$2</f>
        <v>2341.5545267984826</v>
      </c>
      <c r="CK26" s="396">
        <f t="shared" si="16"/>
        <v>2571.0462452599677</v>
      </c>
      <c r="CL26" s="397">
        <f t="shared" si="17"/>
        <v>1334.8926043663616</v>
      </c>
      <c r="CN26" s="414">
        <f t="shared" si="36"/>
        <v>1</v>
      </c>
      <c r="CO26" s="399">
        <f>CK26/CJ26</f>
        <v>1.098008274347239</v>
      </c>
      <c r="CP26" s="398">
        <f t="shared" si="37"/>
        <v>0.57008819956523027</v>
      </c>
      <c r="CQ26" s="400"/>
      <c r="CR26" s="400"/>
      <c r="CS26" s="1036" t="s">
        <v>321</v>
      </c>
      <c r="CT26" s="1036"/>
      <c r="CU26" s="1036"/>
      <c r="CV26" s="1029" t="s">
        <v>171</v>
      </c>
      <c r="CW26" s="1030"/>
      <c r="CX26" s="1027" t="s">
        <v>322</v>
      </c>
      <c r="CY26" s="1027"/>
      <c r="CZ26" s="1027"/>
      <c r="DE26" s="401">
        <f t="shared" si="38"/>
        <v>9.0633653698223404E-2</v>
      </c>
      <c r="DF26" s="401">
        <f t="shared" si="18"/>
        <v>9.3563882178169244E-2</v>
      </c>
      <c r="DG26" s="402"/>
      <c r="DH26" s="403">
        <f t="shared" si="39"/>
        <v>-9.0633653698223404E-2</v>
      </c>
      <c r="DI26" s="370">
        <f t="shared" si="19"/>
        <v>1147.6085960532412</v>
      </c>
      <c r="DK26" s="296">
        <f t="shared" si="20"/>
        <v>1998</v>
      </c>
      <c r="DL26" s="404">
        <f t="shared" si="21"/>
        <v>1.1666638835519503</v>
      </c>
      <c r="DM26" s="405">
        <f t="shared" si="22"/>
        <v>5599.9866410493614</v>
      </c>
      <c r="DN26" s="406">
        <f t="shared" si="40"/>
        <v>0.18355805340213505</v>
      </c>
      <c r="DO26" s="407">
        <f t="shared" si="23"/>
        <v>2571.0462452599677</v>
      </c>
      <c r="DP26" s="407">
        <f t="shared" si="23"/>
        <v>1334.8926043663616</v>
      </c>
    </row>
    <row r="27" spans="1:120" x14ac:dyDescent="0.2">
      <c r="A27" s="375">
        <v>1999</v>
      </c>
      <c r="B27" s="376">
        <v>200</v>
      </c>
      <c r="C27" s="376" t="s">
        <v>106</v>
      </c>
      <c r="D27" s="376" t="s">
        <v>106</v>
      </c>
      <c r="E27" s="376">
        <v>200</v>
      </c>
      <c r="F27" s="376">
        <v>50</v>
      </c>
      <c r="G27" s="357">
        <f t="shared" si="0"/>
        <v>450</v>
      </c>
      <c r="H27" s="358">
        <f>1-(C$55+D$55)</f>
        <v>0.60805191926897439</v>
      </c>
      <c r="I27" s="357">
        <f t="shared" si="24"/>
        <v>740.06838189246889</v>
      </c>
      <c r="J27" s="377">
        <f t="shared" si="25"/>
        <v>740.06838189246889</v>
      </c>
      <c r="L27" s="360">
        <v>654.6795607277495</v>
      </c>
      <c r="M27" s="360"/>
      <c r="N27" s="361" t="s">
        <v>309</v>
      </c>
      <c r="O27" s="317" t="s">
        <v>312</v>
      </c>
      <c r="Q27" s="354">
        <f t="shared" si="26"/>
        <v>1999</v>
      </c>
      <c r="R27" s="291">
        <f t="shared" si="5"/>
        <v>3</v>
      </c>
      <c r="S27" s="362">
        <f>'A6-Chin (NEW2+Khutz)'!C20</f>
        <v>13069</v>
      </c>
      <c r="T27" s="362">
        <f t="shared" si="41"/>
        <v>13809.068381892468</v>
      </c>
      <c r="U27" s="378">
        <f t="shared" si="27"/>
        <v>5.3592926142860188E-2</v>
      </c>
      <c r="V27" s="379">
        <f t="shared" si="28"/>
        <v>740.06838189246889</v>
      </c>
      <c r="W27" s="379">
        <f t="shared" si="29"/>
        <v>740.06838189246889</v>
      </c>
      <c r="X27" s="379">
        <f t="shared" si="6"/>
        <v>639.31623931623926</v>
      </c>
      <c r="Y27" s="380">
        <f t="shared" si="7"/>
        <v>2.3333277671039006</v>
      </c>
      <c r="Z27" s="380"/>
      <c r="AA27" s="379">
        <f t="shared" si="8"/>
        <v>1726.8221050253512</v>
      </c>
      <c r="AB27" s="379">
        <f t="shared" si="42"/>
        <v>1726.8221050253512</v>
      </c>
      <c r="AC27" s="381">
        <f t="shared" si="9"/>
        <v>1491.7343331570235</v>
      </c>
      <c r="AD27" s="382"/>
      <c r="AE27" s="383"/>
      <c r="AI27" s="384">
        <f t="shared" si="30"/>
        <v>740.06838189246889</v>
      </c>
      <c r="AJ27" s="345">
        <v>100</v>
      </c>
      <c r="AK27" s="372">
        <f t="shared" si="10"/>
        <v>0.1190379285252046</v>
      </c>
      <c r="AL27" s="373">
        <f t="shared" si="31"/>
        <v>1960.1548817357414</v>
      </c>
      <c r="AN27" s="296"/>
      <c r="AO27" s="296"/>
      <c r="AP27" s="296"/>
      <c r="AQ27" s="365"/>
      <c r="AR27" s="296"/>
      <c r="AS27" s="296"/>
      <c r="AT27" s="296"/>
      <c r="AU27" s="296"/>
      <c r="AV27" s="296"/>
      <c r="AW27" s="296"/>
      <c r="AY27" s="366"/>
      <c r="BA27" s="411"/>
      <c r="BB27" s="412"/>
      <c r="BH27" s="370">
        <f t="shared" si="3"/>
        <v>209.54022945325704</v>
      </c>
      <c r="BJ27" s="370">
        <f>E27</f>
        <v>200</v>
      </c>
      <c r="BM27" s="385">
        <f t="shared" si="43"/>
        <v>1726.8221050253512</v>
      </c>
      <c r="BN27" s="386">
        <f t="shared" si="11"/>
        <v>-235.08777186832776</v>
      </c>
      <c r="BP27" s="387">
        <f t="shared" si="12"/>
        <v>1999</v>
      </c>
      <c r="BQ27" s="387">
        <f t="shared" si="12"/>
        <v>200</v>
      </c>
      <c r="BR27" s="387" t="str">
        <f t="shared" si="13"/>
        <v>UNK</v>
      </c>
      <c r="BS27" s="387">
        <f t="shared" si="13"/>
        <v>200</v>
      </c>
      <c r="BT27" s="387">
        <f t="shared" si="13"/>
        <v>50</v>
      </c>
      <c r="BV27" s="388">
        <f t="shared" si="32"/>
        <v>1999</v>
      </c>
      <c r="BW27" s="389">
        <f>IF((ISERROR(BQ27)),"",BQ27*$Y27)</f>
        <v>466.6655534207801</v>
      </c>
      <c r="BX27" s="389"/>
      <c r="BY27" s="389">
        <f t="shared" si="14"/>
        <v>466.6655534207801</v>
      </c>
      <c r="BZ27" s="389">
        <f t="shared" si="14"/>
        <v>116.66638835519502</v>
      </c>
      <c r="CA27" s="294"/>
      <c r="CB27" s="415">
        <v>1999</v>
      </c>
      <c r="CC27" s="391">
        <f t="shared" si="15"/>
        <v>0.25925864078932226</v>
      </c>
      <c r="CD27" s="391" t="str">
        <f t="shared" si="15"/>
        <v/>
      </c>
      <c r="CE27" s="391">
        <f t="shared" si="15"/>
        <v>0.58333194177597514</v>
      </c>
      <c r="CF27" s="391">
        <f t="shared" si="15"/>
        <v>8.9743375657842323E-2</v>
      </c>
      <c r="CG27" s="392">
        <f t="shared" si="33"/>
        <v>0.3107779860743799</v>
      </c>
      <c r="CH27" s="393">
        <f t="shared" si="34"/>
        <v>1491.7343331570235</v>
      </c>
      <c r="CI27" s="394">
        <f t="shared" si="35"/>
        <v>1491.7343331570235</v>
      </c>
      <c r="CJ27" s="395">
        <f>CI27*CN27</f>
        <v>1491.7343331570235</v>
      </c>
      <c r="CK27" s="396">
        <f t="shared" si="16"/>
        <v>1726.8221050253512</v>
      </c>
      <c r="CL27" s="397">
        <f t="shared" si="17"/>
        <v>568.6884098722586</v>
      </c>
      <c r="CN27" s="414">
        <f>CH27/CI27</f>
        <v>1</v>
      </c>
      <c r="CO27" s="399">
        <f>CK27/CJ27</f>
        <v>1.1575935919975784</v>
      </c>
      <c r="CP27" s="398">
        <f t="shared" si="37"/>
        <v>0.38122633315593007</v>
      </c>
      <c r="CQ27" s="400"/>
      <c r="CR27" s="416" t="s">
        <v>36</v>
      </c>
      <c r="CS27" s="417" t="s">
        <v>323</v>
      </c>
      <c r="CT27" s="418" t="s">
        <v>324</v>
      </c>
      <c r="CU27" s="419" t="s">
        <v>325</v>
      </c>
      <c r="CV27" s="332" t="s">
        <v>326</v>
      </c>
      <c r="CW27" s="332" t="s">
        <v>327</v>
      </c>
      <c r="CX27" s="308" t="s">
        <v>328</v>
      </c>
      <c r="CY27" s="332" t="s">
        <v>329</v>
      </c>
      <c r="CZ27" s="332" t="s">
        <v>94</v>
      </c>
      <c r="DA27" s="332" t="s">
        <v>330</v>
      </c>
      <c r="DE27" s="401">
        <f t="shared" si="38"/>
        <v>0.10244911410546897</v>
      </c>
      <c r="DF27" s="401">
        <f t="shared" si="18"/>
        <v>0.11671011538039795</v>
      </c>
      <c r="DG27" s="402"/>
      <c r="DH27" s="403">
        <f t="shared" si="39"/>
        <v>-0.10244911410546897</v>
      </c>
      <c r="DI27" s="370">
        <f t="shared" si="19"/>
        <v>923.04592328476485</v>
      </c>
      <c r="DK27" s="296">
        <f t="shared" si="20"/>
        <v>1999</v>
      </c>
      <c r="DL27" s="404">
        <f t="shared" si="21"/>
        <v>0.58333194177597514</v>
      </c>
      <c r="DM27" s="405">
        <f t="shared" si="22"/>
        <v>2799.9933205246807</v>
      </c>
      <c r="DN27" s="406">
        <f t="shared" si="40"/>
        <v>0.17644429384838278</v>
      </c>
      <c r="DO27" s="407">
        <f t="shared" si="23"/>
        <v>1726.8221050253512</v>
      </c>
      <c r="DP27" s="407">
        <f t="shared" si="23"/>
        <v>568.6884098722586</v>
      </c>
    </row>
    <row r="28" spans="1:120" x14ac:dyDescent="0.2">
      <c r="A28" s="375">
        <v>2000</v>
      </c>
      <c r="B28" s="376" t="s">
        <v>106</v>
      </c>
      <c r="C28" s="376">
        <v>50</v>
      </c>
      <c r="D28" s="376" t="s">
        <v>106</v>
      </c>
      <c r="E28" s="376">
        <v>300</v>
      </c>
      <c r="F28" s="376">
        <v>45</v>
      </c>
      <c r="G28" s="357">
        <f t="shared" si="0"/>
        <v>395</v>
      </c>
      <c r="H28" s="358">
        <f>1-(B$55+D$55)</f>
        <v>0.48009263536245572</v>
      </c>
      <c r="I28" s="357">
        <f t="shared" si="24"/>
        <v>822.75788234449112</v>
      </c>
      <c r="J28" s="377">
        <f t="shared" si="25"/>
        <v>822.75788234449112</v>
      </c>
      <c r="L28" s="360">
        <v>867.82673267326732</v>
      </c>
      <c r="M28" s="360"/>
      <c r="N28" s="361" t="s">
        <v>309</v>
      </c>
      <c r="O28" s="317" t="s">
        <v>312</v>
      </c>
      <c r="Q28" s="354">
        <f t="shared" si="26"/>
        <v>2000</v>
      </c>
      <c r="R28" s="291">
        <f t="shared" si="5"/>
        <v>3</v>
      </c>
      <c r="S28" s="362">
        <f>'A6-Chin (NEW2+Khutz)'!C21</f>
        <v>18085</v>
      </c>
      <c r="T28" s="362">
        <f>IF(R28&gt;=3,S28+J28,"")</f>
        <v>18907.757882344493</v>
      </c>
      <c r="U28" s="378">
        <f t="shared" si="27"/>
        <v>4.3514301773070523E-2</v>
      </c>
      <c r="V28" s="379">
        <f t="shared" si="28"/>
        <v>822.75788234449112</v>
      </c>
      <c r="W28" s="379">
        <f t="shared" si="29"/>
        <v>822.75788234449112</v>
      </c>
      <c r="X28" s="379">
        <f t="shared" si="6"/>
        <v>983.07692307692309</v>
      </c>
      <c r="Y28" s="380">
        <f t="shared" si="7"/>
        <v>2.3333277671039006</v>
      </c>
      <c r="Z28" s="380"/>
      <c r="AA28" s="379">
        <f t="shared" si="8"/>
        <v>1919.7638124780051</v>
      </c>
      <c r="AB28" s="379">
        <f t="shared" si="42"/>
        <v>1919.7638124780051</v>
      </c>
      <c r="AC28" s="381">
        <f t="shared" si="9"/>
        <v>2293.8406818144499</v>
      </c>
      <c r="AD28" s="382"/>
      <c r="AE28" s="383"/>
      <c r="AI28" s="384">
        <f t="shared" si="30"/>
        <v>822.75788234449112</v>
      </c>
      <c r="AJ28" s="345">
        <v>300</v>
      </c>
      <c r="AK28" s="372">
        <f t="shared" si="10"/>
        <v>0.26719919291375083</v>
      </c>
      <c r="AL28" s="373">
        <f t="shared" si="31"/>
        <v>2619.762142609175</v>
      </c>
      <c r="AN28" s="296"/>
      <c r="AO28" s="296"/>
      <c r="AP28" s="296"/>
      <c r="AQ28" s="365"/>
      <c r="AR28" s="296"/>
      <c r="AS28" s="296"/>
      <c r="AT28" s="296"/>
      <c r="AU28" s="296"/>
      <c r="AV28" s="296"/>
      <c r="AW28" s="296"/>
      <c r="AY28" s="366"/>
      <c r="BA28" s="411"/>
      <c r="BB28" s="412"/>
      <c r="BH28" s="370">
        <f t="shared" si="3"/>
        <v>232.95262933687954</v>
      </c>
      <c r="BJ28" s="370">
        <f>E28</f>
        <v>300</v>
      </c>
      <c r="BM28" s="385">
        <f t="shared" si="43"/>
        <v>1919.7638124780051</v>
      </c>
      <c r="BN28" s="386">
        <f t="shared" si="11"/>
        <v>374.07686933644482</v>
      </c>
      <c r="BP28" s="387">
        <f t="shared" si="12"/>
        <v>2000</v>
      </c>
      <c r="BQ28" s="387" t="str">
        <f t="shared" si="12"/>
        <v>UNK</v>
      </c>
      <c r="BR28" s="387" t="str">
        <f t="shared" si="13"/>
        <v>UNK</v>
      </c>
      <c r="BS28" s="387">
        <f t="shared" si="13"/>
        <v>300</v>
      </c>
      <c r="BT28" s="387">
        <f t="shared" si="13"/>
        <v>45</v>
      </c>
      <c r="BV28" s="388">
        <f t="shared" si="32"/>
        <v>2000</v>
      </c>
      <c r="BW28" s="389"/>
      <c r="BX28" s="389"/>
      <c r="BY28" s="389">
        <f t="shared" si="14"/>
        <v>699.99833013117018</v>
      </c>
      <c r="BZ28" s="389">
        <f t="shared" si="14"/>
        <v>104.99974951967552</v>
      </c>
      <c r="CA28" s="294"/>
      <c r="CB28" s="415">
        <v>2000</v>
      </c>
      <c r="CC28" s="391" t="str">
        <f t="shared" si="15"/>
        <v/>
      </c>
      <c r="CD28" s="391" t="str">
        <f t="shared" si="15"/>
        <v/>
      </c>
      <c r="CE28" s="391">
        <f t="shared" si="15"/>
        <v>0.87499791266396276</v>
      </c>
      <c r="CF28" s="391">
        <f t="shared" si="15"/>
        <v>8.0769038092058085E-2</v>
      </c>
      <c r="CG28" s="392">
        <f t="shared" si="33"/>
        <v>0.4778834753780104</v>
      </c>
      <c r="CH28" s="393">
        <f t="shared" si="34"/>
        <v>2293.8406818144499</v>
      </c>
      <c r="CI28" s="394">
        <f t="shared" si="35"/>
        <v>2293.8406818144499</v>
      </c>
      <c r="CJ28" s="395">
        <f>CI28*CN28</f>
        <v>2293.8406818144499</v>
      </c>
      <c r="CK28" s="396">
        <f t="shared" si="16"/>
        <v>1919.7638124780051</v>
      </c>
      <c r="CL28" s="397">
        <f t="shared" si="17"/>
        <v>887.92007151359746</v>
      </c>
      <c r="CN28" s="414">
        <f t="shared" si="36"/>
        <v>1</v>
      </c>
      <c r="CO28" s="399">
        <f>CK28/CJ28</f>
        <v>0.83692116357420843</v>
      </c>
      <c r="CP28" s="398">
        <f t="shared" si="37"/>
        <v>0.38708881508337545</v>
      </c>
      <c r="CQ28" s="400"/>
      <c r="CR28" s="420">
        <f t="shared" ref="CR28:CR46" si="44">CB28</f>
        <v>2000</v>
      </c>
      <c r="CS28" s="421">
        <f>CL28</f>
        <v>887.92007151359746</v>
      </c>
      <c r="CT28" s="422">
        <f>CI28</f>
        <v>2293.8406818144499</v>
      </c>
      <c r="CU28" s="423">
        <f>CK28</f>
        <v>1919.7638124780051</v>
      </c>
      <c r="CV28" s="409">
        <f>CT28-CS28</f>
        <v>1405.9206103008523</v>
      </c>
      <c r="CW28" s="409">
        <f>CT28-CU28</f>
        <v>374.07686933644482</v>
      </c>
      <c r="CX28" s="409">
        <f>$S28+CS28</f>
        <v>18972.920071513596</v>
      </c>
      <c r="CY28" s="409">
        <f>$S28+CT28</f>
        <v>20378.84068181445</v>
      </c>
      <c r="CZ28" s="409">
        <f>CY28-CX28</f>
        <v>1405.9206103008546</v>
      </c>
      <c r="DA28" s="409">
        <f t="shared" ref="DA28:DA46" si="45">CZ28*0.21</f>
        <v>295.24332816317946</v>
      </c>
      <c r="DB28" s="295">
        <f t="shared" ref="DB28:DC43" si="46">CS28/CX28</f>
        <v>4.679933653685403E-2</v>
      </c>
      <c r="DC28" s="295">
        <f t="shared" si="46"/>
        <v>0.1125599202442077</v>
      </c>
      <c r="DE28" s="401">
        <f t="shared" si="38"/>
        <v>0.1125599202442077</v>
      </c>
      <c r="DF28" s="401">
        <f t="shared" si="18"/>
        <v>9.5965332581459881E-2</v>
      </c>
      <c r="DG28" s="402"/>
      <c r="DH28" s="403">
        <f t="shared" si="39"/>
        <v>-0.1125599202442077</v>
      </c>
      <c r="DI28" s="370">
        <f t="shared" si="19"/>
        <v>1405.9206103008523</v>
      </c>
      <c r="DK28" s="296">
        <f t="shared" si="20"/>
        <v>2000</v>
      </c>
      <c r="DL28" s="404">
        <f t="shared" si="21"/>
        <v>0.87499791266396276</v>
      </c>
      <c r="DM28" s="405">
        <f t="shared" si="22"/>
        <v>4199.9899807870215</v>
      </c>
      <c r="DN28" s="406">
        <f t="shared" si="40"/>
        <v>0.18846721422841287</v>
      </c>
      <c r="DO28" s="407">
        <f t="shared" si="23"/>
        <v>1919.7638124780051</v>
      </c>
      <c r="DP28" s="407">
        <f t="shared" si="23"/>
        <v>887.92007151359746</v>
      </c>
    </row>
    <row r="29" spans="1:120" x14ac:dyDescent="0.2">
      <c r="A29" s="375">
        <v>2001</v>
      </c>
      <c r="B29" s="376" t="s">
        <v>106</v>
      </c>
      <c r="C29" s="376" t="s">
        <v>106</v>
      </c>
      <c r="D29" s="424">
        <f>1225/Y29</f>
        <v>525.00125240461</v>
      </c>
      <c r="E29" s="376">
        <v>700</v>
      </c>
      <c r="F29" s="376">
        <v>50</v>
      </c>
      <c r="G29" s="357">
        <f t="shared" si="0"/>
        <v>1275.0012524046101</v>
      </c>
      <c r="H29" s="358">
        <f>1-(B$55+C$55)</f>
        <v>0.84162094768012197</v>
      </c>
      <c r="I29" s="357">
        <f t="shared" si="24"/>
        <v>1514.9352638133296</v>
      </c>
      <c r="J29" s="377">
        <f t="shared" si="25"/>
        <v>1514.9352638133296</v>
      </c>
      <c r="L29" s="360">
        <v>1787.8537222464086</v>
      </c>
      <c r="M29" s="360"/>
      <c r="N29" s="361" t="s">
        <v>309</v>
      </c>
      <c r="O29" s="317" t="s">
        <v>312</v>
      </c>
      <c r="Q29" s="425">
        <f t="shared" si="26"/>
        <v>2001</v>
      </c>
      <c r="R29" s="291">
        <f t="shared" si="5"/>
        <v>3</v>
      </c>
      <c r="S29" s="362">
        <f>'A6-Chin (NEW2+Khutz)'!C22</f>
        <v>29341</v>
      </c>
      <c r="T29" s="362">
        <f>IF(R29&gt;=3,S29+J29,"")</f>
        <v>30855.935263813328</v>
      </c>
      <c r="U29" s="426">
        <f>IF(R29&gt;=3,J29/T29,AVERAGE(U$20:U$24,U$26:U$28))</f>
        <v>4.909704570160893E-2</v>
      </c>
      <c r="V29" s="379">
        <f t="shared" si="28"/>
        <v>1514.9352638133296</v>
      </c>
      <c r="W29" s="379">
        <f t="shared" si="29"/>
        <v>1514.9352638133296</v>
      </c>
      <c r="X29" s="379">
        <f t="shared" si="6"/>
        <v>2057.1477645241862</v>
      </c>
      <c r="Y29" s="380">
        <f t="shared" si="7"/>
        <v>2.3333277671039006</v>
      </c>
      <c r="Z29" s="380"/>
      <c r="AA29" s="379">
        <f t="shared" si="8"/>
        <v>3534.8405164205146</v>
      </c>
      <c r="AB29" s="379">
        <f t="shared" si="42"/>
        <v>3534.8405164205146</v>
      </c>
      <c r="AC29" s="381">
        <f t="shared" si="9"/>
        <v>4800</v>
      </c>
      <c r="AD29" s="382"/>
      <c r="AE29" s="383"/>
      <c r="AI29" s="384">
        <f t="shared" si="30"/>
        <v>1514.9352638133296</v>
      </c>
      <c r="AJ29" s="345">
        <v>600</v>
      </c>
      <c r="AK29" s="372">
        <f t="shared" si="10"/>
        <v>0.28369662668453088</v>
      </c>
      <c r="AL29" s="373">
        <f t="shared" si="31"/>
        <v>4934.837176682855</v>
      </c>
      <c r="AN29" s="427">
        <f>BH29</f>
        <v>428.93317773491805</v>
      </c>
      <c r="AO29" s="296">
        <v>1225</v>
      </c>
      <c r="AP29" s="428">
        <f>AN29/AO29</f>
        <v>0.35014953284483108</v>
      </c>
      <c r="AQ29" s="429">
        <f>1/AP29</f>
        <v>2.8559227021535123</v>
      </c>
      <c r="AR29" s="430">
        <f>$AO29/(1-($B60+$C60+$E60+$F60))</f>
        <v>4578.8574413413917</v>
      </c>
      <c r="AS29" s="296"/>
      <c r="AT29" s="296"/>
      <c r="AU29" s="296"/>
      <c r="AV29" s="296"/>
      <c r="AW29" s="296"/>
      <c r="AY29" s="431">
        <f>AQ29</f>
        <v>2.8559227021535123</v>
      </c>
      <c r="BA29" s="411">
        <f t="shared" ref="BA29:BA51" si="47">AY29*J29</f>
        <v>4326.5380122174083</v>
      </c>
      <c r="BB29" s="412"/>
      <c r="BH29" s="370">
        <f t="shared" si="3"/>
        <v>428.93317773491805</v>
      </c>
      <c r="BJ29" s="432">
        <v>474</v>
      </c>
      <c r="BK29" s="370">
        <f>AO29-BJ29</f>
        <v>751</v>
      </c>
      <c r="BM29" s="413">
        <f t="shared" si="43"/>
        <v>3534.8405164205146</v>
      </c>
      <c r="BN29" s="386">
        <f t="shared" si="11"/>
        <v>1265.1594835794854</v>
      </c>
      <c r="BP29" s="338">
        <f t="shared" si="12"/>
        <v>2001</v>
      </c>
      <c r="BQ29" s="338" t="str">
        <f t="shared" si="12"/>
        <v>UNK</v>
      </c>
      <c r="BR29" s="433">
        <f t="shared" si="13"/>
        <v>525.00125240461</v>
      </c>
      <c r="BS29" s="338">
        <f t="shared" si="13"/>
        <v>700</v>
      </c>
      <c r="BT29" s="338">
        <f t="shared" si="13"/>
        <v>50</v>
      </c>
      <c r="BV29" s="296">
        <f t="shared" si="32"/>
        <v>2001</v>
      </c>
      <c r="BW29" s="389"/>
      <c r="BX29" s="389">
        <f>IF((ISERROR(BR29)),"",BR29*$Y29)</f>
        <v>1225</v>
      </c>
      <c r="BY29" s="389">
        <f t="shared" si="14"/>
        <v>1633.3294369727305</v>
      </c>
      <c r="BZ29" s="389">
        <f t="shared" si="14"/>
        <v>116.66638835519502</v>
      </c>
      <c r="CA29" s="294"/>
      <c r="CB29" s="415">
        <v>2001</v>
      </c>
      <c r="CC29" s="391" t="str">
        <f t="shared" si="15"/>
        <v/>
      </c>
      <c r="CD29" s="391">
        <f t="shared" si="15"/>
        <v>1.3611111111111112</v>
      </c>
      <c r="CE29" s="391">
        <f t="shared" si="15"/>
        <v>2.0416617962159131</v>
      </c>
      <c r="CF29" s="391">
        <f t="shared" si="15"/>
        <v>8.9743375657842323E-2</v>
      </c>
      <c r="CG29" s="392">
        <f t="shared" si="33"/>
        <v>1.1641720943282889</v>
      </c>
      <c r="CH29" s="393">
        <f t="shared" si="34"/>
        <v>4800</v>
      </c>
      <c r="CI29" s="394">
        <f t="shared" si="35"/>
        <v>5588.0260527757873</v>
      </c>
      <c r="CJ29" s="395">
        <f>CI29*CN29</f>
        <v>4800</v>
      </c>
      <c r="CK29" s="423">
        <f t="shared" si="16"/>
        <v>3534.8405164205146</v>
      </c>
      <c r="CL29" s="434">
        <f t="shared" ref="CL29:CL50" si="48">AA29</f>
        <v>3534.8405164205146</v>
      </c>
      <c r="CN29" s="414">
        <f t="shared" si="36"/>
        <v>0.85897953135269578</v>
      </c>
      <c r="CO29" s="435">
        <f>CJ29*CO$2</f>
        <v>4861.4314469044339</v>
      </c>
      <c r="CP29" s="414"/>
      <c r="CQ29" s="400"/>
      <c r="CR29" s="420">
        <f t="shared" si="44"/>
        <v>2001</v>
      </c>
      <c r="CS29" s="421">
        <f t="shared" ref="CS29:CS46" si="49">CL29</f>
        <v>3534.8405164205146</v>
      </c>
      <c r="CT29" s="422">
        <f t="shared" ref="CT29:CT43" si="50">CI29</f>
        <v>5588.0260527757873</v>
      </c>
      <c r="CU29" s="423">
        <f t="shared" ref="CU29:CU43" si="51">CK29</f>
        <v>3534.8405164205146</v>
      </c>
      <c r="CV29" s="409">
        <f t="shared" ref="CV29:CV46" si="52">CT29-CS29</f>
        <v>2053.1855363552727</v>
      </c>
      <c r="CW29" s="409">
        <f t="shared" ref="CW29:CW46" si="53">CT29-CU29</f>
        <v>2053.1855363552727</v>
      </c>
      <c r="CX29" s="409">
        <f t="shared" ref="CX29:CX50" si="54">S29+CS29</f>
        <v>32875.840516420518</v>
      </c>
      <c r="CY29" s="409">
        <f t="shared" ref="CY29:CY46" si="55">$S29+CT29</f>
        <v>34929.026052775786</v>
      </c>
      <c r="CZ29" s="409">
        <f t="shared" ref="CZ29:CZ46" si="56">CY29-CX29</f>
        <v>2053.1855363552677</v>
      </c>
      <c r="DA29" s="409">
        <f t="shared" si="45"/>
        <v>431.1689626346062</v>
      </c>
      <c r="DB29" s="295">
        <f t="shared" si="46"/>
        <v>0.1075209169072032</v>
      </c>
      <c r="DC29" s="295">
        <f t="shared" si="46"/>
        <v>0.15998230366723068</v>
      </c>
      <c r="DE29" s="401">
        <f t="shared" si="38"/>
        <v>0.14059342139949035</v>
      </c>
      <c r="DF29" s="401">
        <f t="shared" si="18"/>
        <v>0.1075209169072032</v>
      </c>
      <c r="DG29" s="401">
        <f t="shared" si="18"/>
        <v>0.1075209169072032</v>
      </c>
      <c r="DH29" s="403">
        <f t="shared" si="39"/>
        <v>-3.3072504492287158E-2</v>
      </c>
      <c r="DI29" s="370">
        <f t="shared" si="19"/>
        <v>1265.1594835794854</v>
      </c>
      <c r="DK29" s="296">
        <f t="shared" si="20"/>
        <v>2001</v>
      </c>
      <c r="DL29" s="404">
        <f t="shared" si="21"/>
        <v>2.0416617962159131</v>
      </c>
      <c r="DM29" s="405">
        <f t="shared" si="22"/>
        <v>9799.9766218363839</v>
      </c>
      <c r="DN29" s="406">
        <f t="shared" si="40"/>
        <v>0.25037639496120978</v>
      </c>
      <c r="DO29" s="407">
        <f t="shared" si="23"/>
        <v>3534.8405164205146</v>
      </c>
      <c r="DP29" s="407">
        <f t="shared" si="23"/>
        <v>3534.8405164205146</v>
      </c>
    </row>
    <row r="30" spans="1:120" x14ac:dyDescent="0.2">
      <c r="A30" s="375">
        <v>2002</v>
      </c>
      <c r="B30" s="376" t="s">
        <v>106</v>
      </c>
      <c r="C30" s="376" t="s">
        <v>106</v>
      </c>
      <c r="D30" s="376">
        <v>500</v>
      </c>
      <c r="E30" s="376">
        <v>600</v>
      </c>
      <c r="F30" s="376" t="s">
        <v>106</v>
      </c>
      <c r="G30" s="357">
        <f t="shared" si="0"/>
        <v>1100</v>
      </c>
      <c r="H30" s="358">
        <f t="shared" ref="H30:H36" si="57">1-(B$55+C$55+F$55)</f>
        <v>0.78593314582663321</v>
      </c>
      <c r="I30" s="357">
        <f t="shared" si="24"/>
        <v>1399.6101396678414</v>
      </c>
      <c r="J30" s="377">
        <f t="shared" si="25"/>
        <v>1399.6101396678414</v>
      </c>
      <c r="L30" s="360">
        <v>1917.7104377104381</v>
      </c>
      <c r="M30" s="360"/>
      <c r="N30" s="361" t="s">
        <v>309</v>
      </c>
      <c r="O30" s="317" t="s">
        <v>312</v>
      </c>
      <c r="Q30" s="354">
        <f t="shared" si="26"/>
        <v>2002</v>
      </c>
      <c r="R30" s="291">
        <f t="shared" si="5"/>
        <v>2</v>
      </c>
      <c r="S30" s="362">
        <f>'A6-Chin (NEW2+Khutz)'!C23</f>
        <v>14360</v>
      </c>
      <c r="T30" s="362" t="str">
        <f t="shared" si="41"/>
        <v/>
      </c>
      <c r="U30" s="426">
        <f>IF(R30&gt;=3,J30/T30,AVERAGE(U$20:U$24,U$26:U$29))</f>
        <v>4.8953651810677679E-2</v>
      </c>
      <c r="V30" s="379">
        <f t="shared" si="28"/>
        <v>739.15897089527789</v>
      </c>
      <c r="W30" s="379">
        <f t="shared" si="29"/>
        <v>1399.6101396678414</v>
      </c>
      <c r="X30" s="379">
        <f t="shared" si="6"/>
        <v>2415.7672454246836</v>
      </c>
      <c r="Y30" s="436">
        <f t="shared" ref="Y30:Y34" si="58">AY30</f>
        <v>1.9869463869463868</v>
      </c>
      <c r="Z30" s="380"/>
      <c r="AA30" s="379">
        <f t="shared" si="8"/>
        <v>1468.6692465993819</v>
      </c>
      <c r="AB30" s="379">
        <f t="shared" si="42"/>
        <v>2780.9503101465452</v>
      </c>
      <c r="AC30" s="381">
        <f t="shared" si="9"/>
        <v>4800</v>
      </c>
      <c r="AD30" s="382"/>
      <c r="AE30" s="383"/>
      <c r="AI30" s="384">
        <f t="shared" si="30"/>
        <v>739.15897089527789</v>
      </c>
      <c r="AJ30" s="345">
        <v>300</v>
      </c>
      <c r="AK30" s="372">
        <f t="shared" si="10"/>
        <v>0.28869500086357119</v>
      </c>
      <c r="AL30" s="373">
        <f t="shared" si="31"/>
        <v>2064.7531626832979</v>
      </c>
      <c r="AN30" s="409">
        <f>D30</f>
        <v>500</v>
      </c>
      <c r="AO30" s="296">
        <v>1010</v>
      </c>
      <c r="AP30" s="410">
        <f>AN30/AO30</f>
        <v>0.49504950495049505</v>
      </c>
      <c r="AQ30" s="365">
        <f>1/AP30</f>
        <v>2.02</v>
      </c>
      <c r="AR30" s="430">
        <f>$AO30/(1-($B61+$C61+$E61+$F61))</f>
        <v>3677.7183501490581</v>
      </c>
      <c r="AS30" s="409">
        <f>E30</f>
        <v>600</v>
      </c>
      <c r="AT30" s="409">
        <v>1175.6410256410256</v>
      </c>
      <c r="AU30" s="409">
        <v>943.12211246834249</v>
      </c>
      <c r="AV30" s="409">
        <v>1464.6281433976515</v>
      </c>
      <c r="AW30" s="437">
        <f>AT30/AS30</f>
        <v>1.9594017094017093</v>
      </c>
      <c r="AY30" s="431">
        <f>(AO30+AT30)/(AN30+AS30)</f>
        <v>1.9869463869463868</v>
      </c>
      <c r="BA30" s="411">
        <f t="shared" si="47"/>
        <v>2780.9503101465452</v>
      </c>
      <c r="BB30" s="412"/>
      <c r="BH30" s="370">
        <f t="shared" si="3"/>
        <v>396.28044784342251</v>
      </c>
      <c r="BJ30" s="432">
        <v>500</v>
      </c>
      <c r="BK30" s="370">
        <f>AO30-BJ30</f>
        <v>510</v>
      </c>
      <c r="BM30" s="413">
        <f t="shared" si="43"/>
        <v>1468.6692465993819</v>
      </c>
      <c r="BN30" s="386">
        <f t="shared" si="11"/>
        <v>3331.3307534006181</v>
      </c>
      <c r="BP30" s="338">
        <f t="shared" si="12"/>
        <v>2002</v>
      </c>
      <c r="BQ30" s="338" t="str">
        <f t="shared" si="12"/>
        <v>UNK</v>
      </c>
      <c r="BR30" s="433">
        <f t="shared" si="13"/>
        <v>500</v>
      </c>
      <c r="BS30" s="338">
        <f t="shared" si="13"/>
        <v>600</v>
      </c>
      <c r="BT30" s="338" t="str">
        <f t="shared" si="13"/>
        <v>UNK</v>
      </c>
      <c r="BV30" s="296">
        <f t="shared" si="32"/>
        <v>2002</v>
      </c>
      <c r="BW30" s="389"/>
      <c r="BX30" s="389">
        <f t="shared" ref="BX30:BX35" si="59">IF((ISERROR(BR30)),"",BR30*$Y30)</f>
        <v>993.47319347319342</v>
      </c>
      <c r="BY30" s="389">
        <f t="shared" si="14"/>
        <v>1192.1678321678321</v>
      </c>
      <c r="BZ30" s="389"/>
      <c r="CA30" s="294"/>
      <c r="CB30" s="415">
        <v>2002</v>
      </c>
      <c r="CC30" s="391" t="str">
        <f t="shared" si="15"/>
        <v/>
      </c>
      <c r="CD30" s="391">
        <f t="shared" si="15"/>
        <v>1.1038591038591039</v>
      </c>
      <c r="CE30" s="391">
        <f t="shared" si="15"/>
        <v>1.4902097902097902</v>
      </c>
      <c r="CF30" s="391" t="str">
        <f t="shared" si="15"/>
        <v/>
      </c>
      <c r="CG30" s="392">
        <f t="shared" si="33"/>
        <v>1.297034447034447</v>
      </c>
      <c r="CH30" s="438">
        <f t="shared" si="34"/>
        <v>4800</v>
      </c>
      <c r="CI30" s="394">
        <f t="shared" si="35"/>
        <v>6225.765345765346</v>
      </c>
      <c r="CJ30" s="395">
        <f>CI30*CN30</f>
        <v>4800</v>
      </c>
      <c r="CK30" s="423">
        <f t="shared" si="16"/>
        <v>2780.9503101465452</v>
      </c>
      <c r="CL30" s="434">
        <f t="shared" si="48"/>
        <v>1468.6692465993819</v>
      </c>
      <c r="CN30" s="414">
        <f t="shared" si="36"/>
        <v>0.77098954641213291</v>
      </c>
      <c r="CO30" s="435">
        <f>CJ30*CO$2</f>
        <v>4861.4314469044339</v>
      </c>
      <c r="CP30" s="414"/>
      <c r="CQ30" s="400"/>
      <c r="CR30" s="420">
        <f t="shared" si="44"/>
        <v>2002</v>
      </c>
      <c r="CS30" s="421">
        <f t="shared" si="49"/>
        <v>1468.6692465993819</v>
      </c>
      <c r="CT30" s="422">
        <f t="shared" si="50"/>
        <v>6225.765345765346</v>
      </c>
      <c r="CU30" s="423">
        <f t="shared" si="51"/>
        <v>2780.9503101465452</v>
      </c>
      <c r="CV30" s="409">
        <f t="shared" si="52"/>
        <v>4757.096099165964</v>
      </c>
      <c r="CW30" s="409">
        <f t="shared" si="53"/>
        <v>3444.8150356188007</v>
      </c>
      <c r="CX30" s="409">
        <f t="shared" si="54"/>
        <v>15828.669246599382</v>
      </c>
      <c r="CY30" s="409">
        <f t="shared" si="55"/>
        <v>20585.765345765347</v>
      </c>
      <c r="CZ30" s="409">
        <f t="shared" si="56"/>
        <v>4757.0960991659649</v>
      </c>
      <c r="DA30" s="409">
        <f t="shared" si="45"/>
        <v>998.99018082485259</v>
      </c>
      <c r="DB30" s="295">
        <f t="shared" si="46"/>
        <v>9.278538983401334E-2</v>
      </c>
      <c r="DC30" s="295">
        <f t="shared" si="46"/>
        <v>0.30243059906665237</v>
      </c>
      <c r="DE30" s="401">
        <f t="shared" si="38"/>
        <v>0.25052192066805845</v>
      </c>
      <c r="DF30" s="401">
        <f t="shared" si="18"/>
        <v>0.1622401477064179</v>
      </c>
      <c r="DG30" s="401">
        <f t="shared" si="18"/>
        <v>9.278538983401334E-2</v>
      </c>
      <c r="DH30" s="403">
        <f t="shared" si="39"/>
        <v>-0.1577365308340451</v>
      </c>
      <c r="DI30" s="370">
        <f t="shared" si="19"/>
        <v>3331.3307534006181</v>
      </c>
      <c r="DK30" s="296">
        <f t="shared" si="20"/>
        <v>2002</v>
      </c>
      <c r="DL30" s="404">
        <f t="shared" si="21"/>
        <v>1.4902097902097902</v>
      </c>
      <c r="DM30" s="405">
        <f t="shared" si="22"/>
        <v>7153.0069930069931</v>
      </c>
      <c r="DN30" s="406">
        <f t="shared" si="40"/>
        <v>0.33249684692298687</v>
      </c>
      <c r="DO30" s="407">
        <f t="shared" si="23"/>
        <v>2780.9503101465452</v>
      </c>
      <c r="DP30" s="407">
        <f t="shared" si="23"/>
        <v>1468.6692465993819</v>
      </c>
    </row>
    <row r="31" spans="1:120" x14ac:dyDescent="0.2">
      <c r="A31" s="375">
        <v>2003</v>
      </c>
      <c r="B31" s="376" t="s">
        <v>106</v>
      </c>
      <c r="C31" s="376" t="s">
        <v>106</v>
      </c>
      <c r="D31" s="376">
        <v>450</v>
      </c>
      <c r="E31" s="376">
        <v>450</v>
      </c>
      <c r="F31" s="376" t="s">
        <v>106</v>
      </c>
      <c r="G31" s="357">
        <f>SUM(B31:F31)</f>
        <v>900</v>
      </c>
      <c r="H31" s="358">
        <f t="shared" si="57"/>
        <v>0.78593314582663321</v>
      </c>
      <c r="I31" s="357">
        <f t="shared" si="24"/>
        <v>1145.1355688191429</v>
      </c>
      <c r="J31" s="377">
        <f t="shared" si="25"/>
        <v>1145.1355688191429</v>
      </c>
      <c r="L31" s="360">
        <v>1534.0992167101826</v>
      </c>
      <c r="M31" s="360"/>
      <c r="N31" s="361" t="s">
        <v>309</v>
      </c>
      <c r="O31" s="317" t="s">
        <v>312</v>
      </c>
      <c r="Q31" s="354">
        <f t="shared" si="26"/>
        <v>2003</v>
      </c>
      <c r="R31" s="291">
        <f t="shared" si="5"/>
        <v>2</v>
      </c>
      <c r="S31" s="362">
        <f>'A6-Chin (NEW2+Khutz)'!C24</f>
        <v>30740</v>
      </c>
      <c r="T31" s="362" t="str">
        <f t="shared" si="41"/>
        <v/>
      </c>
      <c r="U31" s="426">
        <f t="shared" ref="U31:U48" si="60">IF(R31&gt;=3,J31/T31,AVERAGE(U$20:U$24,U$26:U$29))</f>
        <v>4.8953651810677679E-2</v>
      </c>
      <c r="V31" s="379">
        <f t="shared" si="28"/>
        <v>1582.2943429889165</v>
      </c>
      <c r="W31" s="379">
        <f t="shared" si="29"/>
        <v>1145.1355688191429</v>
      </c>
      <c r="X31" s="379">
        <f>AC31/Y31</f>
        <v>2550</v>
      </c>
      <c r="Y31" s="436">
        <f t="shared" si="58"/>
        <v>1.7138765432098764</v>
      </c>
      <c r="Z31" s="380"/>
      <c r="AA31" s="379">
        <f t="shared" si="8"/>
        <v>2711.8571589023868</v>
      </c>
      <c r="AB31" s="379">
        <f t="shared" si="42"/>
        <v>1962.6209901944283</v>
      </c>
      <c r="AC31" s="381">
        <f t="shared" si="9"/>
        <v>4370.385185185185</v>
      </c>
      <c r="AD31" s="382"/>
      <c r="AE31" s="383"/>
      <c r="AI31" s="384">
        <f t="shared" si="30"/>
        <v>1582.2943429889165</v>
      </c>
      <c r="AJ31" s="345">
        <v>150</v>
      </c>
      <c r="AK31" s="372">
        <f t="shared" si="10"/>
        <v>8.6590365319319018E-2</v>
      </c>
      <c r="AL31" s="373">
        <f t="shared" si="31"/>
        <v>2968.938640383868</v>
      </c>
      <c r="AN31" s="296"/>
      <c r="AO31" s="296"/>
      <c r="AP31" s="410"/>
      <c r="AQ31" s="365"/>
      <c r="AR31" s="296"/>
      <c r="AS31" s="409">
        <f>E31</f>
        <v>450</v>
      </c>
      <c r="AT31" s="409">
        <v>771.24444444444441</v>
      </c>
      <c r="AU31" s="409">
        <v>577.7777509932921</v>
      </c>
      <c r="AV31" s="409">
        <v>1027.6584718788317</v>
      </c>
      <c r="AW31" s="437">
        <f>AT31/AS31</f>
        <v>1.7138765432098764</v>
      </c>
      <c r="AY31" s="431">
        <f>AW31</f>
        <v>1.7138765432098764</v>
      </c>
      <c r="BA31" s="411">
        <f t="shared" si="47"/>
        <v>1962.6209901944283</v>
      </c>
      <c r="BB31" s="412"/>
      <c r="BH31" s="370">
        <f t="shared" si="3"/>
        <v>324.2294573264366</v>
      </c>
      <c r="BJ31" s="370">
        <f>D31</f>
        <v>450</v>
      </c>
      <c r="BM31" s="413">
        <f t="shared" si="43"/>
        <v>2711.8571589023868</v>
      </c>
      <c r="BN31" s="386">
        <f t="shared" si="11"/>
        <v>1658.5280262827982</v>
      </c>
      <c r="BP31" s="338">
        <f t="shared" si="12"/>
        <v>2003</v>
      </c>
      <c r="BQ31" s="338" t="str">
        <f t="shared" si="12"/>
        <v>UNK</v>
      </c>
      <c r="BR31" s="433">
        <f t="shared" si="13"/>
        <v>450</v>
      </c>
      <c r="BS31" s="338">
        <f t="shared" si="13"/>
        <v>450</v>
      </c>
      <c r="BT31" s="338" t="str">
        <f t="shared" si="13"/>
        <v>UNK</v>
      </c>
      <c r="BV31" s="296">
        <f t="shared" si="32"/>
        <v>2003</v>
      </c>
      <c r="BW31" s="389"/>
      <c r="BX31" s="389">
        <f t="shared" si="59"/>
        <v>771.24444444444441</v>
      </c>
      <c r="BY31" s="389">
        <f t="shared" si="14"/>
        <v>771.24444444444441</v>
      </c>
      <c r="BZ31" s="389"/>
      <c r="CA31" s="294"/>
      <c r="CB31" s="415">
        <v>2003</v>
      </c>
      <c r="CC31" s="391" t="str">
        <f t="shared" si="15"/>
        <v/>
      </c>
      <c r="CD31" s="391">
        <f t="shared" si="15"/>
        <v>0.85693827160493818</v>
      </c>
      <c r="CE31" s="391">
        <f t="shared" si="15"/>
        <v>0.96405555555555555</v>
      </c>
      <c r="CF31" s="391" t="str">
        <f t="shared" si="15"/>
        <v/>
      </c>
      <c r="CG31" s="392">
        <f t="shared" si="33"/>
        <v>0.91049691358024687</v>
      </c>
      <c r="CH31" s="393">
        <f t="shared" si="34"/>
        <v>4370.385185185185</v>
      </c>
      <c r="CI31" s="394">
        <f>$CG$2*$CG31</f>
        <v>4370.385185185185</v>
      </c>
      <c r="CJ31" s="395">
        <f>CI31*CN31</f>
        <v>4370.385185185185</v>
      </c>
      <c r="CK31" s="423">
        <f t="shared" si="16"/>
        <v>1962.6209901944283</v>
      </c>
      <c r="CL31" s="434">
        <f t="shared" si="48"/>
        <v>2711.8571589023868</v>
      </c>
      <c r="CN31" s="414">
        <f>CH31/CI31</f>
        <v>1</v>
      </c>
      <c r="CO31" s="435">
        <f>CJ31*CO$2</f>
        <v>4426.3183279884406</v>
      </c>
      <c r="CP31" s="414"/>
      <c r="CQ31" s="400"/>
      <c r="CR31" s="420">
        <f t="shared" si="44"/>
        <v>2003</v>
      </c>
      <c r="CS31" s="421">
        <f t="shared" si="49"/>
        <v>2711.8571589023868</v>
      </c>
      <c r="CT31" s="422">
        <f t="shared" si="50"/>
        <v>4370.385185185185</v>
      </c>
      <c r="CU31" s="423">
        <f t="shared" si="51"/>
        <v>1962.6209901944283</v>
      </c>
      <c r="CV31" s="409">
        <f t="shared" si="52"/>
        <v>1658.5280262827982</v>
      </c>
      <c r="CW31" s="409">
        <f t="shared" si="53"/>
        <v>2407.7641949907566</v>
      </c>
      <c r="CX31" s="409">
        <f t="shared" si="54"/>
        <v>33451.857158902385</v>
      </c>
      <c r="CY31" s="409">
        <f t="shared" si="55"/>
        <v>35110.385185185187</v>
      </c>
      <c r="CZ31" s="409">
        <f t="shared" si="56"/>
        <v>1658.5280262828019</v>
      </c>
      <c r="DA31" s="409">
        <f t="shared" si="45"/>
        <v>348.29088551938838</v>
      </c>
      <c r="DB31" s="295">
        <f t="shared" si="46"/>
        <v>8.1067461995325815E-2</v>
      </c>
      <c r="DC31" s="295">
        <f t="shared" si="46"/>
        <v>0.12447556932611686</v>
      </c>
      <c r="DE31" s="401">
        <f t="shared" si="38"/>
        <v>0.12447556932611686</v>
      </c>
      <c r="DF31" s="401">
        <f t="shared" si="18"/>
        <v>6.0014180232920829E-2</v>
      </c>
      <c r="DG31" s="401">
        <f t="shared" si="18"/>
        <v>8.1067461995325815E-2</v>
      </c>
      <c r="DH31" s="403">
        <f t="shared" si="39"/>
        <v>-4.3408107330791049E-2</v>
      </c>
      <c r="DI31" s="370">
        <f t="shared" si="19"/>
        <v>1658.5280262827982</v>
      </c>
      <c r="DK31" s="296">
        <f t="shared" si="20"/>
        <v>2003</v>
      </c>
      <c r="DL31" s="404">
        <f t="shared" si="21"/>
        <v>0.96405555555555555</v>
      </c>
      <c r="DM31" s="405">
        <f t="shared" si="22"/>
        <v>4627.4666666666662</v>
      </c>
      <c r="DN31" s="406">
        <f t="shared" si="40"/>
        <v>0.1308396417046174</v>
      </c>
      <c r="DO31" s="407">
        <f t="shared" si="23"/>
        <v>1962.6209901944283</v>
      </c>
      <c r="DP31" s="407">
        <f t="shared" si="23"/>
        <v>2711.8571589023868</v>
      </c>
    </row>
    <row r="32" spans="1:120" x14ac:dyDescent="0.2">
      <c r="A32" s="375">
        <v>2004</v>
      </c>
      <c r="B32" s="376" t="s">
        <v>106</v>
      </c>
      <c r="C32" s="376" t="s">
        <v>106</v>
      </c>
      <c r="D32" s="376">
        <f>115*2</f>
        <v>230</v>
      </c>
      <c r="E32" s="376">
        <v>400</v>
      </c>
      <c r="F32" s="376" t="s">
        <v>106</v>
      </c>
      <c r="G32" s="357">
        <f>SUM(B32:F32)</f>
        <v>630</v>
      </c>
      <c r="H32" s="358">
        <f t="shared" si="57"/>
        <v>0.78593314582663321</v>
      </c>
      <c r="I32" s="357">
        <f t="shared" si="24"/>
        <v>801.5948981734</v>
      </c>
      <c r="J32" s="377">
        <f t="shared" si="25"/>
        <v>801.5948981734</v>
      </c>
      <c r="L32" s="360">
        <v>1939.9733196511033</v>
      </c>
      <c r="M32" s="360"/>
      <c r="N32" s="361" t="s">
        <v>309</v>
      </c>
      <c r="O32" s="317" t="s">
        <v>312</v>
      </c>
      <c r="Q32" s="354">
        <f t="shared" si="26"/>
        <v>2004</v>
      </c>
      <c r="R32" s="291">
        <f t="shared" si="5"/>
        <v>2</v>
      </c>
      <c r="S32" s="362">
        <f>'A6-Chin (NEW2+Khutz)'!C25</f>
        <v>13736.6</v>
      </c>
      <c r="T32" s="362" t="str">
        <f t="shared" si="41"/>
        <v/>
      </c>
      <c r="U32" s="426">
        <f t="shared" si="60"/>
        <v>4.8953651810677679E-2</v>
      </c>
      <c r="V32" s="379">
        <f t="shared" si="28"/>
        <v>707.0704122284169</v>
      </c>
      <c r="W32" s="379">
        <f t="shared" si="29"/>
        <v>801.5948981734</v>
      </c>
      <c r="X32" s="379">
        <f t="shared" si="6"/>
        <v>1813.3333333333333</v>
      </c>
      <c r="Y32" s="436">
        <f t="shared" si="58"/>
        <v>2.0335869565217393</v>
      </c>
      <c r="Z32" s="380"/>
      <c r="AA32" s="379">
        <f t="shared" si="8"/>
        <v>1437.8891676501578</v>
      </c>
      <c r="AB32" s="379">
        <f t="shared" si="42"/>
        <v>1630.112929339798</v>
      </c>
      <c r="AC32" s="381">
        <f t="shared" si="9"/>
        <v>3687.5710144927539</v>
      </c>
      <c r="AD32" s="382"/>
      <c r="AE32" s="383"/>
      <c r="AI32" s="384">
        <f t="shared" si="30"/>
        <v>707.0704122284169</v>
      </c>
      <c r="AJ32" s="345"/>
      <c r="AK32" s="372" t="str">
        <f t="shared" si="10"/>
        <v/>
      </c>
      <c r="AL32" s="373">
        <f t="shared" si="31"/>
        <v>1841.9325947418361</v>
      </c>
      <c r="AN32" s="296"/>
      <c r="AO32" s="296"/>
      <c r="AP32" s="410"/>
      <c r="AQ32" s="365"/>
      <c r="AR32" s="296"/>
      <c r="AS32" s="409">
        <f>E32</f>
        <v>400</v>
      </c>
      <c r="AT32" s="409">
        <v>813.43478260869563</v>
      </c>
      <c r="AU32" s="409">
        <v>547.046783625731</v>
      </c>
      <c r="AV32" s="409">
        <v>1264.1216216216217</v>
      </c>
      <c r="AW32" s="437">
        <f>AT32/AS32</f>
        <v>2.0335869565217393</v>
      </c>
      <c r="AY32" s="431">
        <f>AW32</f>
        <v>2.0335869565217393</v>
      </c>
      <c r="BA32" s="411">
        <f t="shared" si="47"/>
        <v>1630.112929339798</v>
      </c>
      <c r="BB32" s="412"/>
      <c r="BG32" s="439"/>
      <c r="BH32" s="370">
        <f t="shared" si="3"/>
        <v>226.96062012850561</v>
      </c>
      <c r="BJ32" s="370">
        <f>E32</f>
        <v>400</v>
      </c>
      <c r="BM32" s="413">
        <f t="shared" si="43"/>
        <v>1437.8891676501578</v>
      </c>
      <c r="BN32" s="386">
        <f t="shared" si="11"/>
        <v>2249.6818468425963</v>
      </c>
      <c r="BP32" s="338">
        <f t="shared" si="12"/>
        <v>2004</v>
      </c>
      <c r="BQ32" s="338" t="str">
        <f t="shared" si="12"/>
        <v>UNK</v>
      </c>
      <c r="BR32" s="433">
        <f t="shared" si="13"/>
        <v>230</v>
      </c>
      <c r="BS32" s="338">
        <f t="shared" si="13"/>
        <v>400</v>
      </c>
      <c r="BT32" s="338" t="str">
        <f t="shared" si="13"/>
        <v>UNK</v>
      </c>
      <c r="BV32" s="296">
        <f t="shared" si="32"/>
        <v>2004</v>
      </c>
      <c r="BW32" s="389"/>
      <c r="BX32" s="389">
        <f t="shared" si="59"/>
        <v>467.72500000000002</v>
      </c>
      <c r="BY32" s="389">
        <f t="shared" si="14"/>
        <v>813.43478260869574</v>
      </c>
      <c r="BZ32" s="389"/>
      <c r="CA32" s="294"/>
      <c r="CB32" s="367">
        <v>2004</v>
      </c>
      <c r="CC32" s="391" t="str">
        <f t="shared" si="15"/>
        <v/>
      </c>
      <c r="CD32" s="391">
        <f t="shared" si="15"/>
        <v>0.51969444444444446</v>
      </c>
      <c r="CE32" s="391">
        <f t="shared" si="15"/>
        <v>1.0167934782608696</v>
      </c>
      <c r="CF32" s="391" t="str">
        <f t="shared" si="15"/>
        <v/>
      </c>
      <c r="CG32" s="392">
        <f t="shared" si="33"/>
        <v>0.76824396135265705</v>
      </c>
      <c r="CH32" s="438">
        <f t="shared" si="34"/>
        <v>3687.5710144927539</v>
      </c>
      <c r="CI32" s="394">
        <f t="shared" si="35"/>
        <v>3687.5710144927539</v>
      </c>
      <c r="CJ32" s="395">
        <f t="shared" ref="CJ32:CJ38" si="61">CI32*CN$2</f>
        <v>3478.2052070778113</v>
      </c>
      <c r="CK32" s="423">
        <f t="shared" si="16"/>
        <v>1630.112929339798</v>
      </c>
      <c r="CL32" s="434">
        <f t="shared" si="48"/>
        <v>1437.8891676501578</v>
      </c>
      <c r="CN32" s="296"/>
      <c r="CO32" s="435">
        <f t="shared" ref="CO32:CO38" si="62">CJ32*CO$2</f>
        <v>3522.7200359322537</v>
      </c>
      <c r="CP32" s="440">
        <f>CJ32/CL32</f>
        <v>2.4189661382330323</v>
      </c>
      <c r="CQ32" s="400"/>
      <c r="CR32" s="420">
        <f t="shared" si="44"/>
        <v>2004</v>
      </c>
      <c r="CS32" s="421">
        <f t="shared" si="49"/>
        <v>1437.8891676501578</v>
      </c>
      <c r="CT32" s="422">
        <f t="shared" si="50"/>
        <v>3687.5710144927539</v>
      </c>
      <c r="CU32" s="423">
        <f t="shared" si="51"/>
        <v>1630.112929339798</v>
      </c>
      <c r="CV32" s="409">
        <f t="shared" si="52"/>
        <v>2249.6818468425963</v>
      </c>
      <c r="CW32" s="409">
        <f t="shared" si="53"/>
        <v>2057.4580851529558</v>
      </c>
      <c r="CX32" s="409">
        <f t="shared" si="54"/>
        <v>15174.489167650157</v>
      </c>
      <c r="CY32" s="409">
        <f t="shared" si="55"/>
        <v>17424.171014492753</v>
      </c>
      <c r="CZ32" s="409">
        <f t="shared" si="56"/>
        <v>2249.6818468425954</v>
      </c>
      <c r="DA32" s="409">
        <f t="shared" si="45"/>
        <v>472.43318783694502</v>
      </c>
      <c r="DB32" s="295">
        <f t="shared" si="46"/>
        <v>9.4757006431263072E-2</v>
      </c>
      <c r="DC32" s="295">
        <f t="shared" si="46"/>
        <v>0.211635377741964</v>
      </c>
      <c r="DE32" s="401"/>
      <c r="DF32" s="401">
        <f t="shared" si="18"/>
        <v>0.10608078232706548</v>
      </c>
      <c r="DG32" s="401">
        <f t="shared" si="18"/>
        <v>9.4757006431263072E-2</v>
      </c>
      <c r="DH32" s="403">
        <f t="shared" si="39"/>
        <v>9.4757006431263072E-2</v>
      </c>
      <c r="DI32" s="370">
        <f t="shared" si="19"/>
        <v>2249.6818468425963</v>
      </c>
      <c r="DK32" s="296">
        <f t="shared" si="20"/>
        <v>2004</v>
      </c>
      <c r="DL32" s="404">
        <f t="shared" si="21"/>
        <v>1.0167934782608696</v>
      </c>
      <c r="DM32" s="405">
        <f t="shared" si="22"/>
        <v>4880.608695652174</v>
      </c>
      <c r="DN32" s="406">
        <f t="shared" si="40"/>
        <v>0.26215577079457575</v>
      </c>
      <c r="DO32" s="407">
        <f t="shared" si="23"/>
        <v>1630.112929339798</v>
      </c>
      <c r="DP32" s="407">
        <f t="shared" si="23"/>
        <v>1437.8891676501578</v>
      </c>
    </row>
    <row r="33" spans="1:120" x14ac:dyDescent="0.2">
      <c r="A33" s="375">
        <v>2005</v>
      </c>
      <c r="B33" s="376" t="s">
        <v>106</v>
      </c>
      <c r="C33" s="376" t="s">
        <v>106</v>
      </c>
      <c r="D33" s="424">
        <f>952/Y33</f>
        <v>383.0985915492958</v>
      </c>
      <c r="E33" s="376">
        <v>400</v>
      </c>
      <c r="F33" s="376" t="s">
        <v>106</v>
      </c>
      <c r="G33" s="357">
        <f t="shared" si="0"/>
        <v>783.09859154929586</v>
      </c>
      <c r="H33" s="358">
        <f t="shared" si="57"/>
        <v>0.78593314582663321</v>
      </c>
      <c r="I33" s="357">
        <f t="shared" si="24"/>
        <v>996.39339008363618</v>
      </c>
      <c r="J33" s="377">
        <f t="shared" si="25"/>
        <v>996.39339008363618</v>
      </c>
      <c r="L33" s="360">
        <v>1198.9354361754558</v>
      </c>
      <c r="M33" s="360"/>
      <c r="N33" s="361" t="s">
        <v>309</v>
      </c>
      <c r="O33" s="317" t="s">
        <v>312</v>
      </c>
      <c r="Q33" s="425">
        <f t="shared" si="26"/>
        <v>2005</v>
      </c>
      <c r="R33" s="291">
        <f t="shared" si="5"/>
        <v>2</v>
      </c>
      <c r="S33" s="362">
        <f>'A6-Chin (NEW2+Khutz)'!C26</f>
        <v>13109.8</v>
      </c>
      <c r="T33" s="362" t="str">
        <f t="shared" si="41"/>
        <v/>
      </c>
      <c r="U33" s="426">
        <f t="shared" si="60"/>
        <v>4.8953651810677679E-2</v>
      </c>
      <c r="V33" s="379">
        <f t="shared" si="28"/>
        <v>674.80684377736179</v>
      </c>
      <c r="W33" s="379">
        <f t="shared" si="29"/>
        <v>996.39339008363618</v>
      </c>
      <c r="X33" s="379">
        <f t="shared" si="6"/>
        <v>1931.5895372233401</v>
      </c>
      <c r="Y33" s="436">
        <f t="shared" si="58"/>
        <v>2.4849999999999999</v>
      </c>
      <c r="Z33" s="380"/>
      <c r="AA33" s="379">
        <f t="shared" si="8"/>
        <v>1676.895006786744</v>
      </c>
      <c r="AB33" s="379">
        <f t="shared" si="42"/>
        <v>2476.0375743578356</v>
      </c>
      <c r="AC33" s="381">
        <f t="shared" si="9"/>
        <v>4800</v>
      </c>
      <c r="AD33" s="382"/>
      <c r="AE33" s="383"/>
      <c r="AI33" s="384">
        <f t="shared" si="30"/>
        <v>674.80684377736179</v>
      </c>
      <c r="AJ33" s="345">
        <v>350</v>
      </c>
      <c r="AK33" s="372">
        <f t="shared" si="10"/>
        <v>0.34152777386802574</v>
      </c>
      <c r="AL33" s="373">
        <f t="shared" si="31"/>
        <v>2546.645006786744</v>
      </c>
      <c r="AN33" s="296"/>
      <c r="AO33" s="296">
        <v>952</v>
      </c>
      <c r="AP33" s="410"/>
      <c r="AQ33" s="430">
        <f>$AO33/(1-($B64+$C64+$E64+$F64))</f>
        <v>3302.2371890813497</v>
      </c>
      <c r="AR33" s="296"/>
      <c r="AS33" s="409">
        <f>E33</f>
        <v>400</v>
      </c>
      <c r="AT33" s="409">
        <v>994</v>
      </c>
      <c r="AU33" s="409">
        <v>784</v>
      </c>
      <c r="AV33" s="409">
        <v>1259</v>
      </c>
      <c r="AW33" s="437">
        <f>AT33/AS33</f>
        <v>2.4849999999999999</v>
      </c>
      <c r="AY33" s="431">
        <f>AW33</f>
        <v>2.4849999999999999</v>
      </c>
      <c r="BA33" s="411">
        <f t="shared" si="47"/>
        <v>2476.0375743578356</v>
      </c>
      <c r="BB33" s="412"/>
      <c r="BG33" s="439"/>
      <c r="BH33" s="370">
        <f t="shared" si="3"/>
        <v>282.1151459679167</v>
      </c>
      <c r="BJ33" s="370">
        <v>0</v>
      </c>
      <c r="BK33" s="290">
        <v>991</v>
      </c>
      <c r="BM33" s="413">
        <f t="shared" si="43"/>
        <v>1676.895006786744</v>
      </c>
      <c r="BN33" s="386">
        <f t="shared" si="11"/>
        <v>3123.104993213256</v>
      </c>
      <c r="BP33" s="338">
        <f t="shared" si="12"/>
        <v>2005</v>
      </c>
      <c r="BQ33" s="338" t="str">
        <f t="shared" si="12"/>
        <v>UNK</v>
      </c>
      <c r="BR33" s="433">
        <f t="shared" si="13"/>
        <v>383.0985915492958</v>
      </c>
      <c r="BS33" s="338">
        <f t="shared" si="13"/>
        <v>400</v>
      </c>
      <c r="BT33" s="338" t="str">
        <f t="shared" si="13"/>
        <v>UNK</v>
      </c>
      <c r="BV33" s="296">
        <f t="shared" si="32"/>
        <v>2005</v>
      </c>
      <c r="BW33" s="389"/>
      <c r="BX33" s="389">
        <f t="shared" si="59"/>
        <v>952</v>
      </c>
      <c r="BY33" s="389">
        <f t="shared" si="14"/>
        <v>994</v>
      </c>
      <c r="BZ33" s="389"/>
      <c r="CA33" s="294"/>
      <c r="CB33" s="367">
        <v>2005</v>
      </c>
      <c r="CC33" s="391" t="str">
        <f t="shared" si="15"/>
        <v/>
      </c>
      <c r="CD33" s="391">
        <f t="shared" si="15"/>
        <v>1.0577777777777777</v>
      </c>
      <c r="CE33" s="391">
        <f t="shared" si="15"/>
        <v>1.2424999999999999</v>
      </c>
      <c r="CF33" s="391" t="str">
        <f t="shared" si="15"/>
        <v/>
      </c>
      <c r="CG33" s="392">
        <f t="shared" si="33"/>
        <v>1.1501388888888888</v>
      </c>
      <c r="CH33" s="438">
        <f t="shared" si="34"/>
        <v>4800</v>
      </c>
      <c r="CI33" s="394">
        <f t="shared" si="35"/>
        <v>5520.6666666666661</v>
      </c>
      <c r="CJ33" s="395">
        <f t="shared" si="61"/>
        <v>5207.2248835544788</v>
      </c>
      <c r="CK33" s="423">
        <f t="shared" si="16"/>
        <v>2476.0375743578356</v>
      </c>
      <c r="CL33" s="434">
        <f t="shared" si="48"/>
        <v>1676.895006786744</v>
      </c>
      <c r="CN33" s="296"/>
      <c r="CO33" s="435">
        <f t="shared" si="62"/>
        <v>5273.8680833364624</v>
      </c>
      <c r="CP33" s="440">
        <f t="shared" ref="CP33:CP43" si="63">CJ33/CL33</f>
        <v>3.1052778274607253</v>
      </c>
      <c r="CQ33" s="400"/>
      <c r="CR33" s="420">
        <f t="shared" si="44"/>
        <v>2005</v>
      </c>
      <c r="CS33" s="421">
        <f t="shared" si="49"/>
        <v>1676.895006786744</v>
      </c>
      <c r="CT33" s="422">
        <f t="shared" si="50"/>
        <v>5520.6666666666661</v>
      </c>
      <c r="CU33" s="423">
        <f t="shared" si="51"/>
        <v>2476.0375743578356</v>
      </c>
      <c r="CV33" s="409">
        <f t="shared" si="52"/>
        <v>3843.771659879922</v>
      </c>
      <c r="CW33" s="409">
        <f t="shared" si="53"/>
        <v>3044.6290923088304</v>
      </c>
      <c r="CX33" s="409">
        <f t="shared" si="54"/>
        <v>14786.695006786744</v>
      </c>
      <c r="CY33" s="409">
        <f t="shared" si="55"/>
        <v>18630.466666666667</v>
      </c>
      <c r="CZ33" s="409">
        <f t="shared" si="56"/>
        <v>3843.7716598799234</v>
      </c>
      <c r="DA33" s="409">
        <f t="shared" si="45"/>
        <v>807.19204857478383</v>
      </c>
      <c r="DB33" s="295">
        <f t="shared" si="46"/>
        <v>0.11340566678470672</v>
      </c>
      <c r="DC33" s="295">
        <f t="shared" si="46"/>
        <v>0.29632465817639203</v>
      </c>
      <c r="DE33" s="401"/>
      <c r="DF33" s="401">
        <f t="shared" si="18"/>
        <v>0.15886458219168584</v>
      </c>
      <c r="DG33" s="401">
        <f t="shared" si="18"/>
        <v>0.11340566678470672</v>
      </c>
      <c r="DH33" s="403">
        <f t="shared" si="39"/>
        <v>0.11340566678470672</v>
      </c>
      <c r="DI33" s="370">
        <f t="shared" si="19"/>
        <v>3123.104993213256</v>
      </c>
      <c r="DK33" s="296">
        <f t="shared" si="20"/>
        <v>2005</v>
      </c>
      <c r="DL33" s="404">
        <f t="shared" si="21"/>
        <v>1.2424999999999999</v>
      </c>
      <c r="DM33" s="405">
        <f t="shared" si="22"/>
        <v>5964</v>
      </c>
      <c r="DN33" s="406">
        <f t="shared" si="40"/>
        <v>0.31268022103618576</v>
      </c>
      <c r="DO33" s="407">
        <f t="shared" si="23"/>
        <v>2476.0375743578356</v>
      </c>
      <c r="DP33" s="407">
        <f t="shared" si="23"/>
        <v>1676.895006786744</v>
      </c>
    </row>
    <row r="34" spans="1:120" x14ac:dyDescent="0.2">
      <c r="A34" s="375">
        <v>2006</v>
      </c>
      <c r="B34" s="376" t="s">
        <v>106</v>
      </c>
      <c r="C34" s="376" t="s">
        <v>106</v>
      </c>
      <c r="D34" s="424">
        <f>892/Y34</f>
        <v>257.95257374204743</v>
      </c>
      <c r="E34" s="376">
        <v>500</v>
      </c>
      <c r="F34" s="376" t="s">
        <v>106</v>
      </c>
      <c r="G34" s="357">
        <f t="shared" ref="G34:G39" si="64">SUM(B34:F34)</f>
        <v>757.95257374204743</v>
      </c>
      <c r="H34" s="358">
        <f t="shared" si="57"/>
        <v>0.78593314582663321</v>
      </c>
      <c r="I34" s="357">
        <f t="shared" si="24"/>
        <v>964.39827963336984</v>
      </c>
      <c r="J34" s="377">
        <f t="shared" si="25"/>
        <v>964.39827963336984</v>
      </c>
      <c r="L34" s="360">
        <v>1451.7613903240961</v>
      </c>
      <c r="M34" s="360"/>
      <c r="N34" s="361" t="s">
        <v>309</v>
      </c>
      <c r="O34" s="317" t="s">
        <v>312</v>
      </c>
      <c r="Q34" s="425">
        <f t="shared" si="26"/>
        <v>2006</v>
      </c>
      <c r="R34" s="291">
        <f t="shared" si="5"/>
        <v>2</v>
      </c>
      <c r="S34" s="362">
        <f>'A6-Chin (NEW2+Khutz)'!C27</f>
        <v>22580.6</v>
      </c>
      <c r="T34" s="362" t="str">
        <f t="shared" si="41"/>
        <v/>
      </c>
      <c r="U34" s="426">
        <f t="shared" si="60"/>
        <v>4.8953651810677679E-2</v>
      </c>
      <c r="V34" s="379">
        <f t="shared" si="28"/>
        <v>1162.3017449998551</v>
      </c>
      <c r="W34" s="379">
        <f t="shared" si="29"/>
        <v>964.39827963336984</v>
      </c>
      <c r="X34" s="379">
        <f t="shared" si="6"/>
        <v>1388.0855986119143</v>
      </c>
      <c r="Y34" s="436">
        <f t="shared" si="58"/>
        <v>3.4580000000000002</v>
      </c>
      <c r="Z34" s="380"/>
      <c r="AA34" s="379">
        <f t="shared" si="8"/>
        <v>4019.2394342094994</v>
      </c>
      <c r="AB34" s="379">
        <f t="shared" si="42"/>
        <v>3334.8892509721932</v>
      </c>
      <c r="AC34" s="381">
        <f t="shared" si="9"/>
        <v>4800</v>
      </c>
      <c r="AD34" s="382"/>
      <c r="AE34" s="383"/>
      <c r="AI34" s="384">
        <f t="shared" si="30"/>
        <v>1162.3017449998551</v>
      </c>
      <c r="AJ34" s="345">
        <v>450</v>
      </c>
      <c r="AK34" s="372">
        <f t="shared" si="10"/>
        <v>0.27910408296434636</v>
      </c>
      <c r="AL34" s="373">
        <f t="shared" si="31"/>
        <v>5575.3394342094998</v>
      </c>
      <c r="AN34" s="296"/>
      <c r="AO34" s="296">
        <v>892</v>
      </c>
      <c r="AP34" s="410"/>
      <c r="AQ34" s="430">
        <f>$AO34/(1-($B65+$C65+$E65+$F65))</f>
        <v>3080.9706288179109</v>
      </c>
      <c r="AR34" s="296"/>
      <c r="AS34" s="409">
        <v>500</v>
      </c>
      <c r="AT34" s="409">
        <v>1729</v>
      </c>
      <c r="AU34" s="409">
        <v>1470</v>
      </c>
      <c r="AV34" s="409">
        <v>2105</v>
      </c>
      <c r="AW34" s="437">
        <f>IF(AS34&gt;0,AT34/AS34,AVERAGE(AY30:AY33))</f>
        <v>3.4580000000000002</v>
      </c>
      <c r="AY34" s="431">
        <f>AW34</f>
        <v>3.4580000000000002</v>
      </c>
      <c r="BA34" s="411">
        <f t="shared" si="47"/>
        <v>3334.8892509721932</v>
      </c>
      <c r="BB34" s="412"/>
      <c r="BG34" s="439"/>
      <c r="BH34" s="370">
        <f t="shared" si="3"/>
        <v>273.05616851506659</v>
      </c>
      <c r="BJ34" s="370">
        <v>0</v>
      </c>
      <c r="BM34" s="413">
        <f t="shared" si="43"/>
        <v>4019.2394342094994</v>
      </c>
      <c r="BN34" s="386">
        <f t="shared" si="11"/>
        <v>780.76056579050055</v>
      </c>
      <c r="BP34" s="338">
        <f t="shared" si="12"/>
        <v>2006</v>
      </c>
      <c r="BQ34" s="338" t="str">
        <f t="shared" si="12"/>
        <v>UNK</v>
      </c>
      <c r="BR34" s="433">
        <f t="shared" si="13"/>
        <v>257.95257374204743</v>
      </c>
      <c r="BS34" s="338">
        <f t="shared" si="13"/>
        <v>500</v>
      </c>
      <c r="BT34" s="338" t="str">
        <f t="shared" si="13"/>
        <v>UNK</v>
      </c>
      <c r="BV34" s="296">
        <f t="shared" si="32"/>
        <v>2006</v>
      </c>
      <c r="BW34" s="389"/>
      <c r="BX34" s="389">
        <f t="shared" si="59"/>
        <v>892.00000000000011</v>
      </c>
      <c r="BY34" s="389">
        <f t="shared" si="14"/>
        <v>1729</v>
      </c>
      <c r="BZ34" s="389"/>
      <c r="CA34" s="294"/>
      <c r="CB34" s="367">
        <v>2006</v>
      </c>
      <c r="CC34" s="391" t="str">
        <f t="shared" si="15"/>
        <v/>
      </c>
      <c r="CD34" s="391">
        <f t="shared" si="15"/>
        <v>0.99111111111111128</v>
      </c>
      <c r="CE34" s="391">
        <f t="shared" si="15"/>
        <v>2.1612499999999999</v>
      </c>
      <c r="CF34" s="391" t="str">
        <f t="shared" si="15"/>
        <v/>
      </c>
      <c r="CG34" s="392">
        <f t="shared" si="33"/>
        <v>1.5761805555555557</v>
      </c>
      <c r="CH34" s="438">
        <f t="shared" si="34"/>
        <v>4800</v>
      </c>
      <c r="CI34" s="394">
        <f t="shared" si="35"/>
        <v>7565.666666666667</v>
      </c>
      <c r="CJ34" s="395">
        <f t="shared" si="61"/>
        <v>7136.1178107738215</v>
      </c>
      <c r="CK34" s="423">
        <f t="shared" si="16"/>
        <v>3334.8892509721932</v>
      </c>
      <c r="CL34" s="434">
        <f t="shared" si="48"/>
        <v>4019.2394342094994</v>
      </c>
      <c r="CN34" s="296"/>
      <c r="CO34" s="435">
        <f t="shared" si="62"/>
        <v>7227.4474029397243</v>
      </c>
      <c r="CP34" s="440">
        <f t="shared" si="63"/>
        <v>1.7754895988617176</v>
      </c>
      <c r="CQ34" s="400"/>
      <c r="CR34" s="420">
        <f t="shared" si="44"/>
        <v>2006</v>
      </c>
      <c r="CS34" s="421">
        <f t="shared" si="49"/>
        <v>4019.2394342094994</v>
      </c>
      <c r="CT34" s="422">
        <f t="shared" si="50"/>
        <v>7565.666666666667</v>
      </c>
      <c r="CU34" s="423">
        <f t="shared" si="51"/>
        <v>3334.8892509721932</v>
      </c>
      <c r="CV34" s="409">
        <f t="shared" si="52"/>
        <v>3546.4272324571675</v>
      </c>
      <c r="CW34" s="409">
        <f t="shared" si="53"/>
        <v>4230.7774156944743</v>
      </c>
      <c r="CX34" s="409">
        <f t="shared" si="54"/>
        <v>26599.839434209498</v>
      </c>
      <c r="CY34" s="409">
        <f t="shared" si="55"/>
        <v>30146.266666666666</v>
      </c>
      <c r="CZ34" s="409">
        <f t="shared" si="56"/>
        <v>3546.4272324571684</v>
      </c>
      <c r="DA34" s="409">
        <f t="shared" si="45"/>
        <v>744.74971881600538</v>
      </c>
      <c r="DB34" s="295">
        <f t="shared" si="46"/>
        <v>0.1511001389369456</v>
      </c>
      <c r="DC34" s="295">
        <f t="shared" si="46"/>
        <v>0.25096529365714715</v>
      </c>
      <c r="DE34" s="401"/>
      <c r="DF34" s="401">
        <f t="shared" si="18"/>
        <v>0.12868324493804756</v>
      </c>
      <c r="DG34" s="401">
        <f t="shared" si="18"/>
        <v>0.1511001389369456</v>
      </c>
      <c r="DH34" s="403">
        <f t="shared" si="39"/>
        <v>0.1511001389369456</v>
      </c>
      <c r="DI34" s="370">
        <f t="shared" si="19"/>
        <v>780.76056579050055</v>
      </c>
      <c r="DK34" s="296">
        <f t="shared" si="20"/>
        <v>2006</v>
      </c>
      <c r="DL34" s="404">
        <f t="shared" si="21"/>
        <v>2.1612499999999999</v>
      </c>
      <c r="DM34" s="405">
        <f t="shared" si="22"/>
        <v>10374</v>
      </c>
      <c r="DN34" s="406">
        <f t="shared" si="40"/>
        <v>0.31479672033646289</v>
      </c>
      <c r="DO34" s="407">
        <f t="shared" si="23"/>
        <v>3334.8892509721932</v>
      </c>
      <c r="DP34" s="407">
        <f t="shared" si="23"/>
        <v>4019.2394342094994</v>
      </c>
    </row>
    <row r="35" spans="1:120" x14ac:dyDescent="0.2">
      <c r="A35" s="375">
        <v>2007</v>
      </c>
      <c r="B35" s="376" t="s">
        <v>106</v>
      </c>
      <c r="C35" s="376" t="s">
        <v>106</v>
      </c>
      <c r="D35" s="424">
        <f>1349/Y35</f>
        <v>578.14423632148487</v>
      </c>
      <c r="E35" s="376">
        <v>925</v>
      </c>
      <c r="F35" s="376" t="s">
        <v>106</v>
      </c>
      <c r="G35" s="357">
        <f t="shared" si="64"/>
        <v>1503.1442363214849</v>
      </c>
      <c r="H35" s="358">
        <f t="shared" si="57"/>
        <v>0.78593314582663321</v>
      </c>
      <c r="I35" s="357">
        <f t="shared" si="24"/>
        <v>1912.5599223080219</v>
      </c>
      <c r="J35" s="377">
        <f t="shared" si="25"/>
        <v>1912.5599223080219</v>
      </c>
      <c r="L35" s="360">
        <v>2544.989196197062</v>
      </c>
      <c r="M35" s="360"/>
      <c r="N35" s="361" t="s">
        <v>309</v>
      </c>
      <c r="O35" s="317" t="s">
        <v>312</v>
      </c>
      <c r="Q35" s="425">
        <f t="shared" si="26"/>
        <v>2007</v>
      </c>
      <c r="R35" s="291">
        <f t="shared" si="5"/>
        <v>2</v>
      </c>
      <c r="S35" s="362">
        <f>'A6-Chin (NEW2+Khutz)'!C28</f>
        <v>20640.400000000001</v>
      </c>
      <c r="T35" s="362" t="str">
        <f t="shared" si="41"/>
        <v/>
      </c>
      <c r="U35" s="426">
        <f t="shared" si="60"/>
        <v>4.8953651810677679E-2</v>
      </c>
      <c r="V35" s="379">
        <f t="shared" si="28"/>
        <v>1062.4329263834879</v>
      </c>
      <c r="W35" s="379">
        <f t="shared" si="29"/>
        <v>1912.5599223080219</v>
      </c>
      <c r="X35" s="379">
        <f t="shared" si="6"/>
        <v>2057.1477645241862</v>
      </c>
      <c r="Y35" s="380">
        <f t="shared" ref="Y35:Y50" si="65">AV$73</f>
        <v>2.3333277671039006</v>
      </c>
      <c r="Z35" s="380"/>
      <c r="AA35" s="379">
        <f t="shared" si="8"/>
        <v>2479.0042478160467</v>
      </c>
      <c r="AB35" s="379">
        <f t="shared" si="42"/>
        <v>4462.6291729713867</v>
      </c>
      <c r="AC35" s="381">
        <f t="shared" si="9"/>
        <v>4800</v>
      </c>
      <c r="AD35" s="382"/>
      <c r="AE35" s="383"/>
      <c r="AI35" s="384">
        <f t="shared" si="30"/>
        <v>1062.4329263834879</v>
      </c>
      <c r="AJ35" s="345">
        <v>550</v>
      </c>
      <c r="AK35" s="372">
        <f t="shared" si="10"/>
        <v>0.34109945970502492</v>
      </c>
      <c r="AL35" s="373">
        <f t="shared" si="31"/>
        <v>3762.334519723192</v>
      </c>
      <c r="AN35" s="296"/>
      <c r="AO35" s="296">
        <v>1349</v>
      </c>
      <c r="AP35" s="410"/>
      <c r="AQ35" s="430">
        <f>$AO35/(1-($B66+$C66+$E66+$F66))</f>
        <v>4591.9236887701099</v>
      </c>
      <c r="AR35" s="296"/>
      <c r="AS35" s="409">
        <v>925</v>
      </c>
      <c r="AT35" s="441" t="s">
        <v>107</v>
      </c>
      <c r="AU35" s="409"/>
      <c r="AV35" s="409"/>
      <c r="AW35" s="437"/>
      <c r="AY35" s="431">
        <f>AW58</f>
        <v>2.3333277671039006</v>
      </c>
      <c r="BA35" s="411">
        <f t="shared" si="47"/>
        <v>4462.6291729713867</v>
      </c>
      <c r="BB35" s="412"/>
      <c r="BG35" s="439"/>
      <c r="BH35" s="370">
        <f t="shared" si="3"/>
        <v>541.51515558430663</v>
      </c>
      <c r="BJ35" s="370">
        <v>0</v>
      </c>
      <c r="BM35" s="413">
        <f t="shared" si="43"/>
        <v>2479.0042478160467</v>
      </c>
      <c r="BN35" s="386">
        <f t="shared" si="11"/>
        <v>2320.9957521839533</v>
      </c>
      <c r="BP35" s="338">
        <f t="shared" si="12"/>
        <v>2007</v>
      </c>
      <c r="BQ35" s="338" t="str">
        <f t="shared" si="12"/>
        <v>UNK</v>
      </c>
      <c r="BR35" s="433">
        <f t="shared" si="13"/>
        <v>578.14423632148487</v>
      </c>
      <c r="BS35" s="338">
        <f t="shared" si="13"/>
        <v>925</v>
      </c>
      <c r="BT35" s="338" t="str">
        <f t="shared" si="13"/>
        <v>UNK</v>
      </c>
      <c r="BV35" s="296">
        <f t="shared" si="32"/>
        <v>2007</v>
      </c>
      <c r="BW35" s="389"/>
      <c r="BX35" s="389">
        <f t="shared" si="59"/>
        <v>1349</v>
      </c>
      <c r="BY35" s="389">
        <f>IF((ISERROR(BS35)),"",BS35*$Y35)</f>
        <v>2158.3281845711081</v>
      </c>
      <c r="BZ35" s="389"/>
      <c r="CA35" s="294"/>
      <c r="CB35" s="367">
        <v>2007</v>
      </c>
      <c r="CC35" s="391" t="str">
        <f t="shared" si="15"/>
        <v/>
      </c>
      <c r="CD35" s="391">
        <f t="shared" si="15"/>
        <v>1.4988888888888889</v>
      </c>
      <c r="CE35" s="391">
        <f t="shared" si="15"/>
        <v>2.6979102307138851</v>
      </c>
      <c r="CF35" s="391" t="str">
        <f t="shared" si="15"/>
        <v/>
      </c>
      <c r="CG35" s="392">
        <f t="shared" si="33"/>
        <v>2.0983995598013871</v>
      </c>
      <c r="CH35" s="438">
        <f>IF($CG35&gt;1,$CG$2*1,$CG$2*$CG35)</f>
        <v>4800</v>
      </c>
      <c r="CI35" s="394">
        <f t="shared" si="35"/>
        <v>10072.317887046658</v>
      </c>
      <c r="CJ35" s="395">
        <f t="shared" si="61"/>
        <v>9500.4512141951891</v>
      </c>
      <c r="CK35" s="423">
        <f t="shared" si="16"/>
        <v>4462.6291729713867</v>
      </c>
      <c r="CL35" s="434">
        <f t="shared" si="48"/>
        <v>2479.0042478160467</v>
      </c>
      <c r="CN35" s="296"/>
      <c r="CO35" s="435">
        <f>CJ35*CO$2</f>
        <v>9622.0400609312292</v>
      </c>
      <c r="CP35" s="440">
        <f t="shared" si="63"/>
        <v>3.8323658471198252</v>
      </c>
      <c r="CQ35" s="400"/>
      <c r="CR35" s="420">
        <f t="shared" si="44"/>
        <v>2007</v>
      </c>
      <c r="CS35" s="421">
        <f t="shared" si="49"/>
        <v>2479.0042478160467</v>
      </c>
      <c r="CT35" s="422">
        <f t="shared" si="50"/>
        <v>10072.317887046658</v>
      </c>
      <c r="CU35" s="423">
        <f t="shared" si="51"/>
        <v>4462.6291729713867</v>
      </c>
      <c r="CV35" s="409">
        <f t="shared" si="52"/>
        <v>7593.3136392306114</v>
      </c>
      <c r="CW35" s="409">
        <f t="shared" si="53"/>
        <v>5609.6887140752715</v>
      </c>
      <c r="CX35" s="409">
        <f t="shared" si="54"/>
        <v>23119.404247816048</v>
      </c>
      <c r="CY35" s="409">
        <f t="shared" si="55"/>
        <v>30712.71788704666</v>
      </c>
      <c r="CZ35" s="409">
        <f t="shared" si="56"/>
        <v>7593.3136392306114</v>
      </c>
      <c r="DA35" s="409">
        <f t="shared" si="45"/>
        <v>1594.5958642384282</v>
      </c>
      <c r="DB35" s="295">
        <f t="shared" si="46"/>
        <v>0.10722613010455161</v>
      </c>
      <c r="DC35" s="295">
        <f t="shared" si="46"/>
        <v>0.32795267172674225</v>
      </c>
      <c r="DE35" s="401"/>
      <c r="DF35" s="401">
        <f t="shared" si="18"/>
        <v>0.1777725366218485</v>
      </c>
      <c r="DG35" s="401">
        <f t="shared" si="18"/>
        <v>0.10722613010455161</v>
      </c>
      <c r="DH35" s="403">
        <f t="shared" si="39"/>
        <v>0.10722613010455161</v>
      </c>
      <c r="DI35" s="370">
        <f t="shared" si="19"/>
        <v>2320.9957521839533</v>
      </c>
      <c r="DK35" s="296">
        <f t="shared" si="20"/>
        <v>2007</v>
      </c>
      <c r="DL35" s="404">
        <f t="shared" si="21"/>
        <v>2.6979102307138851</v>
      </c>
      <c r="DM35" s="405">
        <f t="shared" si="22"/>
        <v>12949.969107426648</v>
      </c>
      <c r="DN35" s="406">
        <f t="shared" si="40"/>
        <v>0.38552625206382379</v>
      </c>
      <c r="DO35" s="407">
        <f t="shared" si="23"/>
        <v>4462.6291729713867</v>
      </c>
      <c r="DP35" s="407">
        <f t="shared" si="23"/>
        <v>2479.0042478160467</v>
      </c>
    </row>
    <row r="36" spans="1:120" x14ac:dyDescent="0.2">
      <c r="A36" s="375">
        <v>2008</v>
      </c>
      <c r="B36" s="376" t="s">
        <v>106</v>
      </c>
      <c r="C36" s="376" t="s">
        <v>106</v>
      </c>
      <c r="D36" s="424">
        <f>850/Y36</f>
        <v>364.28658330115798</v>
      </c>
      <c r="E36" s="442">
        <f>17+103</f>
        <v>120</v>
      </c>
      <c r="F36" s="376" t="s">
        <v>106</v>
      </c>
      <c r="G36" s="357">
        <f t="shared" si="64"/>
        <v>484.28658330115798</v>
      </c>
      <c r="H36" s="358">
        <f t="shared" si="57"/>
        <v>0.78593314582663321</v>
      </c>
      <c r="I36" s="357">
        <f t="shared" si="24"/>
        <v>616.19310226672303</v>
      </c>
      <c r="J36" s="377">
        <f t="shared" si="25"/>
        <v>616.19310226672303</v>
      </c>
      <c r="L36" s="360">
        <v>328.00342172797264</v>
      </c>
      <c r="M36" s="360"/>
      <c r="N36" s="361" t="s">
        <v>309</v>
      </c>
      <c r="O36" s="317" t="s">
        <v>312</v>
      </c>
      <c r="Q36" s="425">
        <f t="shared" si="26"/>
        <v>2008</v>
      </c>
      <c r="R36" s="291">
        <f t="shared" si="5"/>
        <v>2</v>
      </c>
      <c r="S36" s="362">
        <f>'A6-Chin (NEW2+Khutz)'!C29</f>
        <v>21046.799999999999</v>
      </c>
      <c r="T36" s="362" t="str">
        <f t="shared" si="41"/>
        <v/>
      </c>
      <c r="U36" s="426">
        <f t="shared" si="60"/>
        <v>4.8953651810677679E-2</v>
      </c>
      <c r="V36" s="379">
        <f t="shared" si="28"/>
        <v>1083.3517429414169</v>
      </c>
      <c r="W36" s="379">
        <f t="shared" si="29"/>
        <v>616.19310226672303</v>
      </c>
      <c r="X36" s="379">
        <f>AC36/Y36</f>
        <v>1331.4308888030878</v>
      </c>
      <c r="Y36" s="380">
        <f t="shared" si="65"/>
        <v>2.3333277671039006</v>
      </c>
      <c r="Z36" s="380"/>
      <c r="AA36" s="379">
        <f t="shared" ref="AA36:AA53" si="66">V36*$Y36</f>
        <v>2527.8147033456153</v>
      </c>
      <c r="AB36" s="379">
        <f t="shared" si="42"/>
        <v>1437.7804754168383</v>
      </c>
      <c r="AC36" s="381">
        <f>CH36</f>
        <v>3106.6646628240705</v>
      </c>
      <c r="AD36" s="382"/>
      <c r="AE36" s="383"/>
      <c r="AI36" s="384">
        <f t="shared" si="30"/>
        <v>1083.3517429414169</v>
      </c>
      <c r="AJ36" s="345">
        <v>200</v>
      </c>
      <c r="AK36" s="372">
        <f t="shared" si="10"/>
        <v>0.15584192026856483</v>
      </c>
      <c r="AL36" s="373">
        <f t="shared" si="31"/>
        <v>2994.4802567663951</v>
      </c>
      <c r="AN36" s="296"/>
      <c r="AO36" s="409">
        <v>806</v>
      </c>
      <c r="AP36" s="410"/>
      <c r="AQ36" s="430">
        <f>$AO36/(1-($B66+$C66+$E66+$F66))</f>
        <v>2743.5807955142391</v>
      </c>
      <c r="AR36" s="296"/>
      <c r="AS36" s="409"/>
      <c r="AT36" s="441"/>
      <c r="AU36" s="409"/>
      <c r="AV36" s="409"/>
      <c r="AW36" s="437"/>
      <c r="AY36" s="431">
        <f t="shared" ref="AY36:AY47" si="67">AW$58</f>
        <v>2.3333277671039006</v>
      </c>
      <c r="BA36" s="411">
        <f t="shared" si="47"/>
        <v>1437.7804754168383</v>
      </c>
      <c r="BB36" s="412">
        <f>((E36*AY36)+AO36)/(1-(B67+C67+F67))</f>
        <v>1687.6509037570434</v>
      </c>
      <c r="BG36" s="439"/>
      <c r="BH36" s="370">
        <f t="shared" si="3"/>
        <v>174.46664010467617</v>
      </c>
      <c r="BJ36" s="370">
        <v>0</v>
      </c>
      <c r="BM36" s="413">
        <f t="shared" si="43"/>
        <v>2527.8147033456153</v>
      </c>
      <c r="BN36" s="386">
        <f t="shared" si="11"/>
        <v>578.84995947845528</v>
      </c>
      <c r="BP36" s="338">
        <f t="shared" si="12"/>
        <v>2008</v>
      </c>
      <c r="BQ36" s="338" t="str">
        <f t="shared" si="12"/>
        <v>UNK</v>
      </c>
      <c r="BR36" s="433">
        <f t="shared" si="13"/>
        <v>364.28658330115798</v>
      </c>
      <c r="BS36" s="338">
        <f t="shared" si="13"/>
        <v>120</v>
      </c>
      <c r="BT36" s="338" t="str">
        <f t="shared" si="13"/>
        <v>UNK</v>
      </c>
      <c r="BV36" s="296">
        <f t="shared" si="32"/>
        <v>2008</v>
      </c>
      <c r="BW36" s="389"/>
      <c r="BX36" s="389">
        <f>IF((ISERROR(BR36)),"",BR36*$Y36)</f>
        <v>850</v>
      </c>
      <c r="BY36" s="389">
        <f t="shared" ref="BY36:BY43" si="68">IF((ISERROR(BS36)),"",BS36*$Y36)</f>
        <v>279.99933205246805</v>
      </c>
      <c r="BZ36" s="389"/>
      <c r="CA36" s="294"/>
      <c r="CB36" s="367">
        <v>2008</v>
      </c>
      <c r="CC36" s="391" t="str">
        <f t="shared" si="15"/>
        <v/>
      </c>
      <c r="CD36" s="391">
        <f t="shared" si="15"/>
        <v>0.94444444444444442</v>
      </c>
      <c r="CE36" s="391">
        <f t="shared" si="15"/>
        <v>0.34999916506558504</v>
      </c>
      <c r="CF36" s="391" t="str">
        <f t="shared" si="15"/>
        <v/>
      </c>
      <c r="CG36" s="392">
        <f t="shared" si="33"/>
        <v>0.64722180475501467</v>
      </c>
      <c r="CH36" s="393">
        <f t="shared" si="34"/>
        <v>3106.6646628240705</v>
      </c>
      <c r="CI36" s="394">
        <f t="shared" si="35"/>
        <v>3106.6646628240705</v>
      </c>
      <c r="CJ36" s="395">
        <f t="shared" si="61"/>
        <v>2930.2804378306159</v>
      </c>
      <c r="CK36" s="423">
        <f t="shared" si="16"/>
        <v>1437.7804754168383</v>
      </c>
      <c r="CL36" s="434">
        <f t="shared" si="48"/>
        <v>2527.8147033456153</v>
      </c>
      <c r="CN36" s="296"/>
      <c r="CO36" s="435">
        <f>CJ36*CO$2</f>
        <v>2967.7828059830517</v>
      </c>
      <c r="CP36" s="440">
        <f t="shared" si="63"/>
        <v>1.1592148878445596</v>
      </c>
      <c r="CQ36" s="400"/>
      <c r="CR36" s="420">
        <f t="shared" si="44"/>
        <v>2008</v>
      </c>
      <c r="CS36" s="421">
        <f t="shared" si="49"/>
        <v>2527.8147033456153</v>
      </c>
      <c r="CT36" s="422">
        <f t="shared" si="50"/>
        <v>3106.6646628240705</v>
      </c>
      <c r="CU36" s="423">
        <f t="shared" si="51"/>
        <v>1437.7804754168383</v>
      </c>
      <c r="CV36" s="409">
        <f t="shared" si="52"/>
        <v>578.84995947845528</v>
      </c>
      <c r="CW36" s="409">
        <f t="shared" si="53"/>
        <v>1668.8841874072323</v>
      </c>
      <c r="CX36" s="409">
        <f t="shared" si="54"/>
        <v>23574.614703345615</v>
      </c>
      <c r="CY36" s="409">
        <f t="shared" si="55"/>
        <v>24153.46466282407</v>
      </c>
      <c r="CZ36" s="409">
        <f t="shared" si="56"/>
        <v>578.84995947845528</v>
      </c>
      <c r="DA36" s="409">
        <f t="shared" si="45"/>
        <v>121.5584914904756</v>
      </c>
      <c r="DB36" s="295">
        <f t="shared" si="46"/>
        <v>0.10722613010455175</v>
      </c>
      <c r="DC36" s="295">
        <f t="shared" si="46"/>
        <v>0.12862190605746551</v>
      </c>
      <c r="DE36" s="401"/>
      <c r="DF36" s="401">
        <f t="shared" si="18"/>
        <v>6.3945176873049195E-2</v>
      </c>
      <c r="DG36" s="401">
        <f t="shared" si="18"/>
        <v>0.10722613010455175</v>
      </c>
      <c r="DH36" s="403">
        <f t="shared" si="39"/>
        <v>0.10722613010455175</v>
      </c>
      <c r="DI36" s="370">
        <f t="shared" si="19"/>
        <v>578.84995947845528</v>
      </c>
      <c r="DK36" s="296">
        <f t="shared" si="20"/>
        <v>2008</v>
      </c>
      <c r="DL36" s="404">
        <f t="shared" si="21"/>
        <v>0.34999916506558504</v>
      </c>
      <c r="DM36" s="405">
        <f t="shared" si="22"/>
        <v>1679.9959923148083</v>
      </c>
      <c r="DN36" s="406">
        <f t="shared" si="40"/>
        <v>7.3921374261594466E-2</v>
      </c>
      <c r="DO36" s="407">
        <f t="shared" si="23"/>
        <v>1437.7804754168383</v>
      </c>
      <c r="DP36" s="407">
        <f t="shared" si="23"/>
        <v>2527.8147033456153</v>
      </c>
    </row>
    <row r="37" spans="1:120" x14ac:dyDescent="0.2">
      <c r="A37" s="354">
        <v>2009</v>
      </c>
      <c r="B37" s="355" t="s">
        <v>106</v>
      </c>
      <c r="C37" s="355" t="s">
        <v>106</v>
      </c>
      <c r="D37" s="443">
        <v>628</v>
      </c>
      <c r="E37" s="444">
        <v>260</v>
      </c>
      <c r="F37" s="355" t="s">
        <v>106</v>
      </c>
      <c r="G37" s="357">
        <f t="shared" si="64"/>
        <v>888</v>
      </c>
      <c r="H37" s="358">
        <f>1-(B$55+C$55+D$55+F$55)</f>
        <v>0.40919494930228728</v>
      </c>
      <c r="I37" s="357">
        <f t="shared" si="24"/>
        <v>2170.114761959102</v>
      </c>
      <c r="J37" s="377">
        <f t="shared" si="25"/>
        <v>2170.114761959102</v>
      </c>
      <c r="L37" s="360">
        <v>700.86861924686184</v>
      </c>
      <c r="M37" s="360"/>
      <c r="N37" s="361" t="s">
        <v>309</v>
      </c>
      <c r="O37" s="317" t="s">
        <v>312</v>
      </c>
      <c r="Q37" s="354">
        <f t="shared" si="26"/>
        <v>2009</v>
      </c>
      <c r="R37" s="291">
        <f t="shared" si="5"/>
        <v>2</v>
      </c>
      <c r="S37" s="362">
        <f>'A6-Chin (NEW2+Khutz)'!C30</f>
        <v>26500.400000000001</v>
      </c>
      <c r="T37" s="362" t="str">
        <f t="shared" si="41"/>
        <v/>
      </c>
      <c r="U37" s="426">
        <f t="shared" si="60"/>
        <v>4.8953651810677679E-2</v>
      </c>
      <c r="V37" s="379">
        <f t="shared" si="28"/>
        <v>1364.067436790614</v>
      </c>
      <c r="W37" s="379">
        <f t="shared" si="29"/>
        <v>2170.114761959102</v>
      </c>
      <c r="X37" s="379">
        <f t="shared" si="6"/>
        <v>2057.1477645241862</v>
      </c>
      <c r="Y37" s="380">
        <f t="shared" si="65"/>
        <v>2.3333277671039006</v>
      </c>
      <c r="Z37" s="380"/>
      <c r="AA37" s="379">
        <f t="shared" si="66"/>
        <v>3182.8164264657844</v>
      </c>
      <c r="AB37" s="379">
        <f t="shared" si="42"/>
        <v>5063.5890318812444</v>
      </c>
      <c r="AC37" s="381">
        <f t="shared" si="9"/>
        <v>4800</v>
      </c>
      <c r="AD37" s="382"/>
      <c r="AE37" s="383"/>
      <c r="AI37" s="384">
        <f t="shared" si="30"/>
        <v>1364.067436790614</v>
      </c>
      <c r="AJ37" s="345"/>
      <c r="AK37" s="372" t="str">
        <f t="shared" si="10"/>
        <v/>
      </c>
      <c r="AL37" s="373">
        <f t="shared" si="31"/>
        <v>4077.180252055025</v>
      </c>
      <c r="AN37" s="296"/>
      <c r="AO37" s="409"/>
      <c r="AP37" s="410"/>
      <c r="AQ37" s="430">
        <f>$AO37/(1-($B67+$C67+$E67+$F67))</f>
        <v>0</v>
      </c>
      <c r="AR37" s="296"/>
      <c r="AS37" s="409"/>
      <c r="AT37" s="441"/>
      <c r="AU37" s="409"/>
      <c r="AV37" s="409"/>
      <c r="AW37" s="437"/>
      <c r="AY37" s="431">
        <f t="shared" si="67"/>
        <v>2.3333277671039006</v>
      </c>
      <c r="BA37" s="411">
        <f t="shared" si="47"/>
        <v>5063.5890318812444</v>
      </c>
      <c r="BB37" s="412"/>
      <c r="BG37" s="439"/>
      <c r="BH37" s="370">
        <f t="shared" si="3"/>
        <v>614.43828203821545</v>
      </c>
      <c r="BJ37" s="370">
        <v>0</v>
      </c>
      <c r="BM37" s="413">
        <f t="shared" si="43"/>
        <v>3182.8164264657844</v>
      </c>
      <c r="BN37" s="386">
        <f t="shared" si="11"/>
        <v>1617.1835735342156</v>
      </c>
      <c r="BP37" s="338">
        <f t="shared" si="12"/>
        <v>2009</v>
      </c>
      <c r="BQ37" s="338" t="str">
        <f t="shared" si="12"/>
        <v>UNK</v>
      </c>
      <c r="BR37" s="338">
        <f t="shared" si="13"/>
        <v>628</v>
      </c>
      <c r="BS37" s="338">
        <f t="shared" si="13"/>
        <v>260</v>
      </c>
      <c r="BT37" s="338" t="str">
        <f t="shared" si="13"/>
        <v>UNK</v>
      </c>
      <c r="BV37" s="296">
        <f t="shared" si="32"/>
        <v>2009</v>
      </c>
      <c r="BW37" s="389"/>
      <c r="BX37" s="389">
        <f>IF((ISERROR(BR37)),"",BR37*$Y37)</f>
        <v>1465.3298377412495</v>
      </c>
      <c r="BY37" s="389">
        <f t="shared" si="68"/>
        <v>606.66521944701412</v>
      </c>
      <c r="BZ37" s="389"/>
      <c r="CA37" s="294"/>
      <c r="CB37" s="367">
        <v>2009</v>
      </c>
      <c r="CC37" s="391" t="str">
        <f t="shared" si="15"/>
        <v/>
      </c>
      <c r="CD37" s="391">
        <f t="shared" si="15"/>
        <v>1.6281442641569439</v>
      </c>
      <c r="CE37" s="391">
        <f t="shared" si="15"/>
        <v>0.7583315243087676</v>
      </c>
      <c r="CF37" s="391" t="str">
        <f t="shared" si="15"/>
        <v/>
      </c>
      <c r="CG37" s="392">
        <f t="shared" si="33"/>
        <v>1.1932378942328556</v>
      </c>
      <c r="CH37" s="393">
        <f t="shared" si="34"/>
        <v>4800</v>
      </c>
      <c r="CI37" s="394">
        <f t="shared" si="35"/>
        <v>5727.5418923177067</v>
      </c>
      <c r="CJ37" s="395">
        <f t="shared" si="61"/>
        <v>5402.3545459384386</v>
      </c>
      <c r="CK37" s="423">
        <f t="shared" si="16"/>
        <v>5063.5890318812444</v>
      </c>
      <c r="CL37" s="434">
        <f t="shared" si="48"/>
        <v>3182.8164264657844</v>
      </c>
      <c r="CN37" s="296"/>
      <c r="CO37" s="435">
        <f t="shared" si="62"/>
        <v>5471.4950576983847</v>
      </c>
      <c r="CP37" s="440">
        <f t="shared" si="63"/>
        <v>1.6973503407286485</v>
      </c>
      <c r="CQ37" s="400"/>
      <c r="CR37" s="420">
        <f t="shared" si="44"/>
        <v>2009</v>
      </c>
      <c r="CS37" s="421">
        <f t="shared" si="49"/>
        <v>3182.8164264657844</v>
      </c>
      <c r="CT37" s="422">
        <f t="shared" si="50"/>
        <v>5727.5418923177067</v>
      </c>
      <c r="CU37" s="423">
        <f t="shared" si="51"/>
        <v>5063.5890318812444</v>
      </c>
      <c r="CV37" s="409">
        <f t="shared" si="52"/>
        <v>2544.7254658519223</v>
      </c>
      <c r="CW37" s="409">
        <f t="shared" si="53"/>
        <v>663.95286043646229</v>
      </c>
      <c r="CX37" s="409">
        <f t="shared" si="54"/>
        <v>29683.216426465784</v>
      </c>
      <c r="CY37" s="409">
        <f t="shared" si="55"/>
        <v>32227.941892317707</v>
      </c>
      <c r="CZ37" s="409">
        <f t="shared" si="56"/>
        <v>2544.7254658519232</v>
      </c>
      <c r="DA37" s="409">
        <f t="shared" si="45"/>
        <v>534.39234782890389</v>
      </c>
      <c r="DB37" s="295">
        <f t="shared" si="46"/>
        <v>0.10722613010455163</v>
      </c>
      <c r="DC37" s="295">
        <f t="shared" si="46"/>
        <v>0.17771975360558168</v>
      </c>
      <c r="DE37" s="401"/>
      <c r="DF37" s="401">
        <f t="shared" si="18"/>
        <v>0.16042297526991153</v>
      </c>
      <c r="DG37" s="401">
        <f t="shared" si="18"/>
        <v>0.10722613010455163</v>
      </c>
      <c r="DH37" s="403">
        <f t="shared" si="39"/>
        <v>0.10722613010455163</v>
      </c>
      <c r="DI37" s="370">
        <f t="shared" si="19"/>
        <v>1617.1835735342156</v>
      </c>
      <c r="DK37" s="296">
        <f t="shared" si="20"/>
        <v>2009</v>
      </c>
      <c r="DL37" s="404">
        <f t="shared" si="21"/>
        <v>0.7583315243087676</v>
      </c>
      <c r="DM37" s="405">
        <f t="shared" si="22"/>
        <v>3639.9913166820843</v>
      </c>
      <c r="DN37" s="406">
        <f t="shared" si="40"/>
        <v>0.12076788514246742</v>
      </c>
      <c r="DO37" s="407">
        <f t="shared" si="23"/>
        <v>5063.5890318812444</v>
      </c>
      <c r="DP37" s="407">
        <f t="shared" si="23"/>
        <v>3182.8164264657844</v>
      </c>
    </row>
    <row r="38" spans="1:120" x14ac:dyDescent="0.2">
      <c r="A38" s="354">
        <v>2010</v>
      </c>
      <c r="B38" s="355" t="s">
        <v>106</v>
      </c>
      <c r="C38" s="355" t="s">
        <v>106</v>
      </c>
      <c r="D38" s="355" t="s">
        <v>106</v>
      </c>
      <c r="E38" s="444">
        <v>240</v>
      </c>
      <c r="F38" s="355" t="s">
        <v>106</v>
      </c>
      <c r="G38" s="357">
        <f t="shared" si="64"/>
        <v>240</v>
      </c>
      <c r="H38" s="358">
        <f>1-(B$55+C$55+D$55+F$55)</f>
        <v>0.40919494930228728</v>
      </c>
      <c r="I38" s="357">
        <f t="shared" si="24"/>
        <v>586.51750323218971</v>
      </c>
      <c r="J38" s="377">
        <f t="shared" si="25"/>
        <v>586.51750323218971</v>
      </c>
      <c r="L38" s="360">
        <v>646.95564853556482</v>
      </c>
      <c r="M38" s="360"/>
      <c r="N38" s="361" t="s">
        <v>309</v>
      </c>
      <c r="O38" s="317" t="s">
        <v>312</v>
      </c>
      <c r="Q38" s="354">
        <f t="shared" si="26"/>
        <v>2010</v>
      </c>
      <c r="R38" s="291">
        <f t="shared" si="5"/>
        <v>1</v>
      </c>
      <c r="S38" s="362">
        <f>'A6-Chin (NEW2+Khutz)'!C31</f>
        <v>17801.2</v>
      </c>
      <c r="T38" s="362" t="str">
        <f t="shared" si="41"/>
        <v/>
      </c>
      <c r="U38" s="426">
        <f t="shared" si="60"/>
        <v>4.8953651810677679E-2</v>
      </c>
      <c r="V38" s="379">
        <f t="shared" si="28"/>
        <v>916.28946188725604</v>
      </c>
      <c r="W38" s="379">
        <f t="shared" si="29"/>
        <v>586.51750323218971</v>
      </c>
      <c r="X38" s="379">
        <f t="shared" si="6"/>
        <v>1440</v>
      </c>
      <c r="Y38" s="380">
        <f t="shared" si="65"/>
        <v>2.3333277671039006</v>
      </c>
      <c r="Z38" s="380"/>
      <c r="AA38" s="379">
        <f t="shared" si="66"/>
        <v>2138.0036441262259</v>
      </c>
      <c r="AB38" s="379">
        <f t="shared" si="42"/>
        <v>1368.5375761841201</v>
      </c>
      <c r="AC38" s="381">
        <f t="shared" si="9"/>
        <v>3359.9919846296166</v>
      </c>
      <c r="AD38" s="382"/>
      <c r="AE38" s="383"/>
      <c r="AI38" s="384">
        <f t="shared" si="30"/>
        <v>916.28946188725604</v>
      </c>
      <c r="AJ38" s="345">
        <v>90</v>
      </c>
      <c r="AK38" s="372">
        <f t="shared" si="10"/>
        <v>8.9437486338382763E-2</v>
      </c>
      <c r="AL38" s="373">
        <f t="shared" si="31"/>
        <v>2348.0031431655766</v>
      </c>
      <c r="AN38" s="296"/>
      <c r="AO38" s="409"/>
      <c r="AP38" s="410"/>
      <c r="AQ38" s="430">
        <f>$AO38/(1-($B68+$C68+$E68+$F68))</f>
        <v>0</v>
      </c>
      <c r="AR38" s="296"/>
      <c r="AS38" s="409"/>
      <c r="AT38" s="441"/>
      <c r="AU38" s="409"/>
      <c r="AV38" s="409"/>
      <c r="AW38" s="437"/>
      <c r="AY38" s="431">
        <f t="shared" si="67"/>
        <v>2.3333277671039006</v>
      </c>
      <c r="BA38" s="411">
        <f t="shared" si="47"/>
        <v>1368.5375761841201</v>
      </c>
      <c r="BB38" s="412"/>
      <c r="BG38" s="439"/>
      <c r="BH38" s="370">
        <f t="shared" si="3"/>
        <v>166.06440055086901</v>
      </c>
      <c r="BJ38" s="370">
        <v>0</v>
      </c>
      <c r="BM38" s="413">
        <f t="shared" si="43"/>
        <v>2138.0036441262259</v>
      </c>
      <c r="BN38" s="386">
        <f t="shared" si="11"/>
        <v>1221.9883405033906</v>
      </c>
      <c r="BP38" s="338">
        <f t="shared" si="12"/>
        <v>2010</v>
      </c>
      <c r="BQ38" s="338" t="str">
        <f t="shared" si="12"/>
        <v>UNK</v>
      </c>
      <c r="BR38" s="338" t="str">
        <f t="shared" si="13"/>
        <v>UNK</v>
      </c>
      <c r="BS38" s="338">
        <f t="shared" si="13"/>
        <v>240</v>
      </c>
      <c r="BT38" s="338" t="str">
        <f t="shared" si="13"/>
        <v>UNK</v>
      </c>
      <c r="BV38" s="296">
        <f t="shared" si="32"/>
        <v>2010</v>
      </c>
      <c r="BW38" s="389"/>
      <c r="BX38" s="389"/>
      <c r="BY38" s="389">
        <f t="shared" si="68"/>
        <v>559.9986641049361</v>
      </c>
      <c r="BZ38" s="389"/>
      <c r="CA38" s="294"/>
      <c r="CB38" s="367">
        <v>2010</v>
      </c>
      <c r="CC38" s="391" t="str">
        <f t="shared" si="15"/>
        <v/>
      </c>
      <c r="CD38" s="391" t="str">
        <f t="shared" si="15"/>
        <v/>
      </c>
      <c r="CE38" s="391">
        <f t="shared" si="15"/>
        <v>0.69999833013117008</v>
      </c>
      <c r="CF38" s="391" t="str">
        <f t="shared" si="15"/>
        <v/>
      </c>
      <c r="CG38" s="392">
        <f t="shared" si="33"/>
        <v>0.69999833013117008</v>
      </c>
      <c r="CH38" s="393">
        <f>IF($CG38&gt;1,$CG$2*1,$CG$2*$CG38)</f>
        <v>3359.9919846296166</v>
      </c>
      <c r="CI38" s="394">
        <f t="shared" si="35"/>
        <v>3359.9919846296166</v>
      </c>
      <c r="CJ38" s="395">
        <f t="shared" si="61"/>
        <v>3169.224828687406</v>
      </c>
      <c r="CK38" s="423">
        <f t="shared" si="16"/>
        <v>1368.5375761841201</v>
      </c>
      <c r="CL38" s="434">
        <f t="shared" si="48"/>
        <v>2138.0036441262259</v>
      </c>
      <c r="CN38" s="296"/>
      <c r="CO38" s="435">
        <f t="shared" si="62"/>
        <v>3209.7852592690147</v>
      </c>
      <c r="CP38" s="440">
        <f t="shared" si="63"/>
        <v>1.4823290116433017</v>
      </c>
      <c r="CQ38" s="400"/>
      <c r="CR38" s="420">
        <f t="shared" si="44"/>
        <v>2010</v>
      </c>
      <c r="CS38" s="421">
        <f t="shared" si="49"/>
        <v>2138.0036441262259</v>
      </c>
      <c r="CT38" s="422">
        <f t="shared" si="50"/>
        <v>3359.9919846296166</v>
      </c>
      <c r="CU38" s="423">
        <f t="shared" si="51"/>
        <v>1368.5375761841201</v>
      </c>
      <c r="CV38" s="409">
        <f t="shared" si="52"/>
        <v>1221.9883405033906</v>
      </c>
      <c r="CW38" s="409">
        <f t="shared" si="53"/>
        <v>1991.4544084454965</v>
      </c>
      <c r="CX38" s="409">
        <f t="shared" si="54"/>
        <v>19939.203644126228</v>
      </c>
      <c r="CY38" s="409">
        <f t="shared" si="55"/>
        <v>21161.191984629619</v>
      </c>
      <c r="CZ38" s="409">
        <f t="shared" si="56"/>
        <v>1221.9883405033906</v>
      </c>
      <c r="DA38" s="409">
        <f t="shared" si="45"/>
        <v>256.61755150571202</v>
      </c>
      <c r="DB38" s="295">
        <f t="shared" si="46"/>
        <v>0.10722613010455148</v>
      </c>
      <c r="DC38" s="295">
        <f t="shared" si="46"/>
        <v>0.15878084689511529</v>
      </c>
      <c r="DE38" s="401"/>
      <c r="DF38" s="401">
        <f t="shared" si="18"/>
        <v>7.1390522209565779E-2</v>
      </c>
      <c r="DG38" s="401">
        <f t="shared" si="18"/>
        <v>0.10722613010455148</v>
      </c>
      <c r="DH38" s="403">
        <f t="shared" si="39"/>
        <v>0.10722613010455148</v>
      </c>
      <c r="DI38" s="370">
        <f t="shared" si="19"/>
        <v>1221.9883405033906</v>
      </c>
      <c r="DK38" s="296">
        <f t="shared" si="20"/>
        <v>2010</v>
      </c>
      <c r="DL38" s="404">
        <f t="shared" si="21"/>
        <v>0.69999833013117008</v>
      </c>
      <c r="DM38" s="405">
        <f t="shared" si="22"/>
        <v>3359.9919846296166</v>
      </c>
      <c r="DN38" s="406">
        <f t="shared" si="40"/>
        <v>0.15878084689511529</v>
      </c>
      <c r="DO38" s="407">
        <f t="shared" si="23"/>
        <v>1368.5375761841201</v>
      </c>
      <c r="DP38" s="407">
        <f t="shared" si="23"/>
        <v>2138.0036441262259</v>
      </c>
    </row>
    <row r="39" spans="1:120" x14ac:dyDescent="0.2">
      <c r="A39" s="354">
        <v>2011</v>
      </c>
      <c r="B39" s="355" t="s">
        <v>106</v>
      </c>
      <c r="C39" s="355" t="s">
        <v>106</v>
      </c>
      <c r="D39" s="355" t="s">
        <v>106</v>
      </c>
      <c r="E39" s="356" t="s">
        <v>106</v>
      </c>
      <c r="F39" s="355" t="s">
        <v>106</v>
      </c>
      <c r="G39" s="357">
        <f t="shared" si="64"/>
        <v>0</v>
      </c>
      <c r="H39" s="358">
        <v>0</v>
      </c>
      <c r="I39" s="357">
        <v>0</v>
      </c>
      <c r="J39" s="377">
        <f t="shared" si="25"/>
        <v>0</v>
      </c>
      <c r="L39" s="360">
        <v>0</v>
      </c>
      <c r="M39" s="360"/>
      <c r="N39" s="361" t="s">
        <v>309</v>
      </c>
      <c r="O39" s="317" t="s">
        <v>312</v>
      </c>
      <c r="Q39" s="354">
        <f t="shared" si="26"/>
        <v>2011</v>
      </c>
      <c r="R39" s="291">
        <f t="shared" si="5"/>
        <v>0</v>
      </c>
      <c r="S39" s="362">
        <f>'A6-Chin (NEW2+Khutz)'!C32</f>
        <v>10555.2</v>
      </c>
      <c r="T39" s="362" t="str">
        <f t="shared" si="41"/>
        <v/>
      </c>
      <c r="U39" s="426">
        <f t="shared" si="60"/>
        <v>4.8953651810677679E-2</v>
      </c>
      <c r="V39" s="379">
        <f t="shared" si="28"/>
        <v>543.312727687593</v>
      </c>
      <c r="W39" s="379"/>
      <c r="X39" s="379"/>
      <c r="Y39" s="380">
        <f t="shared" si="65"/>
        <v>2.3333277671039006</v>
      </c>
      <c r="Z39" s="380"/>
      <c r="AA39" s="379">
        <f t="shared" si="66"/>
        <v>1267.726673734421</v>
      </c>
      <c r="AB39" s="379"/>
      <c r="AC39" s="381" t="s">
        <v>331</v>
      </c>
      <c r="AD39" s="382"/>
      <c r="AE39" s="383"/>
      <c r="AI39" s="384">
        <f t="shared" si="30"/>
        <v>543.312727687593</v>
      </c>
      <c r="AJ39" s="345"/>
      <c r="AK39" s="372" t="str">
        <f t="shared" si="10"/>
        <v/>
      </c>
      <c r="AL39" s="373">
        <f t="shared" si="31"/>
        <v>1623.9548458321838</v>
      </c>
      <c r="AN39" s="296"/>
      <c r="AO39" s="409"/>
      <c r="AP39" s="410"/>
      <c r="AQ39" s="430"/>
      <c r="AR39" s="296"/>
      <c r="AS39" s="409"/>
      <c r="AT39" s="441"/>
      <c r="AU39" s="409"/>
      <c r="AV39" s="409"/>
      <c r="AW39" s="437"/>
      <c r="AY39" s="431">
        <f t="shared" si="67"/>
        <v>2.3333277671039006</v>
      </c>
      <c r="BA39" s="411">
        <f t="shared" si="47"/>
        <v>0</v>
      </c>
      <c r="BB39" s="412"/>
      <c r="BG39" s="439"/>
      <c r="BH39" s="370">
        <f t="shared" si="3"/>
        <v>0</v>
      </c>
      <c r="BJ39" s="370">
        <v>0</v>
      </c>
      <c r="BM39" s="413">
        <f t="shared" si="43"/>
        <v>1267.726673734421</v>
      </c>
      <c r="BN39" s="386"/>
      <c r="BP39" s="338">
        <f t="shared" si="12"/>
        <v>2011</v>
      </c>
      <c r="BQ39" s="338" t="str">
        <f t="shared" si="12"/>
        <v>UNK</v>
      </c>
      <c r="BR39" s="338" t="str">
        <f t="shared" si="13"/>
        <v>UNK</v>
      </c>
      <c r="BS39" s="338" t="str">
        <f t="shared" si="13"/>
        <v>UNK</v>
      </c>
      <c r="BT39" s="338" t="str">
        <f t="shared" si="13"/>
        <v>UNK</v>
      </c>
      <c r="BV39" s="296">
        <f t="shared" si="32"/>
        <v>2011</v>
      </c>
      <c r="BW39" s="389"/>
      <c r="BX39" s="389"/>
      <c r="BY39" s="389"/>
      <c r="BZ39" s="389"/>
      <c r="CA39" s="294"/>
      <c r="CB39" s="367">
        <v>2011</v>
      </c>
      <c r="CC39" s="391" t="str">
        <f t="shared" si="15"/>
        <v/>
      </c>
      <c r="CD39" s="391" t="str">
        <f t="shared" si="15"/>
        <v/>
      </c>
      <c r="CE39" s="391" t="str">
        <f t="shared" si="15"/>
        <v/>
      </c>
      <c r="CF39" s="391" t="str">
        <f t="shared" si="15"/>
        <v/>
      </c>
      <c r="CG39" s="392"/>
      <c r="CH39" s="393"/>
      <c r="CI39" s="394"/>
      <c r="CJ39" s="395"/>
      <c r="CK39" s="423"/>
      <c r="CL39" s="434">
        <f t="shared" si="48"/>
        <v>1267.726673734421</v>
      </c>
      <c r="CN39" s="296"/>
      <c r="CO39" s="296"/>
      <c r="CP39" s="296"/>
      <c r="CQ39" s="400"/>
      <c r="CR39" s="420">
        <f t="shared" si="44"/>
        <v>2011</v>
      </c>
      <c r="CS39" s="421">
        <f t="shared" si="49"/>
        <v>1267.726673734421</v>
      </c>
      <c r="CT39" s="445" t="s">
        <v>332</v>
      </c>
      <c r="CU39" s="438">
        <f>CS39*CP$56</f>
        <v>3170.8638708342401</v>
      </c>
      <c r="CV39" s="409"/>
      <c r="CW39" s="409"/>
      <c r="CX39" s="409">
        <f t="shared" si="54"/>
        <v>11822.926673734422</v>
      </c>
      <c r="CY39" s="438">
        <f>$S39+CU39</f>
        <v>13726.063870834241</v>
      </c>
      <c r="CZ39" s="409">
        <f t="shared" si="56"/>
        <v>1903.1371970998189</v>
      </c>
      <c r="DA39" s="409">
        <f t="shared" si="45"/>
        <v>399.65881139096194</v>
      </c>
      <c r="DB39" s="295">
        <f t="shared" si="46"/>
        <v>0.10722613010455162</v>
      </c>
      <c r="DC39" s="295">
        <f>CU39/CY39</f>
        <v>0.23101042663598809</v>
      </c>
      <c r="DG39" s="401">
        <f t="shared" ref="DG39:DG46" si="69">CL39/(CL39+$S39)</f>
        <v>0.10722613010455162</v>
      </c>
      <c r="DI39" s="370"/>
      <c r="DK39" s="296">
        <f t="shared" si="20"/>
        <v>2011</v>
      </c>
      <c r="DL39" s="404"/>
      <c r="DM39" s="405"/>
      <c r="DN39" s="405"/>
      <c r="DO39" s="407"/>
      <c r="DP39" s="407">
        <f t="shared" ref="DP39:DP46" si="70">CL39</f>
        <v>1267.726673734421</v>
      </c>
    </row>
    <row r="40" spans="1:120" x14ac:dyDescent="0.2">
      <c r="A40" s="354">
        <v>2012</v>
      </c>
      <c r="B40" s="355" t="s">
        <v>106</v>
      </c>
      <c r="C40" s="355" t="s">
        <v>106</v>
      </c>
      <c r="D40" s="355" t="s">
        <v>106</v>
      </c>
      <c r="E40" s="356">
        <v>354</v>
      </c>
      <c r="F40" s="355" t="s">
        <v>106</v>
      </c>
      <c r="G40" s="357">
        <f t="shared" ref="G40:G53" si="71">SUM(B40:F40)</f>
        <v>354</v>
      </c>
      <c r="H40" s="358">
        <f>1-(B$55+C$55+D$55+F$55)</f>
        <v>0.40919494930228728</v>
      </c>
      <c r="I40" s="357">
        <f t="shared" si="24"/>
        <v>865.11331726747983</v>
      </c>
      <c r="J40" s="377">
        <f t="shared" si="25"/>
        <v>865.11331726747983</v>
      </c>
      <c r="L40" s="360">
        <v>954.25958158995809</v>
      </c>
      <c r="M40" s="360"/>
      <c r="N40" s="361" t="s">
        <v>309</v>
      </c>
      <c r="O40" s="317" t="s">
        <v>312</v>
      </c>
      <c r="Q40" s="354">
        <f t="shared" si="26"/>
        <v>2012</v>
      </c>
      <c r="R40" s="291">
        <f t="shared" si="5"/>
        <v>1</v>
      </c>
      <c r="S40" s="362">
        <f>'A6-Chin (NEW2+Khutz)'!C33</f>
        <v>9380.7999999999993</v>
      </c>
      <c r="T40" s="362" t="str">
        <f t="shared" si="41"/>
        <v/>
      </c>
      <c r="U40" s="426">
        <f t="shared" si="60"/>
        <v>4.8953651810677679E-2</v>
      </c>
      <c r="V40" s="379">
        <f t="shared" si="28"/>
        <v>482.86228928791206</v>
      </c>
      <c r="W40" s="379">
        <f t="shared" si="29"/>
        <v>865.11331726747983</v>
      </c>
      <c r="X40" s="379">
        <f t="shared" si="6"/>
        <v>2057.1477645241862</v>
      </c>
      <c r="Y40" s="380">
        <f t="shared" si="65"/>
        <v>2.3333277671039006</v>
      </c>
      <c r="Z40" s="380"/>
      <c r="AA40" s="379">
        <f t="shared" si="66"/>
        <v>1126.6759872828416</v>
      </c>
      <c r="AB40" s="379">
        <f>IF(W40=0,"",W40*$Y40)</f>
        <v>2018.592924871577</v>
      </c>
      <c r="AC40" s="381">
        <f t="shared" si="9"/>
        <v>4800</v>
      </c>
      <c r="AD40" s="382"/>
      <c r="AE40" s="383"/>
      <c r="AI40" s="384">
        <f t="shared" si="30"/>
        <v>482.86228928791206</v>
      </c>
      <c r="AJ40" s="345">
        <v>308</v>
      </c>
      <c r="AK40" s="372">
        <f t="shared" si="10"/>
        <v>0.38944833275249657</v>
      </c>
      <c r="AL40" s="373">
        <f t="shared" si="31"/>
        <v>1845.3409395508429</v>
      </c>
      <c r="AN40" s="296"/>
      <c r="AO40" s="409"/>
      <c r="AP40" s="410"/>
      <c r="AQ40" s="430"/>
      <c r="AR40" s="296"/>
      <c r="AS40" s="409"/>
      <c r="AT40" s="441"/>
      <c r="AU40" s="409"/>
      <c r="AV40" s="409"/>
      <c r="AW40" s="437"/>
      <c r="AY40" s="431">
        <f t="shared" si="67"/>
        <v>2.3333277671039006</v>
      </c>
      <c r="BA40" s="411">
        <f t="shared" si="47"/>
        <v>2018.592924871577</v>
      </c>
      <c r="BB40" s="412"/>
      <c r="BG40" s="439"/>
      <c r="BH40" s="370">
        <f t="shared" si="3"/>
        <v>244.94499081253181</v>
      </c>
      <c r="BJ40" s="370">
        <v>0</v>
      </c>
      <c r="BM40" s="413">
        <f t="shared" si="43"/>
        <v>1126.6759872828416</v>
      </c>
      <c r="BN40" s="386">
        <f>AC40-BM40</f>
        <v>3673.3240127171584</v>
      </c>
      <c r="BP40" s="338">
        <f t="shared" si="12"/>
        <v>2012</v>
      </c>
      <c r="BQ40" s="338" t="str">
        <f t="shared" si="12"/>
        <v>UNK</v>
      </c>
      <c r="BR40" s="338" t="str">
        <f t="shared" si="13"/>
        <v>UNK</v>
      </c>
      <c r="BS40" s="338">
        <f t="shared" si="13"/>
        <v>354</v>
      </c>
      <c r="BT40" s="338" t="str">
        <f t="shared" si="13"/>
        <v>UNK</v>
      </c>
      <c r="BV40" s="296">
        <f t="shared" si="32"/>
        <v>2012</v>
      </c>
      <c r="BW40" s="389"/>
      <c r="BX40" s="389"/>
      <c r="BY40" s="389">
        <f t="shared" si="68"/>
        <v>825.99802955478083</v>
      </c>
      <c r="BZ40" s="389"/>
      <c r="CA40" s="294"/>
      <c r="CB40" s="367">
        <v>2012</v>
      </c>
      <c r="CC40" s="391" t="str">
        <f t="shared" si="15"/>
        <v/>
      </c>
      <c r="CD40" s="391" t="str">
        <f t="shared" si="15"/>
        <v/>
      </c>
      <c r="CE40" s="391">
        <f t="shared" si="15"/>
        <v>1.0324975369434761</v>
      </c>
      <c r="CF40" s="391" t="str">
        <f t="shared" si="15"/>
        <v/>
      </c>
      <c r="CG40" s="392">
        <f t="shared" si="33"/>
        <v>1.0324975369434761</v>
      </c>
      <c r="CH40" s="438">
        <f t="shared" si="34"/>
        <v>4800</v>
      </c>
      <c r="CI40" s="394">
        <f t="shared" si="35"/>
        <v>4955.9881773286852</v>
      </c>
      <c r="CJ40" s="395">
        <f>CI40*CN$2</f>
        <v>4674.6066223139251</v>
      </c>
      <c r="CK40" s="423">
        <f>AB40</f>
        <v>2018.592924871577</v>
      </c>
      <c r="CL40" s="434">
        <f t="shared" si="48"/>
        <v>1126.6759872828416</v>
      </c>
      <c r="CN40" s="296"/>
      <c r="CO40" s="435">
        <f>CJ40*CO$2</f>
        <v>4734.4332574217979</v>
      </c>
      <c r="CP40" s="440">
        <f t="shared" si="63"/>
        <v>4.1490248084433601</v>
      </c>
      <c r="CQ40" s="400"/>
      <c r="CR40" s="420">
        <f t="shared" si="44"/>
        <v>2012</v>
      </c>
      <c r="CS40" s="421">
        <f t="shared" si="49"/>
        <v>1126.6759872828416</v>
      </c>
      <c r="CT40" s="422">
        <f t="shared" si="50"/>
        <v>4955.9881773286852</v>
      </c>
      <c r="CU40" s="423">
        <f t="shared" si="51"/>
        <v>2018.592924871577</v>
      </c>
      <c r="CV40" s="409">
        <f t="shared" si="52"/>
        <v>3829.3121900458436</v>
      </c>
      <c r="CW40" s="409">
        <f t="shared" si="53"/>
        <v>2937.3952524571082</v>
      </c>
      <c r="CX40" s="409">
        <f t="shared" si="54"/>
        <v>10507.47598728284</v>
      </c>
      <c r="CY40" s="446">
        <f t="shared" si="55"/>
        <v>14336.788177328684</v>
      </c>
      <c r="CZ40" s="409">
        <f t="shared" si="56"/>
        <v>3829.3121900458445</v>
      </c>
      <c r="DA40" s="409">
        <f t="shared" si="45"/>
        <v>804.1555599096273</v>
      </c>
      <c r="DB40" s="295">
        <f t="shared" si="46"/>
        <v>0.10722613010455161</v>
      </c>
      <c r="DC40" s="295">
        <f>CT40/CY40</f>
        <v>0.34568329503296841</v>
      </c>
      <c r="DE40" s="401"/>
      <c r="DF40" s="401">
        <f>CK40/(CK40+$S40)</f>
        <v>0.17707898465955529</v>
      </c>
      <c r="DG40" s="401">
        <f t="shared" si="69"/>
        <v>0.10722613010455161</v>
      </c>
      <c r="DH40" s="403">
        <f t="shared" si="39"/>
        <v>0.10722613010455161</v>
      </c>
      <c r="DI40" s="370">
        <f>CH40-CL40</f>
        <v>3673.3240127171584</v>
      </c>
      <c r="DK40" s="296">
        <f t="shared" si="20"/>
        <v>2012</v>
      </c>
      <c r="DL40" s="404">
        <f>CE40</f>
        <v>1.0324975369434761</v>
      </c>
      <c r="DM40" s="405">
        <f>$CG$2*$DL40</f>
        <v>4955.9881773286852</v>
      </c>
      <c r="DN40" s="406">
        <f t="shared" si="40"/>
        <v>0.34568329503296841</v>
      </c>
      <c r="DO40" s="407">
        <f>CK40</f>
        <v>2018.592924871577</v>
      </c>
      <c r="DP40" s="407">
        <f t="shared" si="70"/>
        <v>1126.6759872828416</v>
      </c>
    </row>
    <row r="41" spans="1:120" x14ac:dyDescent="0.2">
      <c r="A41" s="354">
        <v>2013</v>
      </c>
      <c r="B41" s="355" t="s">
        <v>106</v>
      </c>
      <c r="C41" s="355" t="s">
        <v>106</v>
      </c>
      <c r="D41" s="355" t="s">
        <v>106</v>
      </c>
      <c r="E41" s="356">
        <v>216</v>
      </c>
      <c r="F41" s="355" t="s">
        <v>106</v>
      </c>
      <c r="G41" s="357">
        <f t="shared" si="71"/>
        <v>216</v>
      </c>
      <c r="H41" s="358">
        <f>1-(B$55+C$55+D$55+F$55)</f>
        <v>0.40919494930228728</v>
      </c>
      <c r="I41" s="357">
        <f t="shared" si="24"/>
        <v>527.86575290897076</v>
      </c>
      <c r="J41" s="377">
        <f t="shared" si="25"/>
        <v>527.86575290897076</v>
      </c>
      <c r="L41" s="360">
        <v>582.26008368200826</v>
      </c>
      <c r="M41" s="360"/>
      <c r="N41" s="361" t="s">
        <v>309</v>
      </c>
      <c r="O41" s="317" t="s">
        <v>312</v>
      </c>
      <c r="Q41" s="354">
        <f t="shared" si="26"/>
        <v>2013</v>
      </c>
      <c r="R41" s="291">
        <f t="shared" si="5"/>
        <v>1</v>
      </c>
      <c r="S41" s="362">
        <f>'A6-Chin (NEW2+Khutz)'!C34</f>
        <v>9342.4</v>
      </c>
      <c r="T41" s="362" t="str">
        <f t="shared" si="41"/>
        <v/>
      </c>
      <c r="U41" s="426">
        <f t="shared" si="60"/>
        <v>4.8953651810677679E-2</v>
      </c>
      <c r="V41" s="379">
        <f t="shared" si="28"/>
        <v>480.88570819582492</v>
      </c>
      <c r="W41" s="379">
        <f t="shared" si="29"/>
        <v>527.86575290897076</v>
      </c>
      <c r="X41" s="379">
        <f t="shared" si="6"/>
        <v>1296.0000000000002</v>
      </c>
      <c r="Y41" s="380">
        <f t="shared" si="65"/>
        <v>2.3333277671039006</v>
      </c>
      <c r="Z41" s="380"/>
      <c r="AA41" s="379">
        <f t="shared" si="66"/>
        <v>1122.0639757367421</v>
      </c>
      <c r="AB41" s="379">
        <f>IF(W41=0,"",W41*$Y41)</f>
        <v>1231.683818565708</v>
      </c>
      <c r="AC41" s="381">
        <f t="shared" si="9"/>
        <v>3023.9927861666556</v>
      </c>
      <c r="AD41" s="382"/>
      <c r="AE41" s="383"/>
      <c r="AI41" s="384">
        <f t="shared" si="30"/>
        <v>480.88570819582492</v>
      </c>
      <c r="AJ41" s="345">
        <v>340</v>
      </c>
      <c r="AK41" s="372">
        <f t="shared" si="10"/>
        <v>0.41418676997954496</v>
      </c>
      <c r="AL41" s="373">
        <f t="shared" si="31"/>
        <v>1915.3954165520681</v>
      </c>
      <c r="AN41" s="296"/>
      <c r="AO41" s="409"/>
      <c r="AP41" s="410"/>
      <c r="AQ41" s="430"/>
      <c r="AR41" s="296"/>
      <c r="AS41" s="409"/>
      <c r="AT41" s="441"/>
      <c r="AU41" s="409"/>
      <c r="AV41" s="409"/>
      <c r="AW41" s="437"/>
      <c r="AY41" s="431">
        <f t="shared" si="67"/>
        <v>2.3333277671039006</v>
      </c>
      <c r="BA41" s="411">
        <f t="shared" si="47"/>
        <v>1231.683818565708</v>
      </c>
      <c r="BB41" s="412"/>
      <c r="BG41" s="439"/>
      <c r="BH41" s="370">
        <f t="shared" si="3"/>
        <v>149.45796049578212</v>
      </c>
      <c r="BJ41" s="370">
        <v>0</v>
      </c>
      <c r="BM41" s="413">
        <f t="shared" si="43"/>
        <v>1122.0639757367421</v>
      </c>
      <c r="BN41" s="386">
        <f>AC41-BM41</f>
        <v>1901.9288104299135</v>
      </c>
      <c r="BP41" s="338">
        <f t="shared" si="12"/>
        <v>2013</v>
      </c>
      <c r="BQ41" s="338" t="str">
        <f t="shared" si="12"/>
        <v>UNK</v>
      </c>
      <c r="BR41" s="338" t="str">
        <f t="shared" si="13"/>
        <v>UNK</v>
      </c>
      <c r="BS41" s="338">
        <f t="shared" si="13"/>
        <v>216</v>
      </c>
      <c r="BT41" s="338" t="str">
        <f t="shared" si="13"/>
        <v>UNK</v>
      </c>
      <c r="BV41" s="296">
        <f t="shared" si="32"/>
        <v>2013</v>
      </c>
      <c r="BW41" s="389"/>
      <c r="BX41" s="389"/>
      <c r="BY41" s="389">
        <f t="shared" si="68"/>
        <v>503.99879769444254</v>
      </c>
      <c r="BZ41" s="389"/>
      <c r="CA41" s="294"/>
      <c r="CB41" s="367">
        <v>2013</v>
      </c>
      <c r="CC41" s="391" t="str">
        <f t="shared" si="15"/>
        <v/>
      </c>
      <c r="CD41" s="391" t="str">
        <f t="shared" si="15"/>
        <v/>
      </c>
      <c r="CE41" s="391">
        <f t="shared" si="15"/>
        <v>0.62999849711805322</v>
      </c>
      <c r="CF41" s="391" t="str">
        <f t="shared" si="15"/>
        <v/>
      </c>
      <c r="CG41" s="392">
        <f t="shared" si="33"/>
        <v>0.62999849711805322</v>
      </c>
      <c r="CH41" s="393">
        <f t="shared" si="34"/>
        <v>3023.9927861666556</v>
      </c>
      <c r="CI41" s="394">
        <f t="shared" si="35"/>
        <v>3023.9927861666556</v>
      </c>
      <c r="CJ41" s="395">
        <f>CI41*CN$2</f>
        <v>2852.3023458186663</v>
      </c>
      <c r="CK41" s="423">
        <f>AB41</f>
        <v>1231.683818565708</v>
      </c>
      <c r="CL41" s="434">
        <f t="shared" si="48"/>
        <v>1122.0639757367421</v>
      </c>
      <c r="CN41" s="296"/>
      <c r="CO41" s="435">
        <f>CJ41*CO$2</f>
        <v>2888.8067333421141</v>
      </c>
      <c r="CP41" s="440">
        <f t="shared" si="63"/>
        <v>2.5420140094470614</v>
      </c>
      <c r="CQ41" s="400"/>
      <c r="CR41" s="420">
        <f t="shared" si="44"/>
        <v>2013</v>
      </c>
      <c r="CS41" s="421">
        <f t="shared" si="49"/>
        <v>1122.0639757367421</v>
      </c>
      <c r="CT41" s="422">
        <f t="shared" si="50"/>
        <v>3023.9927861666556</v>
      </c>
      <c r="CU41" s="423">
        <f t="shared" si="51"/>
        <v>1231.683818565708</v>
      </c>
      <c r="CV41" s="409">
        <f t="shared" si="52"/>
        <v>1901.9288104299135</v>
      </c>
      <c r="CW41" s="409">
        <f t="shared" si="53"/>
        <v>1792.3089676009477</v>
      </c>
      <c r="CX41" s="409">
        <f t="shared" si="54"/>
        <v>10464.463975736742</v>
      </c>
      <c r="CY41" s="446">
        <f t="shared" si="55"/>
        <v>12366.392786166656</v>
      </c>
      <c r="CZ41" s="409">
        <f t="shared" si="56"/>
        <v>1901.9288104299139</v>
      </c>
      <c r="DA41" s="409">
        <f t="shared" si="45"/>
        <v>399.40505019028194</v>
      </c>
      <c r="DB41" s="295">
        <f t="shared" si="46"/>
        <v>0.10722613010455169</v>
      </c>
      <c r="DC41" s="295">
        <f>CT41/CY41</f>
        <v>0.24453313415286038</v>
      </c>
      <c r="DE41" s="401"/>
      <c r="DF41" s="401">
        <f>CK41/(CK41+$S41)</f>
        <v>0.11648137462303342</v>
      </c>
      <c r="DG41" s="401">
        <f t="shared" si="69"/>
        <v>0.10722613010455169</v>
      </c>
      <c r="DH41" s="403">
        <f t="shared" si="39"/>
        <v>0.10722613010455169</v>
      </c>
      <c r="DI41" s="370">
        <f>CH41-CL41</f>
        <v>1901.9288104299135</v>
      </c>
      <c r="DK41" s="296">
        <f t="shared" si="20"/>
        <v>2013</v>
      </c>
      <c r="DL41" s="404">
        <f>CE41</f>
        <v>0.62999849711805322</v>
      </c>
      <c r="DM41" s="405">
        <f>$CG$2*$DL41</f>
        <v>3023.9927861666556</v>
      </c>
      <c r="DN41" s="406">
        <f t="shared" si="40"/>
        <v>0.24453313415286038</v>
      </c>
      <c r="DO41" s="407">
        <f>CK41</f>
        <v>1231.683818565708</v>
      </c>
      <c r="DP41" s="407">
        <f t="shared" si="70"/>
        <v>1122.0639757367421</v>
      </c>
    </row>
    <row r="42" spans="1:120" x14ac:dyDescent="0.2">
      <c r="A42" s="354">
        <v>2014</v>
      </c>
      <c r="B42" s="355" t="s">
        <v>106</v>
      </c>
      <c r="C42" s="355" t="s">
        <v>106</v>
      </c>
      <c r="D42" s="355" t="s">
        <v>106</v>
      </c>
      <c r="E42" s="356">
        <v>610</v>
      </c>
      <c r="F42" s="355" t="s">
        <v>106</v>
      </c>
      <c r="G42" s="357">
        <f t="shared" si="71"/>
        <v>610</v>
      </c>
      <c r="H42" s="358">
        <f>1-(B$55+C$55+D$55+F$55)</f>
        <v>0.40919494930228728</v>
      </c>
      <c r="I42" s="357">
        <f t="shared" si="24"/>
        <v>1490.7319873818155</v>
      </c>
      <c r="J42" s="377">
        <f t="shared" si="25"/>
        <v>1490.7319873818155</v>
      </c>
      <c r="L42" s="360">
        <v>1578.685736677116</v>
      </c>
      <c r="M42" s="360"/>
      <c r="N42" s="361" t="s">
        <v>309</v>
      </c>
      <c r="O42" s="317" t="s">
        <v>312</v>
      </c>
      <c r="Q42" s="354">
        <f t="shared" si="26"/>
        <v>2014</v>
      </c>
      <c r="R42" s="291">
        <f t="shared" si="5"/>
        <v>1</v>
      </c>
      <c r="S42" s="362">
        <f>'A6-Chin (NEW2+Khutz)'!C35</f>
        <v>13909.2</v>
      </c>
      <c r="T42" s="362" t="str">
        <f t="shared" si="41"/>
        <v/>
      </c>
      <c r="U42" s="426">
        <f t="shared" si="60"/>
        <v>4.8953651810677679E-2</v>
      </c>
      <c r="V42" s="379">
        <f t="shared" si="28"/>
        <v>715.95473244962341</v>
      </c>
      <c r="W42" s="379">
        <f t="shared" si="29"/>
        <v>1490.7319873818155</v>
      </c>
      <c r="X42" s="379">
        <f t="shared" si="6"/>
        <v>2057.1477645241862</v>
      </c>
      <c r="Y42" s="380">
        <f t="shared" si="65"/>
        <v>2.3333277671039006</v>
      </c>
      <c r="Z42" s="380"/>
      <c r="AA42" s="379">
        <f t="shared" si="66"/>
        <v>1670.5570572141503</v>
      </c>
      <c r="AB42" s="379">
        <f>IF(W42=0,"",W42*$Y42)</f>
        <v>3478.3663394679716</v>
      </c>
      <c r="AC42" s="381">
        <f t="shared" si="9"/>
        <v>4800</v>
      </c>
      <c r="AD42" s="382"/>
      <c r="AE42" s="383"/>
      <c r="AI42" s="384">
        <f t="shared" si="30"/>
        <v>715.95473244962341</v>
      </c>
      <c r="AJ42" s="345">
        <v>235</v>
      </c>
      <c r="AK42" s="372">
        <f t="shared" si="10"/>
        <v>0.24712006994765029</v>
      </c>
      <c r="AL42" s="373">
        <f t="shared" si="31"/>
        <v>2218.8890824835671</v>
      </c>
      <c r="AN42" s="296"/>
      <c r="AO42" s="409"/>
      <c r="AP42" s="410"/>
      <c r="AQ42" s="430"/>
      <c r="AR42" s="296"/>
      <c r="AS42" s="409"/>
      <c r="AT42" s="441"/>
      <c r="AU42" s="409"/>
      <c r="AV42" s="409"/>
      <c r="AW42" s="437"/>
      <c r="AY42" s="431">
        <f t="shared" si="67"/>
        <v>2.3333277671039006</v>
      </c>
      <c r="BA42" s="411">
        <f t="shared" si="47"/>
        <v>3478.3663394679716</v>
      </c>
      <c r="BB42" s="412"/>
      <c r="BG42" s="439"/>
      <c r="BH42" s="370">
        <f t="shared" si="3"/>
        <v>422.08035140012544</v>
      </c>
      <c r="BJ42" s="370">
        <v>0</v>
      </c>
      <c r="BM42" s="413">
        <f t="shared" si="43"/>
        <v>1670.5570572141503</v>
      </c>
      <c r="BN42" s="386">
        <f>AC42-BM42</f>
        <v>3129.4429427858495</v>
      </c>
      <c r="BP42" s="338">
        <f t="shared" si="12"/>
        <v>2014</v>
      </c>
      <c r="BQ42" s="338" t="str">
        <f t="shared" si="12"/>
        <v>UNK</v>
      </c>
      <c r="BR42" s="338" t="str">
        <f t="shared" si="13"/>
        <v>UNK</v>
      </c>
      <c r="BS42" s="338">
        <f t="shared" si="13"/>
        <v>610</v>
      </c>
      <c r="BT42" s="338" t="str">
        <f t="shared" si="13"/>
        <v>UNK</v>
      </c>
      <c r="BV42" s="296">
        <f t="shared" si="32"/>
        <v>2014</v>
      </c>
      <c r="BW42" s="389"/>
      <c r="BX42" s="389"/>
      <c r="BY42" s="389">
        <f t="shared" si="68"/>
        <v>1423.3299379333794</v>
      </c>
      <c r="BZ42" s="389"/>
      <c r="CA42" s="294"/>
      <c r="CB42" s="367">
        <v>2014</v>
      </c>
      <c r="CC42" s="391" t="str">
        <f t="shared" si="15"/>
        <v/>
      </c>
      <c r="CD42" s="391" t="str">
        <f t="shared" si="15"/>
        <v/>
      </c>
      <c r="CE42" s="391">
        <f t="shared" si="15"/>
        <v>1.7791624224167242</v>
      </c>
      <c r="CF42" s="391" t="str">
        <f t="shared" si="15"/>
        <v/>
      </c>
      <c r="CG42" s="392">
        <f t="shared" si="33"/>
        <v>1.7791624224167242</v>
      </c>
      <c r="CH42" s="438">
        <f t="shared" si="34"/>
        <v>4800</v>
      </c>
      <c r="CI42" s="394">
        <f t="shared" si="35"/>
        <v>8539.9796276002762</v>
      </c>
      <c r="CJ42" s="395">
        <f>CI42*CN$2</f>
        <v>8055.1131062471577</v>
      </c>
      <c r="CK42" s="423">
        <f>AB42</f>
        <v>3478.3663394679716</v>
      </c>
      <c r="CL42" s="434">
        <f t="shared" si="48"/>
        <v>1670.5570572141503</v>
      </c>
      <c r="CN42" s="296"/>
      <c r="CO42" s="435">
        <f>CJ42*CO$2</f>
        <v>8158.2042006420807</v>
      </c>
      <c r="CP42" s="440">
        <f t="shared" si="63"/>
        <v>4.8218126231976797</v>
      </c>
      <c r="CQ42" s="400"/>
      <c r="CR42" s="420">
        <f t="shared" si="44"/>
        <v>2014</v>
      </c>
      <c r="CS42" s="421">
        <f t="shared" si="49"/>
        <v>1670.5570572141503</v>
      </c>
      <c r="CT42" s="422">
        <f t="shared" si="50"/>
        <v>8539.9796276002762</v>
      </c>
      <c r="CU42" s="423">
        <f t="shared" si="51"/>
        <v>3478.3663394679716</v>
      </c>
      <c r="CV42" s="409">
        <f t="shared" si="52"/>
        <v>6869.4225703861257</v>
      </c>
      <c r="CW42" s="409">
        <f t="shared" si="53"/>
        <v>5061.6132881323047</v>
      </c>
      <c r="CX42" s="409">
        <f t="shared" si="54"/>
        <v>15579.75705721415</v>
      </c>
      <c r="CY42" s="409">
        <f t="shared" si="55"/>
        <v>22449.179627600279</v>
      </c>
      <c r="CZ42" s="409">
        <f t="shared" si="56"/>
        <v>6869.4225703861284</v>
      </c>
      <c r="DA42" s="409">
        <f t="shared" si="45"/>
        <v>1442.5787397810868</v>
      </c>
      <c r="DB42" s="295">
        <f t="shared" si="46"/>
        <v>0.10722613010455159</v>
      </c>
      <c r="DC42" s="295">
        <f>CT42/CY42</f>
        <v>0.38041388457245656</v>
      </c>
      <c r="DE42" s="401"/>
      <c r="DF42" s="401">
        <f>CK42/(CK42+$S42)</f>
        <v>0.20004906216072577</v>
      </c>
      <c r="DG42" s="401">
        <f t="shared" si="69"/>
        <v>0.10722613010455159</v>
      </c>
      <c r="DH42" s="403">
        <f t="shared" si="39"/>
        <v>0.10722613010455159</v>
      </c>
      <c r="DI42" s="370">
        <f>CH42-CL42</f>
        <v>3129.4429427858495</v>
      </c>
      <c r="DK42" s="296">
        <f t="shared" si="20"/>
        <v>2014</v>
      </c>
      <c r="DL42" s="404">
        <f>CE42</f>
        <v>1.7791624224167242</v>
      </c>
      <c r="DM42" s="405">
        <f>$CG$2*$DL42</f>
        <v>8539.9796276002762</v>
      </c>
      <c r="DN42" s="406">
        <f t="shared" si="40"/>
        <v>0.38041388457245656</v>
      </c>
      <c r="DO42" s="407">
        <f>CK42</f>
        <v>3478.3663394679716</v>
      </c>
      <c r="DP42" s="407">
        <f t="shared" si="70"/>
        <v>1670.5570572141503</v>
      </c>
    </row>
    <row r="43" spans="1:120" x14ac:dyDescent="0.2">
      <c r="A43" s="354">
        <v>2015</v>
      </c>
      <c r="B43" s="355" t="s">
        <v>106</v>
      </c>
      <c r="C43" s="355" t="s">
        <v>106</v>
      </c>
      <c r="D43" s="355" t="s">
        <v>106</v>
      </c>
      <c r="E43" s="356">
        <v>296</v>
      </c>
      <c r="F43" s="355" t="s">
        <v>106</v>
      </c>
      <c r="G43" s="357">
        <f t="shared" si="71"/>
        <v>296</v>
      </c>
      <c r="H43" s="358">
        <f>1-(B$55+C$55+D$55+F$55)</f>
        <v>0.40919494930228728</v>
      </c>
      <c r="I43" s="357">
        <f t="shared" si="24"/>
        <v>723.37158731970067</v>
      </c>
      <c r="J43" s="377">
        <f t="shared" si="25"/>
        <v>723.37158731970067</v>
      </c>
      <c r="L43" s="360">
        <v>766.05078369905959</v>
      </c>
      <c r="M43" s="360"/>
      <c r="N43" s="361" t="s">
        <v>309</v>
      </c>
      <c r="O43" s="317" t="s">
        <v>312</v>
      </c>
      <c r="Q43" s="354">
        <f t="shared" si="26"/>
        <v>2015</v>
      </c>
      <c r="R43" s="291">
        <f t="shared" si="5"/>
        <v>1</v>
      </c>
      <c r="S43" s="362">
        <f>'A6-Chin (NEW2+Khutz)'!C36</f>
        <v>19532.2</v>
      </c>
      <c r="T43" s="362" t="str">
        <f t="shared" si="41"/>
        <v/>
      </c>
      <c r="U43" s="426">
        <f t="shared" si="60"/>
        <v>4.8953651810677679E-2</v>
      </c>
      <c r="V43" s="379">
        <f t="shared" si="28"/>
        <v>1005.3900314290222</v>
      </c>
      <c r="W43" s="379">
        <f t="shared" si="29"/>
        <v>723.37158731970067</v>
      </c>
      <c r="X43" s="379">
        <f t="shared" si="6"/>
        <v>1776</v>
      </c>
      <c r="Y43" s="380">
        <f t="shared" si="65"/>
        <v>2.3333277671039006</v>
      </c>
      <c r="Z43" s="380"/>
      <c r="AA43" s="379">
        <f t="shared" si="66"/>
        <v>2345.9044771028007</v>
      </c>
      <c r="AB43" s="379">
        <f>IF(W43=0,"",W43*$Y43)</f>
        <v>1687.8630106270814</v>
      </c>
      <c r="AC43" s="381">
        <f t="shared" si="9"/>
        <v>4143.9901143765273</v>
      </c>
      <c r="AD43" s="382"/>
      <c r="AE43" s="383"/>
      <c r="AI43" s="384">
        <f t="shared" si="30"/>
        <v>1005.3900314290222</v>
      </c>
      <c r="AJ43" s="345">
        <v>260</v>
      </c>
      <c r="AK43" s="372">
        <f t="shared" si="10"/>
        <v>0.20547024517521958</v>
      </c>
      <c r="AL43" s="373">
        <f t="shared" si="31"/>
        <v>2952.569696549815</v>
      </c>
      <c r="AN43" s="296"/>
      <c r="AO43" s="409"/>
      <c r="AP43" s="410"/>
      <c r="AQ43" s="430"/>
      <c r="AR43" s="296"/>
      <c r="AS43" s="409"/>
      <c r="AT43" s="441"/>
      <c r="AU43" s="409"/>
      <c r="AV43" s="409"/>
      <c r="AW43" s="437"/>
      <c r="AY43" s="431">
        <f t="shared" si="67"/>
        <v>2.3333277671039006</v>
      </c>
      <c r="BA43" s="411">
        <f t="shared" si="47"/>
        <v>1687.8630106270814</v>
      </c>
      <c r="BB43" s="412"/>
      <c r="BG43" s="439"/>
      <c r="BH43" s="370">
        <f t="shared" si="3"/>
        <v>204.81276067940513</v>
      </c>
      <c r="BJ43" s="370">
        <v>0</v>
      </c>
      <c r="BM43" s="413">
        <f t="shared" si="43"/>
        <v>2345.9044771028007</v>
      </c>
      <c r="BN43" s="386">
        <f>AC43-BM43</f>
        <v>1798.0856372737267</v>
      </c>
      <c r="BP43" s="338">
        <f t="shared" si="12"/>
        <v>2015</v>
      </c>
      <c r="BQ43" s="338" t="str">
        <f t="shared" si="12"/>
        <v>UNK</v>
      </c>
      <c r="BR43" s="338" t="str">
        <f t="shared" si="13"/>
        <v>UNK</v>
      </c>
      <c r="BS43" s="338">
        <f t="shared" si="13"/>
        <v>296</v>
      </c>
      <c r="BT43" s="338" t="str">
        <f t="shared" si="13"/>
        <v>UNK</v>
      </c>
      <c r="BV43" s="296">
        <f t="shared" si="32"/>
        <v>2015</v>
      </c>
      <c r="BW43" s="389"/>
      <c r="BX43" s="389"/>
      <c r="BY43" s="389">
        <f t="shared" si="68"/>
        <v>690.6650190627546</v>
      </c>
      <c r="BZ43" s="389"/>
      <c r="CA43" s="294"/>
      <c r="CB43" s="367">
        <v>2015</v>
      </c>
      <c r="CC43" s="391" t="str">
        <f t="shared" si="15"/>
        <v/>
      </c>
      <c r="CD43" s="391" t="str">
        <f t="shared" si="15"/>
        <v/>
      </c>
      <c r="CE43" s="391">
        <f t="shared" si="15"/>
        <v>0.86333127382844321</v>
      </c>
      <c r="CF43" s="391" t="str">
        <f t="shared" si="15"/>
        <v/>
      </c>
      <c r="CG43" s="392">
        <f t="shared" si="33"/>
        <v>0.86333127382844321</v>
      </c>
      <c r="CH43" s="393">
        <f>IF($CG43&gt;1,$CG$2*1,$CG$2*$CG43)</f>
        <v>4143.9901143765273</v>
      </c>
      <c r="CI43" s="394">
        <f t="shared" si="35"/>
        <v>4143.9901143765273</v>
      </c>
      <c r="CJ43" s="395">
        <f>CI43*CN$2</f>
        <v>3908.7106220478008</v>
      </c>
      <c r="CK43" s="423">
        <f>AB43</f>
        <v>1687.8630106270814</v>
      </c>
      <c r="CL43" s="434">
        <f t="shared" si="48"/>
        <v>2345.9044771028007</v>
      </c>
      <c r="CN43" s="296"/>
      <c r="CO43" s="435">
        <f>CJ43*CO$2</f>
        <v>3958.735153098452</v>
      </c>
      <c r="CP43" s="440">
        <f t="shared" si="63"/>
        <v>1.6661849023260618</v>
      </c>
      <c r="CQ43" s="400"/>
      <c r="CR43" s="420">
        <f t="shared" si="44"/>
        <v>2015</v>
      </c>
      <c r="CS43" s="421">
        <f t="shared" si="49"/>
        <v>2345.9044771028007</v>
      </c>
      <c r="CT43" s="422">
        <f t="shared" si="50"/>
        <v>4143.9901143765273</v>
      </c>
      <c r="CU43" s="423">
        <f t="shared" si="51"/>
        <v>1687.8630106270814</v>
      </c>
      <c r="CV43" s="409">
        <f t="shared" si="52"/>
        <v>1798.0856372737267</v>
      </c>
      <c r="CW43" s="409">
        <f t="shared" si="53"/>
        <v>2456.1271037494462</v>
      </c>
      <c r="CX43" s="409">
        <f t="shared" si="54"/>
        <v>21878.104477102803</v>
      </c>
      <c r="CY43" s="409">
        <f t="shared" si="55"/>
        <v>23676.190114376528</v>
      </c>
      <c r="CZ43" s="409">
        <f t="shared" si="56"/>
        <v>1798.0856372737253</v>
      </c>
      <c r="DA43" s="409">
        <f t="shared" si="45"/>
        <v>377.59798382748232</v>
      </c>
      <c r="DB43" s="295">
        <f t="shared" si="46"/>
        <v>0.10722613010455172</v>
      </c>
      <c r="DC43" s="295">
        <f>CT43/CY43</f>
        <v>0.17502774282337918</v>
      </c>
      <c r="DE43" s="401"/>
      <c r="DF43" s="401">
        <f>CK43/(CK43+$S43)</f>
        <v>7.9540904745749041E-2</v>
      </c>
      <c r="DG43" s="401">
        <f t="shared" si="69"/>
        <v>0.10722613010455172</v>
      </c>
      <c r="DH43" s="403">
        <f t="shared" si="39"/>
        <v>0.10722613010455172</v>
      </c>
      <c r="DI43" s="370">
        <f>CH43-CL43</f>
        <v>1798.0856372737267</v>
      </c>
      <c r="DK43" s="296">
        <f t="shared" si="20"/>
        <v>2015</v>
      </c>
      <c r="DL43" s="404">
        <f>CE43</f>
        <v>0.86333127382844321</v>
      </c>
      <c r="DM43" s="405">
        <f>$CG$2*$DL43</f>
        <v>4143.9901143765273</v>
      </c>
      <c r="DN43" s="406">
        <f t="shared" si="40"/>
        <v>0.17502774282337918</v>
      </c>
      <c r="DO43" s="407">
        <f>CK43</f>
        <v>1687.8630106270814</v>
      </c>
      <c r="DP43" s="407">
        <f t="shared" si="70"/>
        <v>2345.9044771028007</v>
      </c>
    </row>
    <row r="44" spans="1:120" x14ac:dyDescent="0.2">
      <c r="A44" s="354">
        <v>2016</v>
      </c>
      <c r="B44" s="355" t="s">
        <v>106</v>
      </c>
      <c r="C44" s="355" t="s">
        <v>106</v>
      </c>
      <c r="D44" s="355" t="s">
        <v>106</v>
      </c>
      <c r="E44" s="356" t="s">
        <v>106</v>
      </c>
      <c r="F44" s="355" t="s">
        <v>106</v>
      </c>
      <c r="G44" s="357">
        <f t="shared" si="71"/>
        <v>0</v>
      </c>
      <c r="H44" s="358">
        <v>0</v>
      </c>
      <c r="I44" s="357">
        <v>0</v>
      </c>
      <c r="J44" s="377">
        <f t="shared" si="25"/>
        <v>0</v>
      </c>
      <c r="L44" s="360">
        <v>0</v>
      </c>
      <c r="M44" s="360"/>
      <c r="N44" s="361" t="s">
        <v>309</v>
      </c>
      <c r="O44" s="317" t="s">
        <v>312</v>
      </c>
      <c r="Q44" s="354">
        <f t="shared" si="26"/>
        <v>2016</v>
      </c>
      <c r="R44" s="291">
        <f t="shared" si="5"/>
        <v>0</v>
      </c>
      <c r="S44" s="362">
        <f>'A6-Chin (NEW2+Khutz)'!C37</f>
        <v>11020.6</v>
      </c>
      <c r="T44" s="362" t="str">
        <f t="shared" si="41"/>
        <v/>
      </c>
      <c r="U44" s="426">
        <f t="shared" si="60"/>
        <v>4.8953651810677679E-2</v>
      </c>
      <c r="V44" s="379">
        <f t="shared" si="28"/>
        <v>567.26847873596853</v>
      </c>
      <c r="W44" s="379"/>
      <c r="X44" s="379"/>
      <c r="Y44" s="380">
        <f t="shared" si="65"/>
        <v>2.3333277671039006</v>
      </c>
      <c r="Z44" s="380"/>
      <c r="AA44" s="379">
        <f t="shared" si="66"/>
        <v>1323.6232928374238</v>
      </c>
      <c r="AB44" s="379"/>
      <c r="AC44" s="381" t="s">
        <v>331</v>
      </c>
      <c r="AD44" s="382"/>
      <c r="AE44" s="383"/>
      <c r="AI44" s="384">
        <f t="shared" si="30"/>
        <v>567.26847873596853</v>
      </c>
      <c r="AJ44" s="345"/>
      <c r="AK44" s="372" t="str">
        <f t="shared" si="10"/>
        <v/>
      </c>
      <c r="AL44" s="373">
        <f t="shared" si="31"/>
        <v>1695.5582816032083</v>
      </c>
      <c r="AN44" s="296"/>
      <c r="AO44" s="409"/>
      <c r="AP44" s="410"/>
      <c r="AQ44" s="430"/>
      <c r="AR44" s="296"/>
      <c r="AS44" s="409"/>
      <c r="AT44" s="441"/>
      <c r="AU44" s="409"/>
      <c r="AV44" s="409"/>
      <c r="AW44" s="437"/>
      <c r="AY44" s="431">
        <f t="shared" si="67"/>
        <v>2.3333277671039006</v>
      </c>
      <c r="BA44" s="411">
        <f t="shared" si="47"/>
        <v>0</v>
      </c>
      <c r="BB44" s="412"/>
      <c r="BG44" s="439"/>
      <c r="BH44" s="370">
        <f t="shared" si="3"/>
        <v>0</v>
      </c>
      <c r="BJ44" s="370">
        <v>0</v>
      </c>
      <c r="BM44" s="413">
        <f t="shared" si="43"/>
        <v>1323.6232928374238</v>
      </c>
      <c r="BN44" s="386"/>
      <c r="BP44" s="338">
        <f t="shared" si="12"/>
        <v>2016</v>
      </c>
      <c r="BQ44" s="338" t="str">
        <f t="shared" si="12"/>
        <v>UNK</v>
      </c>
      <c r="BR44" s="338" t="str">
        <f t="shared" si="13"/>
        <v>UNK</v>
      </c>
      <c r="BS44" s="338" t="str">
        <f t="shared" si="13"/>
        <v>UNK</v>
      </c>
      <c r="BT44" s="338" t="str">
        <f t="shared" si="13"/>
        <v>UNK</v>
      </c>
      <c r="BV44" s="296">
        <f t="shared" si="32"/>
        <v>2016</v>
      </c>
      <c r="BW44" s="389"/>
      <c r="BX44" s="389"/>
      <c r="BY44" s="389"/>
      <c r="BZ44" s="389"/>
      <c r="CA44" s="294"/>
      <c r="CB44" s="367">
        <v>2016</v>
      </c>
      <c r="CC44" s="391" t="str">
        <f t="shared" si="15"/>
        <v/>
      </c>
      <c r="CD44" s="391" t="str">
        <f t="shared" si="15"/>
        <v/>
      </c>
      <c r="CE44" s="391" t="str">
        <f t="shared" si="15"/>
        <v/>
      </c>
      <c r="CF44" s="391" t="str">
        <f t="shared" si="15"/>
        <v/>
      </c>
      <c r="CG44" s="392"/>
      <c r="CH44" s="393"/>
      <c r="CI44" s="394"/>
      <c r="CJ44" s="395"/>
      <c r="CK44" s="423"/>
      <c r="CL44" s="434">
        <f t="shared" si="48"/>
        <v>1323.6232928374238</v>
      </c>
      <c r="CN44" s="296"/>
      <c r="CO44" s="296"/>
      <c r="CP44" s="296"/>
      <c r="CQ44" s="400"/>
      <c r="CR44" s="420">
        <f t="shared" si="44"/>
        <v>2016</v>
      </c>
      <c r="CS44" s="421">
        <f t="shared" si="49"/>
        <v>1323.6232928374238</v>
      </c>
      <c r="CT44" s="445" t="s">
        <v>332</v>
      </c>
      <c r="CU44" s="438">
        <f>CS44*CP$56</f>
        <v>3310.6736371566494</v>
      </c>
      <c r="CV44" s="409"/>
      <c r="CW44" s="409"/>
      <c r="CX44" s="409">
        <f t="shared" si="54"/>
        <v>12344.223292837425</v>
      </c>
      <c r="CY44" s="438">
        <f>$S44+CU44</f>
        <v>14331.27363715665</v>
      </c>
      <c r="CZ44" s="409">
        <f t="shared" si="56"/>
        <v>1987.0503443192247</v>
      </c>
      <c r="DA44" s="409">
        <f t="shared" si="45"/>
        <v>417.28057230703718</v>
      </c>
      <c r="DB44" s="295">
        <f t="shared" ref="DB44:DC53" si="72">CS44/CX44</f>
        <v>0.10722613010455175</v>
      </c>
      <c r="DC44" s="295">
        <f>CU44/CY44</f>
        <v>0.23101042663598831</v>
      </c>
      <c r="DE44" s="296"/>
      <c r="DF44" s="296"/>
      <c r="DG44" s="401">
        <f t="shared" si="69"/>
        <v>0.10722613010455175</v>
      </c>
      <c r="DK44" s="296">
        <f t="shared" si="20"/>
        <v>2016</v>
      </c>
      <c r="DL44" s="404"/>
      <c r="DM44" s="405"/>
      <c r="DN44" s="405"/>
      <c r="DO44" s="407"/>
      <c r="DP44" s="407">
        <f t="shared" si="70"/>
        <v>1323.6232928374238</v>
      </c>
    </row>
    <row r="45" spans="1:120" x14ac:dyDescent="0.2">
      <c r="A45" s="354">
        <v>2017</v>
      </c>
      <c r="B45" s="355" t="s">
        <v>106</v>
      </c>
      <c r="C45" s="355" t="s">
        <v>106</v>
      </c>
      <c r="D45" s="355" t="s">
        <v>106</v>
      </c>
      <c r="E45" s="356" t="s">
        <v>106</v>
      </c>
      <c r="F45" s="355" t="s">
        <v>106</v>
      </c>
      <c r="G45" s="357">
        <f t="shared" si="71"/>
        <v>0</v>
      </c>
      <c r="H45" s="358">
        <v>0</v>
      </c>
      <c r="I45" s="357">
        <v>0</v>
      </c>
      <c r="J45" s="377">
        <f t="shared" si="25"/>
        <v>0</v>
      </c>
      <c r="L45" s="360">
        <v>0</v>
      </c>
      <c r="M45" s="360"/>
      <c r="N45" s="361" t="s">
        <v>309</v>
      </c>
      <c r="O45" s="317" t="s">
        <v>312</v>
      </c>
      <c r="Q45" s="354">
        <f t="shared" si="26"/>
        <v>2017</v>
      </c>
      <c r="R45" s="291">
        <f t="shared" si="5"/>
        <v>0</v>
      </c>
      <c r="S45" s="362">
        <f>'A6-Chin (NEW2+Khutz)'!C38</f>
        <v>5793.8</v>
      </c>
      <c r="T45" s="362" t="str">
        <f t="shared" si="41"/>
        <v/>
      </c>
      <c r="U45" s="426">
        <f t="shared" si="60"/>
        <v>4.8953651810677679E-2</v>
      </c>
      <c r="V45" s="379">
        <f t="shared" si="28"/>
        <v>298.22696696191269</v>
      </c>
      <c r="W45" s="379"/>
      <c r="X45" s="379"/>
      <c r="Y45" s="380">
        <f t="shared" si="65"/>
        <v>2.3333277671039006</v>
      </c>
      <c r="Z45" s="380"/>
      <c r="AA45" s="379">
        <f t="shared" si="66"/>
        <v>695.86126291140852</v>
      </c>
      <c r="AB45" s="379"/>
      <c r="AC45" s="381" t="s">
        <v>331</v>
      </c>
      <c r="AD45" s="382"/>
      <c r="AE45" s="383"/>
      <c r="AI45" s="384">
        <f t="shared" si="30"/>
        <v>298.22696696191269</v>
      </c>
      <c r="AJ45" s="345"/>
      <c r="AK45" s="372" t="str">
        <f t="shared" si="10"/>
        <v/>
      </c>
      <c r="AL45" s="373">
        <f t="shared" si="31"/>
        <v>891.39661832864556</v>
      </c>
      <c r="AN45" s="296"/>
      <c r="AO45" s="409"/>
      <c r="AP45" s="410"/>
      <c r="AQ45" s="430"/>
      <c r="AR45" s="296"/>
      <c r="AS45" s="409"/>
      <c r="AT45" s="441"/>
      <c r="AU45" s="409"/>
      <c r="AV45" s="409"/>
      <c r="AW45" s="437"/>
      <c r="AY45" s="431">
        <f t="shared" si="67"/>
        <v>2.3333277671039006</v>
      </c>
      <c r="BA45" s="411">
        <f t="shared" si="47"/>
        <v>0</v>
      </c>
      <c r="BB45" s="412"/>
      <c r="BG45" s="439"/>
      <c r="BH45" s="370">
        <f t="shared" si="3"/>
        <v>0</v>
      </c>
      <c r="BJ45" s="370">
        <v>0</v>
      </c>
      <c r="BM45" s="413">
        <f t="shared" si="43"/>
        <v>695.86126291140852</v>
      </c>
      <c r="BN45" s="386"/>
      <c r="BP45" s="338">
        <f t="shared" si="12"/>
        <v>2017</v>
      </c>
      <c r="BQ45" s="338" t="str">
        <f t="shared" si="12"/>
        <v>UNK</v>
      </c>
      <c r="BR45" s="338" t="str">
        <f t="shared" si="13"/>
        <v>UNK</v>
      </c>
      <c r="BS45" s="338" t="str">
        <f t="shared" si="13"/>
        <v>UNK</v>
      </c>
      <c r="BT45" s="338" t="str">
        <f t="shared" si="13"/>
        <v>UNK</v>
      </c>
      <c r="BV45" s="296">
        <f t="shared" si="32"/>
        <v>2017</v>
      </c>
      <c r="BW45" s="389"/>
      <c r="BX45" s="389"/>
      <c r="BY45" s="389"/>
      <c r="BZ45" s="389"/>
      <c r="CA45" s="294"/>
      <c r="CB45" s="367">
        <f t="shared" ref="CB45:CB50" si="73">A45</f>
        <v>2017</v>
      </c>
      <c r="CC45" s="391" t="str">
        <f t="shared" si="15"/>
        <v/>
      </c>
      <c r="CD45" s="391" t="str">
        <f t="shared" si="15"/>
        <v/>
      </c>
      <c r="CE45" s="391" t="str">
        <f t="shared" si="15"/>
        <v/>
      </c>
      <c r="CF45" s="391" t="str">
        <f t="shared" si="15"/>
        <v/>
      </c>
      <c r="CG45" s="392"/>
      <c r="CH45" s="393"/>
      <c r="CI45" s="394"/>
      <c r="CJ45" s="395"/>
      <c r="CK45" s="423"/>
      <c r="CL45" s="434">
        <f t="shared" si="48"/>
        <v>695.86126291140852</v>
      </c>
      <c r="CN45" s="296"/>
      <c r="CO45" s="296"/>
      <c r="CP45" s="296"/>
      <c r="CQ45" s="400"/>
      <c r="CR45" s="420">
        <f t="shared" si="44"/>
        <v>2017</v>
      </c>
      <c r="CS45" s="421">
        <f t="shared" si="49"/>
        <v>695.86126291140852</v>
      </c>
      <c r="CT45" s="445" t="s">
        <v>332</v>
      </c>
      <c r="CU45" s="438">
        <f>CS45*CP$56</f>
        <v>1740.5024153819395</v>
      </c>
      <c r="CV45" s="409"/>
      <c r="CW45" s="409"/>
      <c r="CX45" s="409">
        <f t="shared" si="54"/>
        <v>6489.6612629114088</v>
      </c>
      <c r="CY45" s="438">
        <f>$S45+CU45</f>
        <v>7534.3024153819397</v>
      </c>
      <c r="CZ45" s="409">
        <f t="shared" si="56"/>
        <v>1044.6411524705309</v>
      </c>
      <c r="DA45" s="409">
        <f t="shared" si="45"/>
        <v>219.37464201881147</v>
      </c>
      <c r="DB45" s="295">
        <f t="shared" si="72"/>
        <v>0.10722613010455177</v>
      </c>
      <c r="DC45" s="295">
        <f>CU45/CY45</f>
        <v>0.23101042663598836</v>
      </c>
      <c r="DE45" s="296"/>
      <c r="DF45" s="296"/>
      <c r="DG45" s="401">
        <f t="shared" si="69"/>
        <v>0.10722613010455177</v>
      </c>
      <c r="DK45" s="296">
        <f t="shared" si="20"/>
        <v>2017</v>
      </c>
      <c r="DL45" s="404"/>
      <c r="DM45" s="405"/>
      <c r="DN45" s="405"/>
      <c r="DO45" s="407"/>
      <c r="DP45" s="407">
        <f t="shared" si="70"/>
        <v>695.86126291140852</v>
      </c>
    </row>
    <row r="46" spans="1:120" x14ac:dyDescent="0.2">
      <c r="A46" s="354">
        <v>2018</v>
      </c>
      <c r="B46" s="355" t="s">
        <v>106</v>
      </c>
      <c r="C46" s="355" t="s">
        <v>106</v>
      </c>
      <c r="D46" s="355" t="s">
        <v>106</v>
      </c>
      <c r="E46" s="356">
        <v>222</v>
      </c>
      <c r="F46" s="355" t="s">
        <v>106</v>
      </c>
      <c r="G46" s="357">
        <f t="shared" si="71"/>
        <v>222</v>
      </c>
      <c r="H46" s="358">
        <f>1-(B$55+C$55+D$55+F$55)</f>
        <v>0.40919494930228728</v>
      </c>
      <c r="I46" s="357">
        <f>G46/H46</f>
        <v>542.5286904897755</v>
      </c>
      <c r="J46" s="377">
        <f t="shared" si="25"/>
        <v>542.5286904897755</v>
      </c>
      <c r="L46" s="360">
        <v>574.5380877742947</v>
      </c>
      <c r="M46" s="360"/>
      <c r="N46" s="361" t="s">
        <v>309</v>
      </c>
      <c r="O46" s="317" t="s">
        <v>312</v>
      </c>
      <c r="Q46" s="354">
        <f t="shared" si="26"/>
        <v>2018</v>
      </c>
      <c r="R46" s="291">
        <f t="shared" si="5"/>
        <v>1</v>
      </c>
      <c r="S46" s="362">
        <f>'A6-Chin (NEW2+Khutz)'!C39</f>
        <v>17886.500664740754</v>
      </c>
      <c r="T46" s="362" t="str">
        <f t="shared" si="41"/>
        <v/>
      </c>
      <c r="U46" s="426">
        <f t="shared" si="60"/>
        <v>4.8953651810677679E-2</v>
      </c>
      <c r="V46" s="379">
        <f t="shared" si="28"/>
        <v>920.68018274843052</v>
      </c>
      <c r="W46" s="379">
        <f t="shared" si="29"/>
        <v>542.5286904897755</v>
      </c>
      <c r="X46" s="379">
        <f t="shared" si="6"/>
        <v>1332</v>
      </c>
      <c r="Y46" s="380">
        <f t="shared" si="65"/>
        <v>2.3333277671039006</v>
      </c>
      <c r="Z46" s="380"/>
      <c r="AA46" s="379">
        <f t="shared" si="66"/>
        <v>2148.2486350292065</v>
      </c>
      <c r="AB46" s="379">
        <f t="shared" ref="AB46:AB53" si="74">IF(W46=0,"",W46*$Y46)</f>
        <v>1265.8972579703111</v>
      </c>
      <c r="AC46" s="381">
        <f t="shared" ref="AC46:AC53" si="75">CH46</f>
        <v>3107.9925857823955</v>
      </c>
      <c r="AD46" s="382"/>
      <c r="AE46" s="383"/>
      <c r="AI46" s="384">
        <f t="shared" si="30"/>
        <v>920.68018274843052</v>
      </c>
      <c r="AJ46" s="345"/>
      <c r="AK46" s="372" t="str">
        <f t="shared" si="10"/>
        <v/>
      </c>
      <c r="AL46" s="373">
        <f t="shared" si="31"/>
        <v>2751.9013784188164</v>
      </c>
      <c r="AN46" s="296"/>
      <c r="AO46" s="409"/>
      <c r="AP46" s="410"/>
      <c r="AQ46" s="430"/>
      <c r="AR46" s="296"/>
      <c r="AS46" s="409"/>
      <c r="AT46" s="441"/>
      <c r="AU46" s="409"/>
      <c r="AV46" s="409"/>
      <c r="AW46" s="437"/>
      <c r="AY46" s="431">
        <f t="shared" si="67"/>
        <v>2.3333277671039006</v>
      </c>
      <c r="BA46" s="411">
        <f t="shared" si="47"/>
        <v>1265.8972579703111</v>
      </c>
      <c r="BB46" s="412"/>
      <c r="BG46" s="439"/>
      <c r="BH46" s="370">
        <f t="shared" si="3"/>
        <v>153.60957050955386</v>
      </c>
      <c r="BJ46" s="370">
        <v>0</v>
      </c>
      <c r="BM46" s="413">
        <f t="shared" si="43"/>
        <v>2148.2486350292065</v>
      </c>
      <c r="BN46" s="386">
        <f t="shared" ref="BN46:BN53" si="76">AC46-BM46</f>
        <v>959.74395075318898</v>
      </c>
      <c r="BP46" s="338">
        <f t="shared" si="12"/>
        <v>2018</v>
      </c>
      <c r="BQ46" s="338" t="str">
        <f t="shared" si="12"/>
        <v>UNK</v>
      </c>
      <c r="BR46" s="338" t="str">
        <f t="shared" si="13"/>
        <v>UNK</v>
      </c>
      <c r="BS46" s="338">
        <f t="shared" si="13"/>
        <v>222</v>
      </c>
      <c r="BT46" s="338" t="str">
        <f t="shared" si="13"/>
        <v>UNK</v>
      </c>
      <c r="BV46" s="296">
        <f t="shared" si="32"/>
        <v>2018</v>
      </c>
      <c r="BW46" s="389"/>
      <c r="BX46" s="389"/>
      <c r="BY46" s="389">
        <f>IF((ISERROR(BS46)),"",BS46*$Y46)</f>
        <v>517.99876429706592</v>
      </c>
      <c r="BZ46" s="389"/>
      <c r="CA46" s="294"/>
      <c r="CB46" s="367">
        <f t="shared" si="73"/>
        <v>2018</v>
      </c>
      <c r="CC46" s="391" t="str">
        <f t="shared" ref="CC46:CF50" si="77">IF(BW46="","",BW46/CC$2)</f>
        <v/>
      </c>
      <c r="CD46" s="391" t="str">
        <f t="shared" si="77"/>
        <v/>
      </c>
      <c r="CE46" s="391">
        <f t="shared" si="77"/>
        <v>0.64749845537133244</v>
      </c>
      <c r="CF46" s="391" t="str">
        <f t="shared" si="77"/>
        <v/>
      </c>
      <c r="CG46" s="392">
        <f t="shared" si="33"/>
        <v>0.64749845537133244</v>
      </c>
      <c r="CH46" s="393">
        <f>IF($CG46&gt;1,$CG$2*1,$CG$2*$CG46)</f>
        <v>3107.9925857823955</v>
      </c>
      <c r="CI46" s="394">
        <f t="shared" si="35"/>
        <v>3107.9925857823955</v>
      </c>
      <c r="CJ46" s="395">
        <f>CI46*CN$2</f>
        <v>2931.5329665358508</v>
      </c>
      <c r="CK46" s="423">
        <f>AB46</f>
        <v>1265.8972579703111</v>
      </c>
      <c r="CL46" s="434">
        <f t="shared" si="48"/>
        <v>2148.2486350292065</v>
      </c>
      <c r="CN46" s="409">
        <f t="shared" ref="CN46:CN53" si="78">CJ46-CL46</f>
        <v>783.28433150664432</v>
      </c>
      <c r="CO46" s="435">
        <f>CJ46*CO2</f>
        <v>2969.0513648238389</v>
      </c>
      <c r="CP46" s="440">
        <f t="shared" ref="CP46:CP53" si="79">CJ46/CL46</f>
        <v>1.3646153051068948</v>
      </c>
      <c r="CQ46" s="400"/>
      <c r="CR46" s="447">
        <f t="shared" si="44"/>
        <v>2018</v>
      </c>
      <c r="CS46" s="448">
        <f t="shared" si="49"/>
        <v>2148.2486350292065</v>
      </c>
      <c r="CT46" s="449">
        <f t="shared" ref="CT46:CT53" si="80">CI46</f>
        <v>3107.9925857823955</v>
      </c>
      <c r="CU46" s="450">
        <f t="shared" ref="CU46:CU53" si="81">CK46</f>
        <v>1265.8972579703111</v>
      </c>
      <c r="CV46" s="451">
        <f t="shared" si="52"/>
        <v>959.74395075318898</v>
      </c>
      <c r="CW46" s="409">
        <f t="shared" si="53"/>
        <v>1842.0953278120844</v>
      </c>
      <c r="CX46" s="409">
        <f t="shared" si="54"/>
        <v>20034.749299769959</v>
      </c>
      <c r="CY46" s="409">
        <f t="shared" si="55"/>
        <v>20994.493250523148</v>
      </c>
      <c r="CZ46" s="409">
        <f t="shared" si="56"/>
        <v>959.74395075318898</v>
      </c>
      <c r="DA46" s="451">
        <f t="shared" si="45"/>
        <v>201.54622965816966</v>
      </c>
      <c r="DB46" s="295">
        <f t="shared" si="72"/>
        <v>0.10722613010455154</v>
      </c>
      <c r="DC46" s="295">
        <f t="shared" si="72"/>
        <v>0.14803846650144553</v>
      </c>
      <c r="DD46" s="290">
        <f t="shared" ref="DD46:DD53" si="82">CN46/CJ46</f>
        <v>0.26719274197084669</v>
      </c>
      <c r="DE46" s="401"/>
      <c r="DF46" s="401">
        <f t="shared" ref="DF46:DF53" si="83">CK46/(CK46+$S46)</f>
        <v>6.6096019050919996E-2</v>
      </c>
      <c r="DG46" s="401">
        <f t="shared" si="69"/>
        <v>0.10722613010455154</v>
      </c>
      <c r="DK46" s="296">
        <f t="shared" si="20"/>
        <v>2018</v>
      </c>
      <c r="DL46" s="404">
        <f t="shared" ref="DL46:DL53" si="84">CE46</f>
        <v>0.64749845537133244</v>
      </c>
      <c r="DM46" s="405">
        <f t="shared" ref="DM46:DM53" si="85">$CG$2*$DL46</f>
        <v>3107.9925857823955</v>
      </c>
      <c r="DN46" s="406">
        <f t="shared" ref="DN46:DN53" si="86">DM46/(DM46+$S46)</f>
        <v>0.14803846650144553</v>
      </c>
      <c r="DO46" s="407">
        <f t="shared" ref="DO46:DO53" si="87">CK46</f>
        <v>1265.8972579703111</v>
      </c>
      <c r="DP46" s="407">
        <f t="shared" si="70"/>
        <v>2148.2486350292065</v>
      </c>
    </row>
    <row r="47" spans="1:120" x14ac:dyDescent="0.2">
      <c r="A47" s="354">
        <v>2019</v>
      </c>
      <c r="B47" s="355" t="s">
        <v>106</v>
      </c>
      <c r="C47" s="355" t="s">
        <v>106</v>
      </c>
      <c r="D47" s="355" t="s">
        <v>106</v>
      </c>
      <c r="E47" s="356">
        <v>410</v>
      </c>
      <c r="F47" s="355" t="s">
        <v>106</v>
      </c>
      <c r="G47" s="357">
        <f t="shared" si="71"/>
        <v>410</v>
      </c>
      <c r="H47" s="358">
        <f>1-(B$55+C$55+D$55+F$55)</f>
        <v>0.40919494930228728</v>
      </c>
      <c r="I47" s="357">
        <f t="shared" si="24"/>
        <v>1001.9674013549908</v>
      </c>
      <c r="J47" s="377">
        <f t="shared" si="25"/>
        <v>1001.9674013549908</v>
      </c>
      <c r="L47" s="360">
        <v>1061.0838557993729</v>
      </c>
      <c r="M47" s="360"/>
      <c r="N47" s="361" t="s">
        <v>309</v>
      </c>
      <c r="O47" s="317" t="s">
        <v>312</v>
      </c>
      <c r="Q47" s="354">
        <f t="shared" si="26"/>
        <v>2019</v>
      </c>
      <c r="R47" s="291">
        <f t="shared" si="5"/>
        <v>1</v>
      </c>
      <c r="S47" s="362">
        <f>'A6-Chin (NEW2+Khutz)'!C40</f>
        <v>11713.507023075654</v>
      </c>
      <c r="T47" s="362" t="str">
        <f>IF(R47&gt;=3,S47+J47,"")</f>
        <v/>
      </c>
      <c r="U47" s="426">
        <f t="shared" si="60"/>
        <v>4.8953651810677679E-2</v>
      </c>
      <c r="V47" s="379">
        <f t="shared" si="28"/>
        <v>602.93480478768834</v>
      </c>
      <c r="W47" s="379">
        <f t="shared" si="29"/>
        <v>1001.9674013549908</v>
      </c>
      <c r="X47" s="379">
        <f t="shared" si="6"/>
        <v>2057.1477645241862</v>
      </c>
      <c r="Y47" s="380">
        <f t="shared" si="65"/>
        <v>2.3333277671039006</v>
      </c>
      <c r="Z47" s="380"/>
      <c r="AA47" s="379">
        <f t="shared" si="66"/>
        <v>1406.844521764483</v>
      </c>
      <c r="AB47" s="379">
        <f t="shared" si="74"/>
        <v>2337.9183593145385</v>
      </c>
      <c r="AC47" s="381">
        <f t="shared" si="75"/>
        <v>4800</v>
      </c>
      <c r="AD47" s="382"/>
      <c r="AE47" s="383"/>
      <c r="AI47" s="384">
        <f t="shared" si="30"/>
        <v>602.93480478768834</v>
      </c>
      <c r="AJ47" s="345">
        <v>636</v>
      </c>
      <c r="AK47" s="372">
        <f t="shared" si="10"/>
        <v>0.51334420305432371</v>
      </c>
      <c r="AL47" s="373">
        <f t="shared" si="31"/>
        <v>2890.8409816425637</v>
      </c>
      <c r="AN47" s="296"/>
      <c r="AO47" s="409"/>
      <c r="AP47" s="410"/>
      <c r="AQ47" s="430"/>
      <c r="AR47" s="296"/>
      <c r="AS47" s="409"/>
      <c r="AT47" s="441"/>
      <c r="AU47" s="409"/>
      <c r="AV47" s="409"/>
      <c r="AW47" s="437"/>
      <c r="AY47" s="431">
        <f t="shared" si="67"/>
        <v>2.3333277671039006</v>
      </c>
      <c r="BA47" s="411">
        <f t="shared" si="47"/>
        <v>2337.9183593145385</v>
      </c>
      <c r="BB47" s="412"/>
      <c r="BG47" s="439"/>
      <c r="BH47" s="370">
        <f t="shared" si="3"/>
        <v>283.69335094106793</v>
      </c>
      <c r="BJ47" s="370">
        <v>0</v>
      </c>
      <c r="BM47" s="413">
        <f t="shared" ref="BM47:BM53" si="88">V47</f>
        <v>602.93480478768834</v>
      </c>
      <c r="BN47" s="386">
        <f t="shared" si="76"/>
        <v>4197.0651952123117</v>
      </c>
      <c r="BP47" s="338">
        <f t="shared" si="12"/>
        <v>2019</v>
      </c>
      <c r="BQ47" s="338" t="str">
        <f t="shared" si="12"/>
        <v>UNK</v>
      </c>
      <c r="BR47" s="338" t="str">
        <f t="shared" si="13"/>
        <v>UNK</v>
      </c>
      <c r="BS47" s="338">
        <f t="shared" si="13"/>
        <v>410</v>
      </c>
      <c r="BT47" s="338" t="str">
        <f t="shared" si="13"/>
        <v>UNK</v>
      </c>
      <c r="BV47" s="296">
        <f t="shared" si="32"/>
        <v>2019</v>
      </c>
      <c r="BW47" s="389"/>
      <c r="BX47" s="389"/>
      <c r="BY47" s="389">
        <f>IF((ISERROR(BS47)),"",BS47*$Y47)</f>
        <v>956.66438451259921</v>
      </c>
      <c r="BZ47" s="389"/>
      <c r="CA47" s="294"/>
      <c r="CB47" s="367">
        <f t="shared" si="73"/>
        <v>2019</v>
      </c>
      <c r="CC47" s="391" t="str">
        <f t="shared" si="77"/>
        <v/>
      </c>
      <c r="CD47" s="391" t="str">
        <f t="shared" si="77"/>
        <v/>
      </c>
      <c r="CE47" s="391">
        <f t="shared" si="77"/>
        <v>1.1958304806407489</v>
      </c>
      <c r="CF47" s="391" t="str">
        <f t="shared" si="77"/>
        <v/>
      </c>
      <c r="CG47" s="392">
        <f t="shared" si="33"/>
        <v>1.1958304806407489</v>
      </c>
      <c r="CH47" s="438">
        <f>IF($CG47&gt;1,$CG$2*1,$CG$2*$CG47)</f>
        <v>4800</v>
      </c>
      <c r="CI47" s="394">
        <f t="shared" si="35"/>
        <v>5739.9863070755946</v>
      </c>
      <c r="CJ47" s="395">
        <f>CI47*CN$2</f>
        <v>5414.0924156743185</v>
      </c>
      <c r="CK47" s="423">
        <f>AB47</f>
        <v>2337.9183593145385</v>
      </c>
      <c r="CL47" s="434">
        <f t="shared" si="48"/>
        <v>1406.844521764483</v>
      </c>
      <c r="CN47" s="409">
        <f t="shared" si="78"/>
        <v>4007.2478939098355</v>
      </c>
      <c r="CO47" s="435">
        <f>CJ47*CO$2</f>
        <v>5483.3831512512334</v>
      </c>
      <c r="CP47" s="440">
        <f t="shared" si="79"/>
        <v>3.848394283743517</v>
      </c>
      <c r="CQ47" s="400"/>
      <c r="CR47" s="447">
        <f>CB47</f>
        <v>2019</v>
      </c>
      <c r="CS47" s="448">
        <f>CL47</f>
        <v>1406.844521764483</v>
      </c>
      <c r="CT47" s="449">
        <f t="shared" si="80"/>
        <v>5739.9863070755946</v>
      </c>
      <c r="CU47" s="450">
        <f t="shared" si="81"/>
        <v>2337.9183593145385</v>
      </c>
      <c r="CV47" s="451">
        <f>CT47-CS47</f>
        <v>4333.1417853111116</v>
      </c>
      <c r="CW47" s="409">
        <f>CT47-CU47</f>
        <v>3402.0679477610561</v>
      </c>
      <c r="CX47" s="409">
        <f t="shared" si="54"/>
        <v>13120.351544840138</v>
      </c>
      <c r="CY47" s="409">
        <f>$S47+CT47</f>
        <v>17453.49333015125</v>
      </c>
      <c r="CZ47" s="409">
        <f>CY47-CX47</f>
        <v>4333.1417853111125</v>
      </c>
      <c r="DA47" s="451">
        <f>CZ47*0.21</f>
        <v>909.95977491533358</v>
      </c>
      <c r="DB47" s="295">
        <f>CS47/CX47</f>
        <v>0.10722613010455159</v>
      </c>
      <c r="DC47" s="295">
        <f t="shared" si="72"/>
        <v>0.32887320598218905</v>
      </c>
      <c r="DD47" s="290">
        <f t="shared" si="82"/>
        <v>0.74015136540862647</v>
      </c>
      <c r="DE47" s="401"/>
      <c r="DF47" s="401">
        <f t="shared" si="83"/>
        <v>0.16638300355240196</v>
      </c>
      <c r="DG47" s="401">
        <f>CL47/(CL47+$S47)</f>
        <v>0.10722613010455159</v>
      </c>
      <c r="DK47" s="296">
        <f t="shared" si="20"/>
        <v>2019</v>
      </c>
      <c r="DL47" s="404">
        <f t="shared" si="84"/>
        <v>1.1958304806407489</v>
      </c>
      <c r="DM47" s="405">
        <f t="shared" si="85"/>
        <v>5739.9863070755946</v>
      </c>
      <c r="DN47" s="406">
        <f t="shared" si="86"/>
        <v>0.32887320598218905</v>
      </c>
      <c r="DO47" s="407">
        <f t="shared" si="87"/>
        <v>2337.9183593145385</v>
      </c>
      <c r="DP47" s="407">
        <f>CL47</f>
        <v>1406.844521764483</v>
      </c>
    </row>
    <row r="48" spans="1:120" x14ac:dyDescent="0.2">
      <c r="A48" s="452">
        <v>2020</v>
      </c>
      <c r="B48" s="453">
        <v>486</v>
      </c>
      <c r="C48" s="453" t="s">
        <v>106</v>
      </c>
      <c r="D48" s="453" t="s">
        <v>106</v>
      </c>
      <c r="E48" s="453">
        <v>50</v>
      </c>
      <c r="F48" s="453" t="s">
        <v>106</v>
      </c>
      <c r="G48" s="357">
        <f t="shared" si="71"/>
        <v>536</v>
      </c>
      <c r="H48" s="358">
        <f>1-(C$56+D$56+F$56)</f>
        <v>0.61563709461511729</v>
      </c>
      <c r="I48" s="357">
        <f t="shared" si="24"/>
        <v>870.64279376325646</v>
      </c>
      <c r="J48" s="377">
        <f t="shared" si="25"/>
        <v>870.64279376325646</v>
      </c>
      <c r="L48" s="360">
        <v>870.73632428177893</v>
      </c>
      <c r="M48" s="360"/>
      <c r="N48" s="361" t="s">
        <v>333</v>
      </c>
      <c r="O48" s="317" t="s">
        <v>334</v>
      </c>
      <c r="Q48" s="354">
        <f t="shared" si="26"/>
        <v>2020</v>
      </c>
      <c r="R48" s="291">
        <f t="shared" si="5"/>
        <v>2</v>
      </c>
      <c r="S48" s="362">
        <f>'A6-Chin (NEW2+Khutz)'!C41</f>
        <v>12828.597538855378</v>
      </c>
      <c r="T48" s="362" t="str">
        <f t="shared" si="41"/>
        <v/>
      </c>
      <c r="U48" s="426">
        <f t="shared" si="60"/>
        <v>4.8953651810677679E-2</v>
      </c>
      <c r="V48" s="379">
        <f t="shared" si="28"/>
        <v>660.33237847145028</v>
      </c>
      <c r="W48" s="379">
        <f t="shared" si="29"/>
        <v>870.64279376325646</v>
      </c>
      <c r="X48" s="379">
        <f t="shared" si="6"/>
        <v>798.00000000000011</v>
      </c>
      <c r="Y48" s="380">
        <f t="shared" si="65"/>
        <v>2.3333277671039006</v>
      </c>
      <c r="Z48" s="380"/>
      <c r="AA48" s="379">
        <f t="shared" si="66"/>
        <v>1540.7718742051968</v>
      </c>
      <c r="AB48" s="379">
        <f t="shared" si="74"/>
        <v>2031.4950059167211</v>
      </c>
      <c r="AC48" s="381">
        <f t="shared" si="75"/>
        <v>1861.9955581489128</v>
      </c>
      <c r="AD48" s="382"/>
      <c r="AE48" s="383"/>
      <c r="AI48" s="384">
        <f t="shared" si="30"/>
        <v>660.33237847145028</v>
      </c>
      <c r="AJ48" s="345"/>
      <c r="AK48" s="372" t="str">
        <f t="shared" si="10"/>
        <v/>
      </c>
      <c r="AL48" s="373">
        <f t="shared" si="31"/>
        <v>1973.7250964884604</v>
      </c>
      <c r="AN48" s="296"/>
      <c r="AO48" s="409"/>
      <c r="AP48" s="410"/>
      <c r="AQ48" s="430"/>
      <c r="AR48" s="296"/>
      <c r="AS48" s="409"/>
      <c r="AT48" s="441"/>
      <c r="AU48" s="409"/>
      <c r="AV48" s="409"/>
      <c r="AW48" s="437"/>
      <c r="AY48" s="431">
        <f>AW$58</f>
        <v>2.3333277671039006</v>
      </c>
      <c r="BA48" s="411">
        <f t="shared" si="47"/>
        <v>2031.4950059167211</v>
      </c>
      <c r="BB48" s="412"/>
      <c r="BG48" s="439"/>
      <c r="BH48" s="370">
        <f t="shared" si="3"/>
        <v>246.51058637374007</v>
      </c>
      <c r="BJ48" s="370">
        <v>0</v>
      </c>
      <c r="BM48" s="413">
        <f t="shared" si="88"/>
        <v>660.33237847145028</v>
      </c>
      <c r="BN48" s="386">
        <f t="shared" si="76"/>
        <v>1201.6631796774625</v>
      </c>
      <c r="BP48" s="338">
        <f t="shared" si="12"/>
        <v>2020</v>
      </c>
      <c r="BQ48" s="338">
        <f t="shared" si="12"/>
        <v>486</v>
      </c>
      <c r="BR48" s="338" t="str">
        <f t="shared" si="13"/>
        <v>UNK</v>
      </c>
      <c r="BS48" s="338">
        <f t="shared" si="13"/>
        <v>50</v>
      </c>
      <c r="BT48" s="338" t="str">
        <f t="shared" si="13"/>
        <v>UNK</v>
      </c>
      <c r="BV48" s="296">
        <f t="shared" si="32"/>
        <v>2020</v>
      </c>
      <c r="BW48" s="454">
        <f>IF((ISERROR(BQ48)),"",BQ48*Y48)</f>
        <v>1133.9972948124957</v>
      </c>
      <c r="BX48" s="389"/>
      <c r="BY48" s="454">
        <f>IF((ISERROR(BS48)),"",BS48*Y48)</f>
        <v>116.66638835519502</v>
      </c>
      <c r="BZ48" s="389"/>
      <c r="CA48" s="294"/>
      <c r="CB48" s="367">
        <f t="shared" si="73"/>
        <v>2020</v>
      </c>
      <c r="CC48" s="391">
        <f t="shared" si="77"/>
        <v>0.62999849711805322</v>
      </c>
      <c r="CD48" s="391" t="str">
        <f t="shared" si="77"/>
        <v/>
      </c>
      <c r="CE48" s="391">
        <f t="shared" si="77"/>
        <v>0.14583298544399378</v>
      </c>
      <c r="CF48" s="391" t="str">
        <f>IF(BZ48="","",BZ48/CF$2)</f>
        <v/>
      </c>
      <c r="CG48" s="392">
        <f t="shared" si="33"/>
        <v>0.38791574128102352</v>
      </c>
      <c r="CH48" s="393">
        <f>CG$2*CG48</f>
        <v>1861.9955581489128</v>
      </c>
      <c r="CI48" s="394">
        <f t="shared" si="35"/>
        <v>1861.9955581489128</v>
      </c>
      <c r="CJ48" s="395"/>
      <c r="CK48" s="423">
        <f>AB48</f>
        <v>2031.4950059167211</v>
      </c>
      <c r="CL48" s="434">
        <f t="shared" si="48"/>
        <v>1540.7718742051968</v>
      </c>
      <c r="CN48" s="409">
        <f t="shared" si="78"/>
        <v>-1540.7718742051968</v>
      </c>
      <c r="CO48" s="435">
        <f>CJ48*CO$2</f>
        <v>0</v>
      </c>
      <c r="CP48" s="440">
        <f t="shared" si="79"/>
        <v>0</v>
      </c>
      <c r="CQ48" s="400"/>
      <c r="CR48" s="447">
        <f>CB48</f>
        <v>2020</v>
      </c>
      <c r="CS48" s="448">
        <f>CL48</f>
        <v>1540.7718742051968</v>
      </c>
      <c r="CT48" s="449">
        <f t="shared" si="80"/>
        <v>1861.9955581489128</v>
      </c>
      <c r="CU48" s="450">
        <f t="shared" si="81"/>
        <v>2031.4950059167211</v>
      </c>
      <c r="CV48" s="451">
        <f>CT48-CS48</f>
        <v>321.22368394371597</v>
      </c>
      <c r="CW48" s="409">
        <f>CT48-CU48</f>
        <v>-169.49944776780831</v>
      </c>
      <c r="CX48" s="409">
        <f t="shared" si="54"/>
        <v>14369.369413060575</v>
      </c>
      <c r="CY48" s="409">
        <f>$S48+CT48</f>
        <v>14690.59309700429</v>
      </c>
      <c r="CZ48" s="409">
        <f>CY48-CX48</f>
        <v>321.22368394371551</v>
      </c>
      <c r="DA48" s="451">
        <f>CZ48*0.21</f>
        <v>67.456973628180251</v>
      </c>
      <c r="DB48" s="295">
        <f>CS48/CX48</f>
        <v>0.10722613010455155</v>
      </c>
      <c r="DC48" s="295">
        <f t="shared" si="72"/>
        <v>0.12674747342424258</v>
      </c>
      <c r="DD48" s="290" t="e">
        <f t="shared" si="82"/>
        <v>#DIV/0!</v>
      </c>
      <c r="DE48" s="401"/>
      <c r="DF48" s="401">
        <f t="shared" si="83"/>
        <v>0.13670809921243846</v>
      </c>
      <c r="DG48" s="401">
        <f>CL48/(CL48+$S48)</f>
        <v>0.10722613010455155</v>
      </c>
      <c r="DK48" s="296">
        <f t="shared" si="20"/>
        <v>2020</v>
      </c>
      <c r="DL48" s="404">
        <f t="shared" si="84"/>
        <v>0.14583298544399378</v>
      </c>
      <c r="DM48" s="405">
        <f t="shared" si="85"/>
        <v>699.99833013117018</v>
      </c>
      <c r="DN48" s="406">
        <f t="shared" si="86"/>
        <v>5.1742127336058E-2</v>
      </c>
      <c r="DO48" s="407">
        <f t="shared" si="87"/>
        <v>2031.4950059167211</v>
      </c>
      <c r="DP48" s="407">
        <f>CL48</f>
        <v>1540.7718742051968</v>
      </c>
    </row>
    <row r="49" spans="1:120" x14ac:dyDescent="0.2">
      <c r="A49" s="452">
        <v>2021</v>
      </c>
      <c r="B49" s="453">
        <v>330</v>
      </c>
      <c r="C49" s="453" t="s">
        <v>106</v>
      </c>
      <c r="D49" s="453" t="s">
        <v>106</v>
      </c>
      <c r="E49" s="453">
        <v>124</v>
      </c>
      <c r="F49" s="453" t="s">
        <v>106</v>
      </c>
      <c r="G49" s="357">
        <f t="shared" si="71"/>
        <v>454</v>
      </c>
      <c r="H49" s="358">
        <f>1-(C$56+D$56+F$56)</f>
        <v>0.61563709461511729</v>
      </c>
      <c r="I49" s="357">
        <f t="shared" si="24"/>
        <v>737.4474409860419</v>
      </c>
      <c r="J49" s="377">
        <f t="shared" si="25"/>
        <v>737.4474409860419</v>
      </c>
      <c r="L49" s="360">
        <v>636.80716253443529</v>
      </c>
      <c r="M49" s="360"/>
      <c r="N49" s="361" t="s">
        <v>333</v>
      </c>
      <c r="O49" s="317" t="s">
        <v>334</v>
      </c>
      <c r="Q49" s="354">
        <f t="shared" si="26"/>
        <v>2021</v>
      </c>
      <c r="R49" s="291">
        <f t="shared" si="5"/>
        <v>2</v>
      </c>
      <c r="S49" s="362">
        <f>'A6-Chin (NEW2+Khutz)'!C42</f>
        <v>11766.207465205587</v>
      </c>
      <c r="T49" s="362" t="str">
        <f t="shared" si="41"/>
        <v/>
      </c>
      <c r="U49" s="426">
        <f>IF(R49&gt;=3,J49/T49,AVERAGE(U$20:U$24,U$26:U$29))</f>
        <v>4.8953651810677679E-2</v>
      </c>
      <c r="V49" s="379">
        <f t="shared" si="28"/>
        <v>605.64747920067566</v>
      </c>
      <c r="W49" s="379">
        <f t="shared" si="29"/>
        <v>737.4474409860419</v>
      </c>
      <c r="X49" s="379">
        <f t="shared" si="6"/>
        <v>812</v>
      </c>
      <c r="Y49" s="380">
        <f t="shared" si="65"/>
        <v>2.3333277671039006</v>
      </c>
      <c r="Z49" s="380"/>
      <c r="AA49" s="379">
        <f t="shared" si="66"/>
        <v>1413.1740802954187</v>
      </c>
      <c r="AB49" s="379">
        <f t="shared" si="74"/>
        <v>1720.7065908324466</v>
      </c>
      <c r="AC49" s="381">
        <f t="shared" si="75"/>
        <v>1894.6621468883673</v>
      </c>
      <c r="AD49" s="382"/>
      <c r="AE49" s="383"/>
      <c r="AI49" s="384">
        <f t="shared" si="30"/>
        <v>605.64747920067566</v>
      </c>
      <c r="AJ49" s="345">
        <v>32</v>
      </c>
      <c r="AK49" s="372">
        <f t="shared" si="10"/>
        <v>5.0184468760252399E-2</v>
      </c>
      <c r="AL49" s="373">
        <f t="shared" si="31"/>
        <v>1487.8405688427433</v>
      </c>
      <c r="AN49" s="296"/>
      <c r="AO49" s="409"/>
      <c r="AP49" s="410"/>
      <c r="AQ49" s="430"/>
      <c r="AR49" s="296"/>
      <c r="AS49" s="409"/>
      <c r="AT49" s="441"/>
      <c r="AU49" s="409"/>
      <c r="AV49" s="409"/>
      <c r="AW49" s="437"/>
      <c r="AY49" s="431">
        <f>AW$58</f>
        <v>2.3333277671039006</v>
      </c>
      <c r="BA49" s="411">
        <f t="shared" si="47"/>
        <v>1720.7065908324466</v>
      </c>
      <c r="BB49" s="412"/>
      <c r="BG49" s="439"/>
      <c r="BH49" s="370">
        <f t="shared" si="3"/>
        <v>208.79814592104105</v>
      </c>
      <c r="BJ49" s="370">
        <v>0</v>
      </c>
      <c r="BM49" s="413">
        <f t="shared" si="88"/>
        <v>605.64747920067566</v>
      </c>
      <c r="BN49" s="386">
        <f t="shared" si="76"/>
        <v>1289.0146676876916</v>
      </c>
      <c r="BP49" s="338">
        <f t="shared" si="12"/>
        <v>2021</v>
      </c>
      <c r="BQ49" s="338">
        <f t="shared" si="12"/>
        <v>330</v>
      </c>
      <c r="BR49" s="338" t="str">
        <f t="shared" si="13"/>
        <v>UNK</v>
      </c>
      <c r="BS49" s="338">
        <f t="shared" si="13"/>
        <v>124</v>
      </c>
      <c r="BT49" s="338" t="str">
        <f t="shared" si="13"/>
        <v>UNK</v>
      </c>
      <c r="BV49" s="296">
        <f t="shared" si="32"/>
        <v>2021</v>
      </c>
      <c r="BW49" s="454">
        <f>IF((ISERROR(BQ49)),"",BQ49*Y49)</f>
        <v>769.99816314428722</v>
      </c>
      <c r="BX49" s="389"/>
      <c r="BY49" s="454">
        <f>IF((ISERROR(BS49)),"",BS49*Y49)</f>
        <v>289.33264312088369</v>
      </c>
      <c r="BZ49" s="389"/>
      <c r="CA49" s="294"/>
      <c r="CB49" s="367">
        <f t="shared" si="73"/>
        <v>2021</v>
      </c>
      <c r="CC49" s="391">
        <f t="shared" si="77"/>
        <v>0.42777675730238179</v>
      </c>
      <c r="CD49" s="391" t="str">
        <f t="shared" si="77"/>
        <v/>
      </c>
      <c r="CE49" s="391">
        <f t="shared" si="77"/>
        <v>0.36166580390110459</v>
      </c>
      <c r="CF49" s="391" t="str">
        <f>IF(BZ49="","",BZ49/CF$2)</f>
        <v/>
      </c>
      <c r="CG49" s="392">
        <f t="shared" si="33"/>
        <v>0.39472128060174316</v>
      </c>
      <c r="CH49" s="393">
        <f>CG$2*CG49</f>
        <v>1894.6621468883673</v>
      </c>
      <c r="CI49" s="394">
        <f t="shared" si="35"/>
        <v>1894.6621468883673</v>
      </c>
      <c r="CJ49" s="395"/>
      <c r="CK49" s="423">
        <f>AB49</f>
        <v>1720.7065908324466</v>
      </c>
      <c r="CL49" s="434">
        <f t="shared" si="48"/>
        <v>1413.1740802954187</v>
      </c>
      <c r="CN49" s="409">
        <f t="shared" si="78"/>
        <v>-1413.1740802954187</v>
      </c>
      <c r="CO49" s="435">
        <f>CJ49*CO$2</f>
        <v>0</v>
      </c>
      <c r="CP49" s="440">
        <f t="shared" si="79"/>
        <v>0</v>
      </c>
      <c r="CQ49" s="400"/>
      <c r="CR49" s="447">
        <f>CB49</f>
        <v>2021</v>
      </c>
      <c r="CS49" s="448">
        <f>CL49</f>
        <v>1413.1740802954187</v>
      </c>
      <c r="CT49" s="449">
        <f t="shared" si="80"/>
        <v>1894.6621468883673</v>
      </c>
      <c r="CU49" s="450">
        <f t="shared" si="81"/>
        <v>1720.7065908324466</v>
      </c>
      <c r="CV49" s="451">
        <f>CT49-CS49</f>
        <v>481.4880665929486</v>
      </c>
      <c r="CW49" s="409">
        <f>CT49-CU49</f>
        <v>173.95555605592062</v>
      </c>
      <c r="CX49" s="409">
        <f t="shared" si="54"/>
        <v>13179.381545501006</v>
      </c>
      <c r="CY49" s="409">
        <f>$S49+CT49</f>
        <v>13660.869612093955</v>
      </c>
      <c r="CZ49" s="409">
        <f>CY49-CX49</f>
        <v>481.4880665929486</v>
      </c>
      <c r="DA49" s="451">
        <f>CZ49*0.21</f>
        <v>101.1124939845192</v>
      </c>
      <c r="DB49" s="295">
        <f>CS49/CX49</f>
        <v>0.1072261301045517</v>
      </c>
      <c r="DC49" s="295">
        <f t="shared" si="72"/>
        <v>0.13869264554073663</v>
      </c>
      <c r="DD49" s="290" t="e">
        <f t="shared" si="82"/>
        <v>#DIV/0!</v>
      </c>
      <c r="DE49" s="401"/>
      <c r="DF49" s="401">
        <f t="shared" si="83"/>
        <v>0.12758341779912905</v>
      </c>
      <c r="DG49" s="401">
        <f>CL49/(CL49+$S49)</f>
        <v>0.1072261301045517</v>
      </c>
      <c r="DK49" s="296">
        <f t="shared" si="20"/>
        <v>2021</v>
      </c>
      <c r="DL49" s="404">
        <f t="shared" si="84"/>
        <v>0.36166580390110459</v>
      </c>
      <c r="DM49" s="405">
        <f t="shared" si="85"/>
        <v>1735.995858725302</v>
      </c>
      <c r="DN49" s="406">
        <f t="shared" si="86"/>
        <v>0.12857130181475465</v>
      </c>
      <c r="DO49" s="407">
        <f t="shared" si="87"/>
        <v>1720.7065908324466</v>
      </c>
      <c r="DP49" s="407">
        <f>CL49</f>
        <v>1413.1740802954187</v>
      </c>
    </row>
    <row r="50" spans="1:120" x14ac:dyDescent="0.2">
      <c r="A50" s="452">
        <v>2022</v>
      </c>
      <c r="B50" s="453">
        <v>2465.7142857142858</v>
      </c>
      <c r="C50" s="453" t="s">
        <v>106</v>
      </c>
      <c r="D50" s="453" t="s">
        <v>106</v>
      </c>
      <c r="E50" s="453" t="s">
        <v>106</v>
      </c>
      <c r="F50" s="453" t="s">
        <v>106</v>
      </c>
      <c r="G50" s="357">
        <f t="shared" si="71"/>
        <v>2465.7142857142858</v>
      </c>
      <c r="H50" s="358">
        <f>1-(C$56+D$56+E$56+F$56)</f>
        <v>0.28138001115034184</v>
      </c>
      <c r="I50" s="357">
        <f>G50/H50</f>
        <v>8762.9333570423751</v>
      </c>
      <c r="J50" s="377">
        <f t="shared" si="25"/>
        <v>8762.9333570423751</v>
      </c>
      <c r="L50" s="360">
        <v>10759.1547115675</v>
      </c>
      <c r="M50" s="360"/>
      <c r="N50" s="361" t="s">
        <v>333</v>
      </c>
      <c r="O50" s="317" t="s">
        <v>334</v>
      </c>
      <c r="Q50" s="354">
        <f t="shared" si="26"/>
        <v>2022</v>
      </c>
      <c r="R50" s="291">
        <f t="shared" si="5"/>
        <v>1</v>
      </c>
      <c r="S50" s="362">
        <f>'A6-Chin (NEW2+Khutz)'!C43</f>
        <v>14410.16048847821</v>
      </c>
      <c r="T50" s="362" t="str">
        <f t="shared" si="41"/>
        <v/>
      </c>
      <c r="U50" s="455">
        <f>U56</f>
        <v>0.10880899972903964</v>
      </c>
      <c r="V50" s="379">
        <f t="shared" si="28"/>
        <v>1759.3929339608658</v>
      </c>
      <c r="W50" s="379">
        <f t="shared" si="29"/>
        <v>8762.9333570423751</v>
      </c>
      <c r="X50" s="379">
        <f t="shared" si="6"/>
        <v>2057.1477645241862</v>
      </c>
      <c r="Y50" s="380">
        <f t="shared" si="65"/>
        <v>2.3333277671039006</v>
      </c>
      <c r="Z50" s="380"/>
      <c r="AA50" s="379">
        <f t="shared" si="66"/>
        <v>4105.2403860572877</v>
      </c>
      <c r="AB50" s="379">
        <f t="shared" si="74"/>
        <v>20446.795723267973</v>
      </c>
      <c r="AC50" s="381">
        <f t="shared" si="75"/>
        <v>4800</v>
      </c>
      <c r="AD50" s="382"/>
      <c r="AE50" s="383"/>
      <c r="AI50" s="384">
        <f t="shared" si="30"/>
        <v>1759.3929339608658</v>
      </c>
      <c r="AJ50" s="345"/>
      <c r="AK50" s="372" t="str">
        <f t="shared" si="10"/>
        <v/>
      </c>
      <c r="AL50" s="373">
        <f t="shared" si="31"/>
        <v>5258.8031445336183</v>
      </c>
      <c r="AN50" s="296"/>
      <c r="AO50" s="409"/>
      <c r="AP50" s="410"/>
      <c r="AQ50" s="430"/>
      <c r="AR50" s="296"/>
      <c r="AS50" s="409"/>
      <c r="AT50" s="441"/>
      <c r="AU50" s="409"/>
      <c r="AV50" s="409"/>
      <c r="AW50" s="437"/>
      <c r="AY50" s="431">
        <f>AW$58</f>
        <v>2.3333277671039006</v>
      </c>
      <c r="BA50" s="411">
        <f t="shared" si="47"/>
        <v>20446.795723267973</v>
      </c>
      <c r="BB50" s="412"/>
      <c r="BG50" s="439"/>
      <c r="BH50" s="370">
        <f t="shared" si="3"/>
        <v>2481.1045995815225</v>
      </c>
      <c r="BJ50" s="370">
        <v>0</v>
      </c>
      <c r="BM50" s="413">
        <f t="shared" si="88"/>
        <v>1759.3929339608658</v>
      </c>
      <c r="BN50" s="386">
        <f t="shared" si="76"/>
        <v>3040.6070660391342</v>
      </c>
      <c r="BP50" s="338">
        <f t="shared" si="12"/>
        <v>2022</v>
      </c>
      <c r="BQ50" s="433">
        <f t="shared" si="12"/>
        <v>2465.7142857142858</v>
      </c>
      <c r="BR50" s="338" t="str">
        <f t="shared" si="13"/>
        <v>UNK</v>
      </c>
      <c r="BS50" s="338" t="str">
        <f t="shared" si="13"/>
        <v>UNK</v>
      </c>
      <c r="BT50" s="338" t="str">
        <f t="shared" si="13"/>
        <v>UNK</v>
      </c>
      <c r="BV50" s="296">
        <f t="shared" si="32"/>
        <v>2022</v>
      </c>
      <c r="BW50" s="454">
        <f>IF((ISERROR(BQ50)),"",BQ50*Y50)</f>
        <v>5753.3196086019034</v>
      </c>
      <c r="BX50" s="389"/>
      <c r="BY50" s="389"/>
      <c r="BZ50" s="389"/>
      <c r="CA50" s="294"/>
      <c r="CB50" s="367">
        <f t="shared" si="73"/>
        <v>2022</v>
      </c>
      <c r="CC50" s="391">
        <f t="shared" si="77"/>
        <v>3.1962886714455019</v>
      </c>
      <c r="CD50" s="391" t="str">
        <f t="shared" si="77"/>
        <v/>
      </c>
      <c r="CE50" s="391" t="str">
        <f>IF(BY50="","",BY50/CE$2)</f>
        <v/>
      </c>
      <c r="CF50" s="391" t="str">
        <f>IF(BZ50="","",BZ50/CF$2)</f>
        <v/>
      </c>
      <c r="CG50" s="392">
        <f t="shared" si="33"/>
        <v>3.1962886714455019</v>
      </c>
      <c r="CH50" s="438">
        <f>IF($CG50&gt;1,$CG$2*1,$CG$2*$CG50)</f>
        <v>4800</v>
      </c>
      <c r="CI50" s="394">
        <f t="shared" si="35"/>
        <v>15342.185622938408</v>
      </c>
      <c r="CJ50" s="395"/>
      <c r="CK50" s="423">
        <f>AB50</f>
        <v>20446.795723267973</v>
      </c>
      <c r="CL50" s="434">
        <f t="shared" si="48"/>
        <v>4105.2403860572877</v>
      </c>
      <c r="CN50" s="409">
        <f t="shared" si="78"/>
        <v>-4105.2403860572877</v>
      </c>
      <c r="CO50" s="435">
        <f>CJ50*CO$2</f>
        <v>0</v>
      </c>
      <c r="CP50" s="440">
        <f t="shared" si="79"/>
        <v>0</v>
      </c>
      <c r="CQ50" s="400"/>
      <c r="CR50" s="447">
        <f>CB50</f>
        <v>2022</v>
      </c>
      <c r="CS50" s="448">
        <f>CL50</f>
        <v>4105.2403860572877</v>
      </c>
      <c r="CT50" s="449">
        <f t="shared" si="80"/>
        <v>15342.185622938408</v>
      </c>
      <c r="CU50" s="450">
        <f t="shared" si="81"/>
        <v>20446.795723267973</v>
      </c>
      <c r="CV50" s="451">
        <f>CT50-CS50</f>
        <v>11236.945236881122</v>
      </c>
      <c r="CW50" s="409">
        <f>CT50-CU50</f>
        <v>-5104.6101003295644</v>
      </c>
      <c r="CX50" s="409">
        <f t="shared" si="54"/>
        <v>18515.400874535499</v>
      </c>
      <c r="CY50" s="409">
        <f>$S50+CT50</f>
        <v>29752.34611141662</v>
      </c>
      <c r="CZ50" s="409">
        <f>CY50-CX50</f>
        <v>11236.945236881122</v>
      </c>
      <c r="DA50" s="451">
        <f>CZ50*0.21</f>
        <v>2359.7584997450354</v>
      </c>
      <c r="DB50" s="295">
        <f>CS50/CX50</f>
        <v>0.22172030807625046</v>
      </c>
      <c r="DC50" s="295">
        <f t="shared" si="72"/>
        <v>0.5156630527718713</v>
      </c>
      <c r="DD50" s="290" t="e">
        <f t="shared" si="82"/>
        <v>#DIV/0!</v>
      </c>
      <c r="DE50" s="401"/>
      <c r="DF50" s="401">
        <f t="shared" si="83"/>
        <v>0.58659154284899273</v>
      </c>
      <c r="DG50" s="401">
        <f>CL50/(CL50+$S50)</f>
        <v>0.22172030807625046</v>
      </c>
      <c r="DK50" s="296">
        <f t="shared" si="20"/>
        <v>2022</v>
      </c>
      <c r="DL50" s="404" t="str">
        <f t="shared" si="84"/>
        <v/>
      </c>
      <c r="DM50" s="405" t="e">
        <f t="shared" si="85"/>
        <v>#VALUE!</v>
      </c>
      <c r="DN50" s="406" t="e">
        <f t="shared" si="86"/>
        <v>#VALUE!</v>
      </c>
      <c r="DO50" s="407">
        <f t="shared" si="87"/>
        <v>20446.795723267973</v>
      </c>
      <c r="DP50" s="407">
        <f>CL50</f>
        <v>4105.2403860572877</v>
      </c>
    </row>
    <row r="51" spans="1:120" x14ac:dyDescent="0.2">
      <c r="A51" s="452">
        <v>2023</v>
      </c>
      <c r="B51" s="453">
        <v>341.43740573152337</v>
      </c>
      <c r="C51" s="453" t="s">
        <v>106</v>
      </c>
      <c r="D51" s="453">
        <v>316</v>
      </c>
      <c r="E51" s="453">
        <v>237</v>
      </c>
      <c r="F51" s="453" t="s">
        <v>106</v>
      </c>
      <c r="G51" s="357">
        <f t="shared" si="71"/>
        <v>894.43740573152331</v>
      </c>
      <c r="H51" s="358">
        <f>1-(C$56+F$56)</f>
        <v>0.94541739342223974</v>
      </c>
      <c r="I51" s="357">
        <f>G51/H51</f>
        <v>946.07674023620609</v>
      </c>
      <c r="J51" s="377">
        <f t="shared" si="25"/>
        <v>946.07674023620609</v>
      </c>
      <c r="L51" s="360">
        <v>1038.2805979145139</v>
      </c>
      <c r="M51" s="360"/>
      <c r="N51" s="361" t="s">
        <v>333</v>
      </c>
      <c r="O51" s="317" t="s">
        <v>334</v>
      </c>
      <c r="Q51" s="354">
        <v>2023</v>
      </c>
      <c r="R51" s="291">
        <v>3</v>
      </c>
      <c r="S51" s="362">
        <f>'A6-Chin (NEW2+Khutz)'!C44</f>
        <v>9758.9535295539172</v>
      </c>
      <c r="T51" s="362">
        <f>IF(R51&gt;=3,S51+J51,"")</f>
        <v>10705.030269790122</v>
      </c>
      <c r="U51" s="378">
        <f>IF(R51&gt;=3,J51/T51,AVERAGE(U$20:U$24,U$26:U$28))</f>
        <v>8.837683933562146E-2</v>
      </c>
      <c r="V51" s="379">
        <f t="shared" si="28"/>
        <v>946.07674023620609</v>
      </c>
      <c r="W51" s="379">
        <f t="shared" si="29"/>
        <v>946.07674023620609</v>
      </c>
      <c r="X51" s="379">
        <f t="shared" si="6"/>
        <v>1339.3975496899586</v>
      </c>
      <c r="Y51" s="380">
        <f>AV$73</f>
        <v>2.3333277671039006</v>
      </c>
      <c r="Z51" s="380"/>
      <c r="AA51" s="379">
        <f t="shared" si="66"/>
        <v>2207.5071278042838</v>
      </c>
      <c r="AB51" s="379">
        <f t="shared" si="74"/>
        <v>2207.5071278042838</v>
      </c>
      <c r="AC51" s="381">
        <f t="shared" si="75"/>
        <v>3125.253493882507</v>
      </c>
      <c r="AD51" s="382"/>
      <c r="AE51" s="383"/>
      <c r="AI51" s="384">
        <f t="shared" si="30"/>
        <v>946.07674023620609</v>
      </c>
      <c r="AJ51" s="345">
        <v>81</v>
      </c>
      <c r="AK51" s="372">
        <f t="shared" si="10"/>
        <v>7.8864603614109394E-2</v>
      </c>
      <c r="AL51" s="373">
        <f t="shared" si="31"/>
        <v>2396.5066769396999</v>
      </c>
      <c r="AN51" s="381">
        <f t="shared" ref="AN51:AW51" si="89">CL51</f>
        <v>1382.4427879798216</v>
      </c>
      <c r="AO51" s="381">
        <f t="shared" si="89"/>
        <v>0</v>
      </c>
      <c r="AP51" s="381">
        <f t="shared" si="89"/>
        <v>-1382.4427879798216</v>
      </c>
      <c r="AQ51" s="381">
        <f t="shared" si="89"/>
        <v>0</v>
      </c>
      <c r="AR51" s="381">
        <f t="shared" si="89"/>
        <v>0</v>
      </c>
      <c r="AS51" s="381">
        <f t="shared" si="89"/>
        <v>0</v>
      </c>
      <c r="AT51" s="381">
        <f t="shared" si="89"/>
        <v>2023</v>
      </c>
      <c r="AU51" s="381">
        <f t="shared" si="89"/>
        <v>1382.4427879798216</v>
      </c>
      <c r="AV51" s="381">
        <f t="shared" si="89"/>
        <v>3125.253493882507</v>
      </c>
      <c r="AW51" s="381">
        <f t="shared" si="89"/>
        <v>2421.9942222538489</v>
      </c>
      <c r="AY51" s="431">
        <v>2.3333277671039006</v>
      </c>
      <c r="BA51" s="411">
        <f t="shared" si="47"/>
        <v>2207.5071278042838</v>
      </c>
      <c r="BB51" s="412"/>
      <c r="BG51" s="439"/>
      <c r="BH51" s="370">
        <v>280.9530276948098</v>
      </c>
      <c r="BJ51" s="370">
        <v>0</v>
      </c>
      <c r="BM51" s="413">
        <f t="shared" si="88"/>
        <v>946.07674023620609</v>
      </c>
      <c r="BN51" s="386">
        <f t="shared" si="76"/>
        <v>2179.1767536463008</v>
      </c>
      <c r="BP51" s="338">
        <v>2023</v>
      </c>
      <c r="BQ51" s="433">
        <v>341.43740573152337</v>
      </c>
      <c r="BR51" s="338">
        <v>316</v>
      </c>
      <c r="BS51" s="338">
        <v>237</v>
      </c>
      <c r="BT51" s="338" t="s">
        <v>106</v>
      </c>
      <c r="BV51" s="296">
        <v>2023</v>
      </c>
      <c r="BW51" s="454">
        <v>797</v>
      </c>
      <c r="BX51" s="389">
        <v>737.33157440483262</v>
      </c>
      <c r="BY51" s="389">
        <v>552.99868080362444</v>
      </c>
      <c r="BZ51" s="389"/>
      <c r="CA51" s="294"/>
      <c r="CB51" s="367">
        <v>2023</v>
      </c>
      <c r="CC51" s="391">
        <v>0.44277777777777777</v>
      </c>
      <c r="CD51" s="391">
        <v>0.81925730489425852</v>
      </c>
      <c r="CE51" s="391">
        <v>0.69124835100453053</v>
      </c>
      <c r="CF51" s="391" t="s">
        <v>335</v>
      </c>
      <c r="CG51" s="392">
        <f t="shared" si="33"/>
        <v>0.65109447789218899</v>
      </c>
      <c r="CH51" s="438">
        <f>CG$2*CG51</f>
        <v>3125.253493882507</v>
      </c>
      <c r="CI51" s="394">
        <f t="shared" si="35"/>
        <v>3125.253493882507</v>
      </c>
      <c r="CJ51" s="395"/>
      <c r="CK51" s="423">
        <v>2421.9942222538489</v>
      </c>
      <c r="CL51" s="434">
        <v>1382.4427879798216</v>
      </c>
      <c r="CN51" s="409">
        <v>-1382.4427879798216</v>
      </c>
      <c r="CO51" s="435">
        <v>0</v>
      </c>
      <c r="CP51" s="440">
        <v>0</v>
      </c>
      <c r="CQ51" s="400"/>
      <c r="CR51" s="447">
        <v>2023</v>
      </c>
      <c r="CS51" s="448">
        <v>1382.4427879798216</v>
      </c>
      <c r="CT51" s="449">
        <v>3125.253493882507</v>
      </c>
      <c r="CU51" s="450">
        <v>2421.9942222538489</v>
      </c>
      <c r="CV51" s="451">
        <v>1742.8107059026854</v>
      </c>
      <c r="CW51" s="409">
        <v>703.2592716286581</v>
      </c>
      <c r="CX51" s="409">
        <v>11758.268738201627</v>
      </c>
      <c r="CY51" s="409">
        <v>13501.079444104311</v>
      </c>
      <c r="CZ51" s="409">
        <v>1742.8107059026843</v>
      </c>
      <c r="DA51" s="451">
        <v>365.9902482395637</v>
      </c>
      <c r="DB51" s="295">
        <v>0.11757196733294428</v>
      </c>
      <c r="DC51" s="295">
        <v>0.23148174979795794</v>
      </c>
      <c r="DD51" s="290" t="e">
        <v>#DIV/0!</v>
      </c>
      <c r="DE51" s="401"/>
      <c r="DF51" s="401">
        <v>0.18925052779401028</v>
      </c>
      <c r="DG51" s="401">
        <v>0.11757196733294428</v>
      </c>
      <c r="DK51" s="296"/>
      <c r="DL51" s="404"/>
      <c r="DM51" s="405"/>
      <c r="DN51" s="406"/>
      <c r="DO51" s="407"/>
      <c r="DP51" s="407"/>
    </row>
    <row r="52" spans="1:120" x14ac:dyDescent="0.2">
      <c r="A52" s="452">
        <v>2024</v>
      </c>
      <c r="B52" s="453">
        <v>908</v>
      </c>
      <c r="C52" s="453" t="s">
        <v>315</v>
      </c>
      <c r="D52" s="453">
        <v>736</v>
      </c>
      <c r="E52" s="453">
        <v>98</v>
      </c>
      <c r="F52" s="453" t="s">
        <v>315</v>
      </c>
      <c r="G52" s="357">
        <f t="shared" si="71"/>
        <v>1742</v>
      </c>
      <c r="H52" s="358">
        <f>1-(C$56+F$56)</f>
        <v>0.94541739342223974</v>
      </c>
      <c r="I52" s="357">
        <f>G52/H52</f>
        <v>1842.5724046542823</v>
      </c>
      <c r="J52" s="377">
        <f t="shared" si="25"/>
        <v>1842.5724046542823</v>
      </c>
      <c r="L52" s="360">
        <v>1078.4015396512937</v>
      </c>
      <c r="M52" s="360"/>
      <c r="N52" s="361" t="s">
        <v>333</v>
      </c>
      <c r="O52" s="317" t="s">
        <v>334</v>
      </c>
      <c r="Q52" s="354">
        <v>2024</v>
      </c>
      <c r="R52" s="291">
        <v>3</v>
      </c>
      <c r="S52" s="362">
        <f>'A6-Chin (NEW2+Khutz)'!C45</f>
        <v>12477.710267528219</v>
      </c>
      <c r="T52" s="362">
        <v>14256.854417806362</v>
      </c>
      <c r="U52" s="378">
        <f>IF(R52&gt;=3,J52/T52,AVERAGE(U$20:U$24,U$26:U$28))</f>
        <v>0.12924116012245782</v>
      </c>
      <c r="V52" s="379">
        <f t="shared" si="28"/>
        <v>1842.5724046542821</v>
      </c>
      <c r="W52" s="379">
        <f t="shared" si="29"/>
        <v>1842.5724046542823</v>
      </c>
      <c r="X52" s="379">
        <f t="shared" si="6"/>
        <v>2057.1477645241862</v>
      </c>
      <c r="Y52" s="380">
        <f>AV$73</f>
        <v>2.3333277671039006</v>
      </c>
      <c r="Z52" s="380"/>
      <c r="AA52" s="379">
        <f t="shared" si="66"/>
        <v>4299.3253546792403</v>
      </c>
      <c r="AB52" s="379">
        <f t="shared" si="74"/>
        <v>4299.3253546792412</v>
      </c>
      <c r="AC52" s="381">
        <f t="shared" si="75"/>
        <v>4800</v>
      </c>
      <c r="AD52" s="382"/>
      <c r="AE52" s="383"/>
      <c r="AI52" s="384">
        <f t="shared" si="30"/>
        <v>1842.5724046542821</v>
      </c>
      <c r="AJ52" s="345"/>
      <c r="AK52" s="372" t="str">
        <f t="shared" si="10"/>
        <v/>
      </c>
      <c r="AL52" s="373">
        <f t="shared" si="31"/>
        <v>5507.4255264926142</v>
      </c>
      <c r="AN52" s="296"/>
      <c r="AO52" s="409"/>
      <c r="AP52" s="410"/>
      <c r="AQ52" s="430"/>
      <c r="AR52" s="296"/>
      <c r="AS52" s="409"/>
      <c r="AT52" s="441"/>
      <c r="AU52" s="409"/>
      <c r="AV52" s="409"/>
      <c r="AW52" s="437"/>
      <c r="AY52" s="431">
        <v>2.3333277671039006</v>
      </c>
      <c r="BA52" s="411">
        <v>4266.6138628691269</v>
      </c>
      <c r="BB52" s="412"/>
      <c r="BG52" s="439"/>
      <c r="BH52" s="370">
        <v>547.10816393773484</v>
      </c>
      <c r="BJ52" s="370">
        <v>0</v>
      </c>
      <c r="BM52" s="413">
        <f t="shared" si="88"/>
        <v>1842.5724046542821</v>
      </c>
      <c r="BN52" s="386">
        <f t="shared" si="76"/>
        <v>2957.4275953457181</v>
      </c>
      <c r="BP52" s="338">
        <v>2024</v>
      </c>
      <c r="BQ52" s="433">
        <v>908</v>
      </c>
      <c r="BR52" s="338">
        <v>736</v>
      </c>
      <c r="BS52" s="338">
        <v>98</v>
      </c>
      <c r="BT52" s="338" t="s">
        <v>315</v>
      </c>
      <c r="BV52" s="296">
        <v>2024</v>
      </c>
      <c r="BW52" s="454">
        <v>2119</v>
      </c>
      <c r="BX52" s="456">
        <v>1717.3292365884708</v>
      </c>
      <c r="BY52" s="456">
        <v>228.66612117618226</v>
      </c>
      <c r="BZ52" s="389"/>
      <c r="CA52" s="294"/>
      <c r="CB52" s="367">
        <v>2024</v>
      </c>
      <c r="CC52" s="391">
        <v>1.1772222222222222</v>
      </c>
      <c r="CD52" s="391">
        <v>1.908143596209412</v>
      </c>
      <c r="CE52" s="391">
        <v>0.28583265147022785</v>
      </c>
      <c r="CF52" s="391" t="s">
        <v>335</v>
      </c>
      <c r="CG52" s="392">
        <f>AVERAGE(CC52:CF52)</f>
        <v>1.1237328233006207</v>
      </c>
      <c r="CH52" s="438">
        <v>4800</v>
      </c>
      <c r="CI52" s="394">
        <v>5393.9175518429793</v>
      </c>
      <c r="CJ52" s="395"/>
      <c r="CK52" s="423">
        <v>4266.6138628691269</v>
      </c>
      <c r="CL52" s="434">
        <v>4266.6138628691269</v>
      </c>
      <c r="CN52" s="409">
        <v>-4266.6138628691269</v>
      </c>
      <c r="CO52" s="435">
        <v>0</v>
      </c>
      <c r="CP52" s="440">
        <v>0</v>
      </c>
      <c r="CQ52" s="400"/>
      <c r="CR52" s="447">
        <v>2024</v>
      </c>
      <c r="CS52" s="448">
        <v>4266.6138628691269</v>
      </c>
      <c r="CT52" s="449">
        <v>5393.9175518429793</v>
      </c>
      <c r="CU52" s="450">
        <v>4266.6138628691269</v>
      </c>
      <c r="CV52" s="451">
        <v>1127.3036889738523</v>
      </c>
      <c r="CW52" s="409">
        <v>1127.3036889738523</v>
      </c>
      <c r="CX52" s="409">
        <v>16694.915120240254</v>
      </c>
      <c r="CY52" s="409">
        <v>17822.218809214108</v>
      </c>
      <c r="CZ52" s="409">
        <v>1127.3036889738542</v>
      </c>
      <c r="DA52" s="451">
        <v>236.73377468450937</v>
      </c>
      <c r="DB52" s="295">
        <v>0.2555636750555535</v>
      </c>
      <c r="DC52" s="295">
        <v>0.30265129216426845</v>
      </c>
      <c r="DD52" s="290" t="e">
        <v>#DIV/0!</v>
      </c>
      <c r="DE52" s="401"/>
      <c r="DF52" s="401">
        <v>0.2555636750555535</v>
      </c>
      <c r="DG52" s="401">
        <v>0.2555636750555535</v>
      </c>
      <c r="DK52" s="296">
        <v>2024</v>
      </c>
      <c r="DL52" s="404">
        <v>0.28583265147022785</v>
      </c>
      <c r="DM52" s="405">
        <v>1371.9967270570937</v>
      </c>
      <c r="DN52" s="406">
        <v>9.9417905947046026E-2</v>
      </c>
      <c r="DO52" s="407">
        <v>4266.6138628691269</v>
      </c>
      <c r="DP52" s="407">
        <v>4266.6138628691269</v>
      </c>
    </row>
    <row r="53" spans="1:120" x14ac:dyDescent="0.2">
      <c r="A53" s="457">
        <v>2025</v>
      </c>
      <c r="B53" s="458">
        <f>'Data25_Table4 index method'!C5</f>
        <v>1059</v>
      </c>
      <c r="C53" s="458">
        <f>'Data25_Table4 index method'!C8</f>
        <v>425</v>
      </c>
      <c r="D53" s="458">
        <f>'Data25_Table4 index method'!C6</f>
        <v>2528</v>
      </c>
      <c r="E53" s="458" t="str">
        <f>'Data25_Table4 index method'!C7</f>
        <v>N/I</v>
      </c>
      <c r="F53" s="458" t="str">
        <f>'Data25_Table4 index method'!C9</f>
        <v>N/I</v>
      </c>
      <c r="G53" s="459">
        <f t="shared" si="71"/>
        <v>4012</v>
      </c>
      <c r="H53" s="460">
        <f>1-(E$56+F$56)</f>
        <v>0.62287007330632627</v>
      </c>
      <c r="I53" s="459">
        <f t="shared" si="24"/>
        <v>6441.1506860547242</v>
      </c>
      <c r="J53" s="461">
        <f t="shared" si="25"/>
        <v>6441.1506860547242</v>
      </c>
      <c r="L53" s="360"/>
      <c r="M53" s="360"/>
      <c r="N53" s="361" t="s">
        <v>333</v>
      </c>
      <c r="O53" s="317" t="s">
        <v>334</v>
      </c>
      <c r="Q53" s="462">
        <f t="shared" si="26"/>
        <v>2025</v>
      </c>
      <c r="R53" s="463">
        <f>COUNT(B53:F53)</f>
        <v>3</v>
      </c>
      <c r="S53" s="464">
        <f>'A6-Chin (NEW2+Khutz)'!C46</f>
        <v>10359.972690145158</v>
      </c>
      <c r="T53" s="464">
        <f>IF(R53&gt;=3,S53+J53,"")</f>
        <v>16801.123376199881</v>
      </c>
      <c r="U53" s="465">
        <f>IF(R53&gt;=3,J53/T53,AVERAGE(U$20:U$24,U$26:U$28))</f>
        <v>0.38337619109321719</v>
      </c>
      <c r="V53" s="466">
        <f t="shared" si="28"/>
        <v>6441.1506860547242</v>
      </c>
      <c r="W53" s="466">
        <f t="shared" si="29"/>
        <v>6441.1506860547242</v>
      </c>
      <c r="X53" s="466">
        <f t="shared" si="6"/>
        <v>2057.1477645241862</v>
      </c>
      <c r="Y53" s="467">
        <f>AV$73</f>
        <v>2.3333277671039006</v>
      </c>
      <c r="Z53" s="467"/>
      <c r="AA53" s="466">
        <f t="shared" si="66"/>
        <v>15029.315747871828</v>
      </c>
      <c r="AB53" s="466">
        <f t="shared" si="74"/>
        <v>15029.315747871828</v>
      </c>
      <c r="AC53" s="468">
        <f t="shared" si="75"/>
        <v>4800</v>
      </c>
      <c r="AD53" s="382"/>
      <c r="AE53" s="383"/>
      <c r="AN53" s="296"/>
      <c r="AO53" s="409"/>
      <c r="AP53" s="410"/>
      <c r="AQ53" s="430"/>
      <c r="AR53" s="296"/>
      <c r="AS53" s="409"/>
      <c r="AT53" s="441"/>
      <c r="AU53" s="409"/>
      <c r="AV53" s="409"/>
      <c r="AW53" s="437"/>
      <c r="AY53" s="431">
        <f>AW$58</f>
        <v>2.3333277671039006</v>
      </c>
      <c r="BA53" s="411">
        <f>AY53*J53</f>
        <v>15029.315747871828</v>
      </c>
      <c r="BB53" s="412"/>
      <c r="BG53" s="439"/>
      <c r="BH53" s="370">
        <f>J53*$D$63</f>
        <v>1823.7236257108709</v>
      </c>
      <c r="BJ53" s="370">
        <v>0</v>
      </c>
      <c r="BM53" s="413">
        <f t="shared" si="88"/>
        <v>6441.1506860547242</v>
      </c>
      <c r="BN53" s="386">
        <f t="shared" si="76"/>
        <v>-1641.1506860547242</v>
      </c>
      <c r="BP53" s="338">
        <f>A53</f>
        <v>2025</v>
      </c>
      <c r="BQ53" s="433">
        <f>B53</f>
        <v>1059</v>
      </c>
      <c r="BR53" s="338">
        <f>D53</f>
        <v>2528</v>
      </c>
      <c r="BS53" s="338" t="str">
        <f>E53</f>
        <v>N/I</v>
      </c>
      <c r="BT53" s="338" t="str">
        <f>F53</f>
        <v>N/I</v>
      </c>
      <c r="BV53" s="296">
        <f t="shared" si="32"/>
        <v>2025</v>
      </c>
      <c r="BW53" s="454">
        <f>ROUND(IF((ISERROR(BQ53)),"",BQ53*$Y53),0)</f>
        <v>2471</v>
      </c>
      <c r="BX53" s="454">
        <f>IF((ISERROR(BR53)),"",BR53*$Y53)</f>
        <v>5898.652595238661</v>
      </c>
      <c r="BY53" s="389"/>
      <c r="BZ53" s="389"/>
      <c r="CA53" s="294"/>
      <c r="CB53" s="367">
        <f>A53</f>
        <v>2025</v>
      </c>
      <c r="CC53" s="391">
        <f>IF(BW53="","",BW53/CC$2)</f>
        <v>1.3727777777777779</v>
      </c>
      <c r="CD53" s="391">
        <f>IF(BX53="","",BX53/CD$2)</f>
        <v>6.5540584391540682</v>
      </c>
      <c r="CE53" s="391" t="str">
        <f>IF(BY53="","",BY53/CE$2)</f>
        <v/>
      </c>
      <c r="CF53" s="391" t="str">
        <f>IF(BZ53="","",BZ53/CF$2)</f>
        <v/>
      </c>
      <c r="CG53" s="392">
        <f t="shared" si="33"/>
        <v>3.9634181084659232</v>
      </c>
      <c r="CH53" s="438">
        <f>IF($CG53&gt;1,$CG$2*1,$CG$2*$CG53)</f>
        <v>4800</v>
      </c>
      <c r="CI53" s="394">
        <f t="shared" si="35"/>
        <v>19024.406920636433</v>
      </c>
      <c r="CJ53" s="395"/>
      <c r="CK53" s="423">
        <f>AB53</f>
        <v>15029.315747871828</v>
      </c>
      <c r="CL53" s="434">
        <f>AA53</f>
        <v>15029.315747871828</v>
      </c>
      <c r="CN53" s="409">
        <f t="shared" si="78"/>
        <v>-15029.315747871828</v>
      </c>
      <c r="CO53" s="435">
        <f>CJ53*CO$2</f>
        <v>0</v>
      </c>
      <c r="CP53" s="440">
        <f t="shared" si="79"/>
        <v>0</v>
      </c>
      <c r="CQ53" s="400"/>
      <c r="CR53" s="433">
        <f>CB53</f>
        <v>2025</v>
      </c>
      <c r="CS53" s="421">
        <f>CL53</f>
        <v>15029.315747871828</v>
      </c>
      <c r="CT53" s="422">
        <f t="shared" si="80"/>
        <v>19024.406920636433</v>
      </c>
      <c r="CU53" s="423">
        <f t="shared" si="81"/>
        <v>15029.315747871828</v>
      </c>
      <c r="CV53" s="409">
        <f>CT53-CS53</f>
        <v>3995.0911727646053</v>
      </c>
      <c r="CW53" s="409">
        <f>CT53-CU53</f>
        <v>3995.0911727646053</v>
      </c>
      <c r="CX53" s="409">
        <f>S53+CS53</f>
        <v>25389.288438016985</v>
      </c>
      <c r="CY53" s="409">
        <f>$S53+CT53</f>
        <v>29384.379610781591</v>
      </c>
      <c r="CZ53" s="409">
        <f>CY53-CX53</f>
        <v>3995.0911727646053</v>
      </c>
      <c r="DA53" s="409">
        <f>CZ53*0.21</f>
        <v>838.96914628056709</v>
      </c>
      <c r="DB53" s="295">
        <f>CS53/CX53</f>
        <v>0.59195498072200736</v>
      </c>
      <c r="DC53" s="295">
        <f t="shared" si="72"/>
        <v>0.64743265546624229</v>
      </c>
      <c r="DD53" s="290" t="e">
        <f t="shared" si="82"/>
        <v>#DIV/0!</v>
      </c>
      <c r="DE53" s="401"/>
      <c r="DF53" s="401">
        <f t="shared" si="83"/>
        <v>0.59195498072200736</v>
      </c>
      <c r="DG53" s="401">
        <f>CL53/(CL53+$S53)</f>
        <v>0.59195498072200736</v>
      </c>
      <c r="DK53" s="296">
        <f>A53</f>
        <v>2025</v>
      </c>
      <c r="DL53" s="404" t="str">
        <f t="shared" si="84"/>
        <v/>
      </c>
      <c r="DM53" s="405" t="e">
        <f t="shared" si="85"/>
        <v>#VALUE!</v>
      </c>
      <c r="DN53" s="406" t="e">
        <f t="shared" si="86"/>
        <v>#VALUE!</v>
      </c>
      <c r="DO53" s="407">
        <f t="shared" si="87"/>
        <v>15029.315747871828</v>
      </c>
      <c r="DP53" s="407">
        <f>CL53</f>
        <v>15029.315747871828</v>
      </c>
    </row>
    <row r="54" spans="1:120" ht="13.5" thickBot="1" x14ac:dyDescent="0.25">
      <c r="A54" s="469" t="s">
        <v>336</v>
      </c>
      <c r="B54" s="355"/>
      <c r="C54" s="355"/>
      <c r="D54" s="355"/>
      <c r="E54" s="355"/>
      <c r="F54" s="355"/>
      <c r="G54" s="470"/>
      <c r="H54" s="470"/>
      <c r="I54" s="470"/>
      <c r="J54" s="471"/>
      <c r="R54" s="291"/>
      <c r="S54" s="291"/>
      <c r="T54" s="362"/>
      <c r="U54" s="362"/>
      <c r="V54" s="379"/>
      <c r="W54" s="472"/>
      <c r="X54" s="472"/>
      <c r="Y54" s="472"/>
      <c r="Z54" s="472"/>
      <c r="AA54" s="472"/>
      <c r="AB54" s="472"/>
      <c r="AC54" s="472"/>
      <c r="AD54" s="472"/>
      <c r="AE54" s="472"/>
      <c r="AF54" s="472"/>
      <c r="AG54" s="472"/>
      <c r="AH54" s="472"/>
      <c r="AI54" s="472"/>
      <c r="AJ54" s="472"/>
      <c r="AK54" s="473">
        <f>AVERAGE(AK20:AK52)</f>
        <v>0.21935842182558724</v>
      </c>
      <c r="AL54" s="472"/>
      <c r="AM54" s="472"/>
      <c r="AN54" s="472"/>
      <c r="AO54" s="472"/>
      <c r="AP54" s="472"/>
      <c r="AQ54" s="472"/>
      <c r="AR54" s="472"/>
      <c r="AS54" s="472"/>
      <c r="AT54" s="472"/>
      <c r="AU54" s="472"/>
      <c r="AV54" s="472"/>
      <c r="AW54" s="472"/>
      <c r="AX54" s="472"/>
      <c r="AY54" s="472"/>
      <c r="AZ54" s="472"/>
      <c r="BA54" s="472"/>
      <c r="BB54" s="472"/>
      <c r="BC54" s="472"/>
      <c r="BD54" s="472"/>
      <c r="BE54" s="472"/>
      <c r="BF54" s="472"/>
      <c r="BG54" s="472"/>
      <c r="BH54" s="472"/>
      <c r="BI54" s="472"/>
      <c r="BJ54" s="472"/>
      <c r="BK54" s="472"/>
      <c r="BL54" s="472"/>
      <c r="BM54" s="472"/>
      <c r="BN54" s="472"/>
      <c r="BO54" s="472"/>
      <c r="BP54" s="472"/>
      <c r="BQ54" s="472"/>
      <c r="BR54" s="472"/>
      <c r="BS54" s="294"/>
      <c r="BT54" s="294"/>
      <c r="CA54" s="294"/>
      <c r="CB54" s="374"/>
      <c r="CC54" s="374"/>
      <c r="CD54" s="374"/>
      <c r="CE54" s="374"/>
      <c r="CF54" s="374"/>
      <c r="CG54" s="374"/>
      <c r="CH54" s="374"/>
      <c r="CJ54" s="374"/>
      <c r="CK54" s="374"/>
      <c r="CL54" s="374"/>
      <c r="CM54" s="374"/>
      <c r="CN54" s="360"/>
      <c r="CO54" s="474"/>
      <c r="CP54" s="475"/>
      <c r="CQ54" s="400"/>
      <c r="CR54" s="400"/>
      <c r="CS54" s="400"/>
      <c r="CT54" s="400"/>
      <c r="CU54" s="400"/>
      <c r="CV54" s="400"/>
      <c r="CW54" s="400"/>
      <c r="CX54" s="400"/>
      <c r="CY54" s="400"/>
      <c r="CZ54" s="400"/>
      <c r="DA54" s="400"/>
      <c r="DB54" s="400"/>
      <c r="DC54" s="400"/>
      <c r="DE54" s="476"/>
      <c r="DF54" s="476"/>
      <c r="DG54" s="476"/>
      <c r="DL54" s="477"/>
      <c r="DM54" s="478"/>
      <c r="DN54" s="479"/>
      <c r="DO54" s="370"/>
      <c r="DP54" s="370"/>
    </row>
    <row r="55" spans="1:120" ht="13.5" thickBot="1" x14ac:dyDescent="0.25">
      <c r="A55" s="480" t="s">
        <v>337</v>
      </c>
      <c r="B55" s="476">
        <f>SUM(B14:B36)/SUM($B14:$F36)</f>
        <v>0.14316916811319833</v>
      </c>
      <c r="C55" s="476">
        <f>SUM(C14:C36)/SUM($B14:$F36)</f>
        <v>1.5209884206679741E-2</v>
      </c>
      <c r="D55" s="476">
        <f>SUM(D14:D36)/SUM($B14:$F36)</f>
        <v>0.37673819652434593</v>
      </c>
      <c r="E55" s="476">
        <f>SUM(E14:E36)/SUM($B14:$F36)</f>
        <v>0.40919494930228723</v>
      </c>
      <c r="F55" s="476">
        <f>SUM(F14:F36)/SUM($B14:$F36)</f>
        <v>5.5687801853488726E-2</v>
      </c>
      <c r="G55" s="470"/>
      <c r="H55" s="470"/>
      <c r="I55" s="470"/>
      <c r="J55" s="471"/>
      <c r="R55" s="291"/>
      <c r="S55" s="291"/>
      <c r="T55" s="362" t="s">
        <v>338</v>
      </c>
      <c r="U55" s="481">
        <f>AVERAGE(U$20:U$24,U$26:U$29)</f>
        <v>4.8953651810677679E-2</v>
      </c>
      <c r="V55" s="482">
        <f>SUM(V20:V52)</f>
        <v>31136.634149885216</v>
      </c>
      <c r="W55" s="482">
        <f t="shared" ref="W55" si="90">SUM(W20:W52)</f>
        <v>38871.03439076541</v>
      </c>
      <c r="X55" s="482">
        <f>SUM(X20:X52)</f>
        <v>45201.493862863812</v>
      </c>
      <c r="Y55" s="472"/>
      <c r="Z55" s="472"/>
      <c r="AA55" s="472"/>
      <c r="AB55" s="472"/>
      <c r="AC55" s="472"/>
      <c r="AD55" s="472"/>
      <c r="AE55" s="472"/>
      <c r="AF55" s="472"/>
      <c r="AG55" s="472"/>
      <c r="AH55" s="472"/>
      <c r="AI55" s="472"/>
      <c r="AJ55" s="472"/>
      <c r="AK55" s="472"/>
      <c r="AL55" s="472"/>
      <c r="AM55" s="472"/>
      <c r="AN55" s="472"/>
      <c r="AO55" s="472"/>
      <c r="AP55" s="472"/>
      <c r="AQ55" s="472"/>
      <c r="AR55" s="472"/>
      <c r="AS55" s="472"/>
      <c r="AT55" s="472"/>
      <c r="AU55" s="472"/>
      <c r="AV55" s="472"/>
      <c r="AW55" s="472"/>
      <c r="AX55" s="472"/>
      <c r="AY55" s="472"/>
      <c r="AZ55" s="472"/>
      <c r="BA55" s="472"/>
      <c r="BB55" s="472"/>
      <c r="BC55" s="472"/>
      <c r="BD55" s="472"/>
      <c r="BE55" s="472"/>
      <c r="BF55" s="472"/>
      <c r="BG55" s="472"/>
      <c r="BH55" s="472"/>
      <c r="BI55" s="472"/>
      <c r="BJ55" s="472"/>
      <c r="BK55" s="472"/>
      <c r="BL55" s="472"/>
      <c r="BM55" s="472"/>
      <c r="BN55" s="472"/>
      <c r="BO55" s="472"/>
      <c r="BP55" s="472"/>
      <c r="BQ55" s="472"/>
      <c r="BR55" s="472"/>
      <c r="BS55" s="294"/>
      <c r="BT55" s="294"/>
      <c r="CA55" s="294"/>
      <c r="CB55" s="374" t="s">
        <v>339</v>
      </c>
      <c r="CC55" s="374"/>
      <c r="CD55" s="374"/>
      <c r="CE55" s="374"/>
      <c r="CF55" s="374"/>
      <c r="CG55" s="374"/>
      <c r="CH55" s="362">
        <f>ROUND(AVERAGE(CH22:CH54),-2)</f>
        <v>3700</v>
      </c>
      <c r="CI55" s="362">
        <f>ROUND(AVERAGE(CI22:CI54),-2)</f>
        <v>5200</v>
      </c>
      <c r="CJ55" s="362">
        <f>ROUND(AVERAGE(CJ22:CJ54),-2)</f>
        <v>4100</v>
      </c>
      <c r="CK55" s="362">
        <f>ROUND(AVERAGE(CK22:CK54),-2)</f>
        <v>3500</v>
      </c>
      <c r="CL55" s="374"/>
      <c r="CM55" s="374"/>
      <c r="CN55" s="360"/>
      <c r="CO55" s="474"/>
      <c r="CP55" s="475"/>
      <c r="CQ55" s="400"/>
      <c r="CR55" s="400"/>
      <c r="CS55" s="400"/>
      <c r="CT55" s="400"/>
      <c r="CU55" s="400"/>
      <c r="CV55" s="400"/>
      <c r="CW55" s="400"/>
      <c r="CX55" s="400"/>
      <c r="CY55" s="400"/>
      <c r="CZ55" s="400"/>
      <c r="DA55" s="400"/>
      <c r="DB55" s="400"/>
      <c r="DC55" s="400"/>
      <c r="DE55" s="476"/>
      <c r="DF55" s="476"/>
      <c r="DG55" s="476"/>
      <c r="DL55" s="477"/>
      <c r="DM55" s="478"/>
      <c r="DN55" s="479"/>
      <c r="DO55" s="370"/>
      <c r="DP55" s="370"/>
    </row>
    <row r="56" spans="1:120" ht="26.25" thickBot="1" x14ac:dyDescent="0.25">
      <c r="A56" s="483" t="s">
        <v>340</v>
      </c>
      <c r="B56" s="484">
        <f>SUM(B14:B36,B$48:B52)/SUM($B14:$F36,$B48:$F52)</f>
        <v>0.28138001115034195</v>
      </c>
      <c r="C56" s="484">
        <f>SUM(C14:C36,C$48:C52)/SUM($B14:$F36,$B48:$F52)</f>
        <v>1.1709763348862064E-2</v>
      </c>
      <c r="D56" s="484">
        <f>SUM(D14:D36,D$48:D52)/SUM($B14:$F36,$B48:$F52)</f>
        <v>0.32978029880712234</v>
      </c>
      <c r="E56" s="484">
        <f>SUM(E14:E36,E$48:E52)/SUM($B14:$F36,$B48:$F52)</f>
        <v>0.33425708346477551</v>
      </c>
      <c r="F56" s="484">
        <f>SUM(F14:F36,F$48:F52)/SUM($B14:$F36,$B48:$F52)</f>
        <v>4.2872843228898207E-2</v>
      </c>
      <c r="G56" s="485"/>
      <c r="H56" s="485"/>
      <c r="I56" s="485"/>
      <c r="J56" s="486"/>
      <c r="T56" s="362" t="s">
        <v>341</v>
      </c>
      <c r="U56" s="487">
        <f>AVERAGE(U51:U52)</f>
        <v>0.10880899972903964</v>
      </c>
      <c r="BQ56" s="294"/>
      <c r="BR56" s="294"/>
      <c r="BS56" s="294"/>
      <c r="BT56" s="294"/>
      <c r="BW56" s="294"/>
      <c r="BX56" s="294"/>
      <c r="BY56" s="294"/>
      <c r="BZ56" s="294"/>
      <c r="CA56" s="294"/>
      <c r="CB56" s="294"/>
      <c r="CC56" s="294"/>
      <c r="CD56" s="294"/>
      <c r="CE56" s="294"/>
      <c r="CF56" s="294"/>
      <c r="CG56" s="294"/>
      <c r="CH56" s="294"/>
      <c r="CJ56" s="294"/>
      <c r="CK56" s="294"/>
      <c r="CL56" s="294"/>
      <c r="CM56" s="294"/>
      <c r="CP56" s="488">
        <f>AVERAGE(CP32:CP46)</f>
        <v>2.5012204417010726</v>
      </c>
      <c r="CQ56" s="400"/>
      <c r="CR56" s="489" t="s">
        <v>150</v>
      </c>
      <c r="CS56" s="490">
        <f t="shared" ref="CS56:DC56" si="91">AVERAGE(CS32:CS46)</f>
        <v>1944.1549328166045</v>
      </c>
      <c r="CT56" s="491">
        <f t="shared" si="91"/>
        <v>5234.3636721582234</v>
      </c>
      <c r="CU56" s="492">
        <f t="shared" si="91"/>
        <v>2511.8679523999263</v>
      </c>
      <c r="CV56" s="493">
        <f t="shared" si="91"/>
        <v>3078.104275261072</v>
      </c>
      <c r="CW56" s="493">
        <f t="shared" si="91"/>
        <v>2779.6987252727181</v>
      </c>
      <c r="CX56" s="493">
        <f t="shared" si="91"/>
        <v>17466.588310465988</v>
      </c>
      <c r="CY56" s="493">
        <f t="shared" si="91"/>
        <v>20258.060310267487</v>
      </c>
      <c r="CZ56" s="493">
        <f t="shared" si="91"/>
        <v>2791.4719998014962</v>
      </c>
      <c r="DA56" s="494">
        <f t="shared" si="91"/>
        <v>586.2091199583142</v>
      </c>
      <c r="DB56" s="495">
        <f t="shared" si="91"/>
        <v>0.10973175822716902</v>
      </c>
      <c r="DC56" s="496">
        <f t="shared" si="91"/>
        <v>0.23591522072343218</v>
      </c>
    </row>
    <row r="57" spans="1:120" x14ac:dyDescent="0.2">
      <c r="BQ57" s="294"/>
      <c r="BR57" s="294"/>
      <c r="BS57" s="294"/>
      <c r="BT57" s="294"/>
      <c r="BW57" s="294"/>
      <c r="BX57" s="294"/>
      <c r="BY57" s="294"/>
      <c r="BZ57" s="294"/>
      <c r="CA57" s="294"/>
      <c r="CB57" s="294"/>
      <c r="CC57" s="294"/>
      <c r="CD57" s="294"/>
      <c r="CE57" s="294"/>
      <c r="CF57" s="294"/>
      <c r="CG57" s="294"/>
      <c r="CH57" s="294"/>
      <c r="CJ57" s="294"/>
      <c r="CK57" s="294"/>
      <c r="CL57" s="294"/>
      <c r="CM57" s="294"/>
      <c r="CP57" s="488"/>
      <c r="CQ57" s="400"/>
      <c r="CR57" s="497"/>
      <c r="CS57" s="498"/>
      <c r="CT57" s="499"/>
      <c r="CU57" s="500"/>
      <c r="CV57" s="501"/>
      <c r="CW57" s="501"/>
      <c r="CX57" s="501"/>
      <c r="CY57" s="501"/>
      <c r="CZ57" s="501"/>
      <c r="DA57" s="502"/>
      <c r="DB57" s="495"/>
      <c r="DC57" s="496"/>
    </row>
    <row r="58" spans="1:120" x14ac:dyDescent="0.2">
      <c r="A58" s="370" t="s">
        <v>342</v>
      </c>
      <c r="B58" s="503">
        <f>B48/2</f>
        <v>243</v>
      </c>
      <c r="C58" s="295"/>
      <c r="D58" s="504"/>
      <c r="E58" s="295"/>
      <c r="F58" s="295"/>
      <c r="G58" s="477"/>
      <c r="H58" s="477"/>
      <c r="I58" s="477"/>
      <c r="V58" s="290" t="s">
        <v>343</v>
      </c>
      <c r="Y58" s="290" t="s">
        <v>150</v>
      </c>
      <c r="AA58" s="505">
        <f>AVERAGE(AA29:AA56)</f>
        <v>2675.1948002739637</v>
      </c>
      <c r="AB58" s="505">
        <f>AVERAGE(AB29:AB56)</f>
        <v>3900.3388676852087</v>
      </c>
      <c r="AC58" s="505">
        <f>AVERAGE(AC29:AC56)</f>
        <v>4058.2954332898644</v>
      </c>
      <c r="AN58" s="506">
        <f>SUM(AN30,AN24)</f>
        <v>600</v>
      </c>
      <c r="AO58" s="506">
        <f>SUM(AO30,AO24)</f>
        <v>1344</v>
      </c>
      <c r="AP58" s="507"/>
      <c r="AQ58" s="508">
        <f>AO58/AN58</f>
        <v>2.2400000000000002</v>
      </c>
      <c r="AS58" s="506">
        <f>SUM(AS30:AS34)</f>
        <v>2350</v>
      </c>
      <c r="AT58" s="506">
        <f>SUM(AT30:AT34)</f>
        <v>5483.3202526941659</v>
      </c>
      <c r="AU58" s="507"/>
      <c r="AV58" s="507"/>
      <c r="AW58" s="508">
        <f>AT58/AS58</f>
        <v>2.3333277671039006</v>
      </c>
      <c r="AY58" s="293">
        <f>AVERAGE(AY29:AY34)</f>
        <v>2.4222220981385858</v>
      </c>
      <c r="BM58" s="509">
        <f>AVERAGE(BM20:BM56)</f>
        <v>2073.4897690570706</v>
      </c>
      <c r="BN58" s="407">
        <f>AVERAGE(BN20:BN56)</f>
        <v>1353.3116850774991</v>
      </c>
      <c r="BQ58" s="294"/>
      <c r="BR58" s="294"/>
      <c r="BS58" s="294"/>
      <c r="BT58" s="294"/>
      <c r="BW58" s="294"/>
      <c r="BX58" s="294"/>
      <c r="BY58" s="294"/>
      <c r="BZ58" s="294"/>
      <c r="CA58" s="294"/>
      <c r="CB58" s="338" t="s">
        <v>150</v>
      </c>
      <c r="CC58" s="391">
        <f>IF(COUNT(CC20:CC46)=0,"",AVERAGE(CC20:CC46))</f>
        <v>0.27333268128931404</v>
      </c>
      <c r="CD58" s="391">
        <f t="shared" ref="CD58:CL58" si="92">IF(COUNT(CD20:CD46)=0,"",AVERAGE(CD20:CD46))</f>
        <v>1.2529138655890946</v>
      </c>
      <c r="CE58" s="391">
        <f t="shared" si="92"/>
        <v>1.0323860882137874</v>
      </c>
      <c r="CF58" s="391">
        <f t="shared" si="92"/>
        <v>8.0769038092058071E-2</v>
      </c>
      <c r="CG58" s="392">
        <f t="shared" si="92"/>
        <v>0.8771494342595112</v>
      </c>
      <c r="CH58" s="393">
        <f t="shared" si="92"/>
        <v>3461.7579982058269</v>
      </c>
      <c r="CI58" s="394">
        <f t="shared" si="92"/>
        <v>4210.3172844456521</v>
      </c>
      <c r="CJ58" s="395"/>
      <c r="CK58" s="423">
        <f t="shared" si="92"/>
        <v>2394.0186528772697</v>
      </c>
      <c r="CL58" s="510">
        <f t="shared" si="92"/>
        <v>1712.811670401991</v>
      </c>
      <c r="CP58" s="511">
        <f>MIN(CP32:CP46)</f>
        <v>1.1592148878445596</v>
      </c>
      <c r="CQ58" s="400"/>
      <c r="CR58" s="512" t="s">
        <v>115</v>
      </c>
      <c r="CS58" s="513">
        <f t="shared" ref="CS58:DC58" si="93">MIN(CS32:CS46)</f>
        <v>695.86126291140852</v>
      </c>
      <c r="CT58" s="514">
        <f t="shared" si="93"/>
        <v>3023.9927861666556</v>
      </c>
      <c r="CU58" s="515">
        <f t="shared" si="93"/>
        <v>1231.683818565708</v>
      </c>
      <c r="CV58" s="516">
        <f t="shared" si="93"/>
        <v>578.84995947845528</v>
      </c>
      <c r="CW58" s="516">
        <f t="shared" si="93"/>
        <v>663.95286043646229</v>
      </c>
      <c r="CX58" s="516">
        <f t="shared" si="93"/>
        <v>6489.6612629114088</v>
      </c>
      <c r="CY58" s="516">
        <f t="shared" si="93"/>
        <v>7534.3024153819397</v>
      </c>
      <c r="CZ58" s="516">
        <f t="shared" si="93"/>
        <v>578.84995947845528</v>
      </c>
      <c r="DA58" s="517">
        <f t="shared" si="93"/>
        <v>121.5584914904756</v>
      </c>
      <c r="DB58" s="495">
        <f t="shared" si="93"/>
        <v>9.4757006431263072E-2</v>
      </c>
      <c r="DC58" s="496">
        <f t="shared" si="93"/>
        <v>0.12862190605746551</v>
      </c>
      <c r="DD58" s="518" t="s">
        <v>344</v>
      </c>
      <c r="DE58" s="519">
        <f>AVERAGE(DE20:DE44)</f>
        <v>0.12152838547695405</v>
      </c>
      <c r="DF58" s="519">
        <f>AVERAGE(DF20:DF44)</f>
        <v>0.11696146936750927</v>
      </c>
      <c r="DG58" s="519">
        <f>AVERAGE(DG20:DG44)</f>
        <v>0.10705611762093588</v>
      </c>
    </row>
    <row r="59" spans="1:120" ht="13.5" thickBot="1" x14ac:dyDescent="0.25">
      <c r="A59" s="370" t="s">
        <v>345</v>
      </c>
      <c r="B59" s="520">
        <f t="shared" ref="B59:G59" si="94">SUM(B$5:B$28)/SUM($B$5:$F$28)</f>
        <v>0.28421210755595616</v>
      </c>
      <c r="C59" s="520">
        <f t="shared" si="94"/>
        <v>5.2012918732161635E-2</v>
      </c>
      <c r="D59" s="520">
        <f t="shared" si="94"/>
        <v>0.26062791047018175</v>
      </c>
      <c r="E59" s="520">
        <f t="shared" si="94"/>
        <v>0.2852260778128286</v>
      </c>
      <c r="F59" s="520">
        <f t="shared" si="94"/>
        <v>0.11792098542887186</v>
      </c>
      <c r="G59" s="520">
        <f t="shared" si="94"/>
        <v>1</v>
      </c>
      <c r="H59" s="476"/>
      <c r="I59" s="476"/>
      <c r="J59" s="403">
        <f>SUM(B59,D59,E59)</f>
        <v>0.83006609583896651</v>
      </c>
      <c r="N59" s="1021"/>
      <c r="O59" s="1021"/>
      <c r="P59" s="1021"/>
      <c r="Q59" s="291"/>
      <c r="S59" s="296"/>
      <c r="T59" s="296" t="s">
        <v>66</v>
      </c>
      <c r="V59" s="290" t="s">
        <v>346</v>
      </c>
      <c r="AN59" s="507">
        <f>SUM(AN5:AN33)</f>
        <v>1028.933177734918</v>
      </c>
      <c r="AO59" s="507">
        <f>SUM(AO5:AO33)</f>
        <v>3521</v>
      </c>
      <c r="AP59" s="507"/>
      <c r="AQ59" s="508">
        <f>AO59/AN59</f>
        <v>3.4219909282652252</v>
      </c>
      <c r="AV59" s="290" t="s">
        <v>347</v>
      </c>
      <c r="AW59" s="521">
        <f>VAR(AW30:AW34)</f>
        <v>0.47530522392793007</v>
      </c>
      <c r="BN59" s="407">
        <f>BN58+BM58</f>
        <v>3426.8014541345697</v>
      </c>
      <c r="BQ59" s="294"/>
      <c r="BR59" s="294"/>
      <c r="BS59" s="294"/>
      <c r="BT59" s="294"/>
      <c r="BW59" s="294"/>
      <c r="BX59" s="294"/>
      <c r="BY59" s="294"/>
      <c r="BZ59" s="294"/>
      <c r="CA59" s="294"/>
      <c r="CB59" s="338" t="s">
        <v>348</v>
      </c>
      <c r="CC59" s="391">
        <f>_xlfn.STDEV.S(CC21:CC46)</f>
        <v>4.3240009727321768E-2</v>
      </c>
      <c r="CD59" s="391">
        <f t="shared" ref="CD59:CL59" si="95">_xlfn.STDEV.S(CD21:CD46)</f>
        <v>1.2683960972463182</v>
      </c>
      <c r="CE59" s="391">
        <f t="shared" si="95"/>
        <v>0.62029473292659632</v>
      </c>
      <c r="CF59" s="391">
        <f t="shared" si="95"/>
        <v>2.5689884925605453E-2</v>
      </c>
      <c r="CG59" s="392">
        <f t="shared" si="95"/>
        <v>0.49536442774230294</v>
      </c>
      <c r="CH59" s="393">
        <f t="shared" si="95"/>
        <v>1262.9556529263691</v>
      </c>
      <c r="CI59" s="394">
        <f t="shared" si="95"/>
        <v>2377.7492531630578</v>
      </c>
      <c r="CJ59" s="395"/>
      <c r="CK59" s="423">
        <f t="shared" si="95"/>
        <v>1240.7625819801494</v>
      </c>
      <c r="CL59" s="510">
        <f t="shared" si="95"/>
        <v>927.73610700339873</v>
      </c>
      <c r="CP59" s="511">
        <f>MAX(CP32:CP46)</f>
        <v>4.8218126231976797</v>
      </c>
      <c r="CQ59" s="400"/>
      <c r="CR59" s="522" t="s">
        <v>117</v>
      </c>
      <c r="CS59" s="523">
        <f t="shared" ref="CS59:DC59" si="96">MAX(CS32:CS46)</f>
        <v>4019.2394342094994</v>
      </c>
      <c r="CT59" s="524">
        <f t="shared" si="96"/>
        <v>10072.317887046658</v>
      </c>
      <c r="CU59" s="525">
        <f t="shared" si="96"/>
        <v>5063.5890318812444</v>
      </c>
      <c r="CV59" s="526">
        <f t="shared" si="96"/>
        <v>7593.3136392306114</v>
      </c>
      <c r="CW59" s="526">
        <f t="shared" si="96"/>
        <v>5609.6887140752715</v>
      </c>
      <c r="CX59" s="526">
        <f t="shared" si="96"/>
        <v>29683.216426465784</v>
      </c>
      <c r="CY59" s="526">
        <f t="shared" si="96"/>
        <v>32227.941892317707</v>
      </c>
      <c r="CZ59" s="526">
        <f t="shared" si="96"/>
        <v>7593.3136392306114</v>
      </c>
      <c r="DA59" s="527">
        <f t="shared" si="96"/>
        <v>1594.5958642384282</v>
      </c>
      <c r="DB59" s="495">
        <f t="shared" si="96"/>
        <v>0.1511001389369456</v>
      </c>
      <c r="DC59" s="496">
        <f t="shared" si="96"/>
        <v>0.38041388457245656</v>
      </c>
      <c r="DD59" s="518" t="s">
        <v>349</v>
      </c>
      <c r="DE59" s="519">
        <f>AVERAGE(DE20:DE24,DE26:DE28)</f>
        <v>0.10624410121986037</v>
      </c>
      <c r="DF59" s="519">
        <f>AVERAGE(DF20:DF24,DF26:DF28)</f>
        <v>0.10626634905789084</v>
      </c>
      <c r="DG59" s="519" t="e">
        <f>AVERAGE(DG20:DG24,DG26:DG28)</f>
        <v>#DIV/0!</v>
      </c>
    </row>
    <row r="60" spans="1:120" ht="12.75" customHeight="1" x14ac:dyDescent="0.2">
      <c r="A60" s="370" t="s">
        <v>350</v>
      </c>
      <c r="B60" s="520">
        <f t="shared" ref="B60:G60" si="97">SUM(B$5:B$29)/SUM($B$5:$F$29)</f>
        <v>0.27122530410049739</v>
      </c>
      <c r="C60" s="520">
        <f t="shared" si="97"/>
        <v>4.9636237602958364E-2</v>
      </c>
      <c r="D60" s="520">
        <f t="shared" si="97"/>
        <v>0.26753398979836601</v>
      </c>
      <c r="E60" s="520">
        <f t="shared" si="97"/>
        <v>0.29727984903721272</v>
      </c>
      <c r="F60" s="520">
        <f t="shared" si="97"/>
        <v>0.11432461946096546</v>
      </c>
      <c r="G60" s="520">
        <f t="shared" si="97"/>
        <v>1</v>
      </c>
      <c r="H60" s="476"/>
      <c r="I60" s="476"/>
      <c r="N60" s="1021"/>
      <c r="O60" s="1021"/>
      <c r="P60" s="1021"/>
      <c r="Q60" s="291"/>
      <c r="S60" s="407">
        <v>1992</v>
      </c>
      <c r="T60" s="409">
        <f t="shared" ref="T60:T78" si="98">RANK(E20,E$20:E$47,0)</f>
        <v>16</v>
      </c>
      <c r="AV60" s="290" t="s">
        <v>351</v>
      </c>
      <c r="AW60" s="370">
        <f>COUNT(AW30:AW34)</f>
        <v>5</v>
      </c>
      <c r="BN60" s="410">
        <f>BN58/BN59</f>
        <v>0.3949197825408518</v>
      </c>
      <c r="BQ60" s="294"/>
      <c r="BR60" s="294"/>
      <c r="BS60" s="294"/>
      <c r="BT60" s="294"/>
      <c r="BW60" s="294"/>
      <c r="BX60" s="294"/>
      <c r="BY60" s="294"/>
      <c r="BZ60" s="294"/>
      <c r="CA60" s="294"/>
      <c r="CB60" s="338" t="s">
        <v>351</v>
      </c>
      <c r="CC60" s="296">
        <f>COUNT(CC20:CC56)</f>
        <v>13</v>
      </c>
      <c r="CD60" s="296">
        <f t="shared" ref="CD60:CL60" si="99">COUNT(CD20:CD56)</f>
        <v>16</v>
      </c>
      <c r="CE60" s="296">
        <f t="shared" si="99"/>
        <v>29</v>
      </c>
      <c r="CF60" s="296">
        <f t="shared" si="99"/>
        <v>10</v>
      </c>
      <c r="CG60" s="296">
        <f t="shared" si="99"/>
        <v>31</v>
      </c>
      <c r="CH60" s="296">
        <f t="shared" si="99"/>
        <v>32</v>
      </c>
      <c r="CI60" s="528">
        <f t="shared" si="99"/>
        <v>32</v>
      </c>
      <c r="CJ60" s="529"/>
      <c r="CK60" s="530">
        <f t="shared" si="99"/>
        <v>32</v>
      </c>
      <c r="CL60" s="531">
        <f t="shared" si="99"/>
        <v>34</v>
      </c>
      <c r="CQ60" s="400"/>
      <c r="CR60" s="1023" t="s">
        <v>352</v>
      </c>
      <c r="CS60" s="1023"/>
      <c r="CT60" s="1023"/>
      <c r="CU60" s="1023"/>
      <c r="CV60" s="1023"/>
      <c r="CW60" s="1023"/>
      <c r="CX60" s="1023"/>
      <c r="CY60" s="1023"/>
      <c r="DD60" s="296" t="s">
        <v>353</v>
      </c>
      <c r="DE60" s="519" t="e">
        <f>AVERAGE(DE37:DE56)</f>
        <v>#DIV/0!</v>
      </c>
      <c r="DF60" s="519">
        <f>AVERAGE(DF37:DF56)</f>
        <v>0.20893536355028533</v>
      </c>
      <c r="DG60" s="519">
        <f>AVERAGE(DG37:DG56)</f>
        <v>0.15180886014976042</v>
      </c>
    </row>
    <row r="61" spans="1:120" x14ac:dyDescent="0.2">
      <c r="A61" s="370" t="s">
        <v>354</v>
      </c>
      <c r="B61" s="520">
        <f t="shared" ref="B61:G61" si="100">SUM(B$5:B$30)/SUM($B$5:$F$30)</f>
        <v>0.26093851233318638</v>
      </c>
      <c r="C61" s="520">
        <f t="shared" si="100"/>
        <v>4.775367859163096E-2</v>
      </c>
      <c r="D61" s="520">
        <f>SUM(D$5:D$30)/SUM($B$5:$F$30)</f>
        <v>0.27462679407167351</v>
      </c>
      <c r="E61" s="520">
        <f t="shared" si="100"/>
        <v>0.30669239788632302</v>
      </c>
      <c r="F61" s="520">
        <f t="shared" si="100"/>
        <v>0.10998861711718612</v>
      </c>
      <c r="G61" s="520">
        <f t="shared" si="100"/>
        <v>1</v>
      </c>
      <c r="H61" s="476"/>
      <c r="I61" s="476"/>
      <c r="J61" s="370"/>
      <c r="N61" s="1021"/>
      <c r="O61" s="1021"/>
      <c r="P61" s="1021"/>
      <c r="Q61" s="291"/>
      <c r="S61" s="407">
        <v>1993</v>
      </c>
      <c r="T61" s="409">
        <f t="shared" si="98"/>
        <v>21</v>
      </c>
      <c r="AQ61" s="292">
        <f>AVERAGE(AQ29:AQ30)</f>
        <v>2.4379613510767562</v>
      </c>
      <c r="AS61" s="290">
        <f>AN29*AQ29</f>
        <v>1225</v>
      </c>
      <c r="AV61" s="290" t="s">
        <v>355</v>
      </c>
      <c r="AW61" s="521">
        <f>SQRT(AW59/AW60)</f>
        <v>0.30831971196403579</v>
      </c>
      <c r="BQ61" s="294"/>
      <c r="BR61" s="294"/>
      <c r="BS61" s="294"/>
      <c r="BT61" s="294"/>
      <c r="BW61" s="294"/>
      <c r="BX61" s="294"/>
      <c r="BY61" s="294"/>
      <c r="BZ61" s="294"/>
      <c r="CA61" s="294"/>
      <c r="CB61" s="338" t="s">
        <v>355</v>
      </c>
      <c r="CC61" s="391">
        <f>CC59/SQRT(CC60)</f>
        <v>1.1992620940263101E-2</v>
      </c>
      <c r="CD61" s="391">
        <f t="shared" ref="CD61:CL61" si="101">CD59/SQRT(CD60)</f>
        <v>0.31709902431157955</v>
      </c>
      <c r="CE61" s="391">
        <f t="shared" si="101"/>
        <v>0.11518584020024837</v>
      </c>
      <c r="CF61" s="391">
        <f t="shared" si="101"/>
        <v>8.1238549192538534E-3</v>
      </c>
      <c r="CG61" s="392">
        <f t="shared" si="101"/>
        <v>8.8970077657976834E-2</v>
      </c>
      <c r="CH61" s="393">
        <f t="shared" si="101"/>
        <v>223.26112663052982</v>
      </c>
      <c r="CI61" s="394">
        <f t="shared" si="101"/>
        <v>420.33065521821175</v>
      </c>
      <c r="CJ61" s="395"/>
      <c r="CK61" s="423">
        <f t="shared" si="101"/>
        <v>219.33790889017331</v>
      </c>
      <c r="CL61" s="510">
        <f t="shared" si="101"/>
        <v>159.10542973670206</v>
      </c>
      <c r="CR61" s="1023"/>
      <c r="CS61" s="1023"/>
      <c r="CT61" s="1023"/>
      <c r="CU61" s="1023"/>
      <c r="CV61" s="1023"/>
      <c r="CW61" s="1023"/>
      <c r="CX61" s="1023"/>
      <c r="CY61" s="1023"/>
      <c r="DD61" s="296" t="s">
        <v>356</v>
      </c>
      <c r="DE61" s="519">
        <f>MIN(DE$37:DE56)</f>
        <v>0</v>
      </c>
      <c r="DF61" s="519">
        <f>MIN(DF$37:DF56)</f>
        <v>6.6096019050919996E-2</v>
      </c>
      <c r="DG61" s="519">
        <f>MIN(DG$37:DG56)</f>
        <v>0.10722613010455148</v>
      </c>
    </row>
    <row r="62" spans="1:120" x14ac:dyDescent="0.2">
      <c r="A62" s="370" t="s">
        <v>357</v>
      </c>
      <c r="B62" s="520">
        <f t="shared" ref="B62:G62" si="102">SUM(B$5:B$31)/SUM($B$5:$F$31)</f>
        <v>0.25308496415193205</v>
      </c>
      <c r="C62" s="520">
        <f t="shared" si="102"/>
        <v>4.6316421161525616E-2</v>
      </c>
      <c r="D62" s="520">
        <f>SUM(D$5:D$31)/SUM($B$5:$F$31)</f>
        <v>0.28140992208024368</v>
      </c>
      <c r="E62" s="520">
        <f t="shared" si="102"/>
        <v>0.3125104373678389</v>
      </c>
      <c r="F62" s="520">
        <f t="shared" si="102"/>
        <v>0.10667825523845972</v>
      </c>
      <c r="G62" s="520">
        <f t="shared" si="102"/>
        <v>1</v>
      </c>
      <c r="H62" s="476"/>
      <c r="I62" s="476"/>
      <c r="J62" s="370"/>
      <c r="N62" s="1021"/>
      <c r="O62" s="1021"/>
      <c r="P62" s="1021"/>
      <c r="Q62" s="291"/>
      <c r="S62" s="407">
        <v>1994</v>
      </c>
      <c r="T62" s="409">
        <f t="shared" si="98"/>
        <v>24</v>
      </c>
      <c r="V62" s="291">
        <f>J40/E40</f>
        <v>2.4438229301341239</v>
      </c>
      <c r="BQ62" s="294"/>
      <c r="BR62" s="294"/>
      <c r="BS62" s="294"/>
      <c r="BT62" s="294"/>
      <c r="BW62" s="294"/>
      <c r="BX62" s="294"/>
      <c r="BY62" s="294"/>
      <c r="BZ62" s="294"/>
      <c r="CA62" s="294"/>
      <c r="CB62" s="338" t="s">
        <v>358</v>
      </c>
      <c r="CC62" s="410">
        <f>CC$58-1.96*CC$61</f>
        <v>0.24982714424639835</v>
      </c>
      <c r="CD62" s="410">
        <f t="shared" ref="CD62:CL62" si="103">CD58-1.96*CD61</f>
        <v>0.63139977793839863</v>
      </c>
      <c r="CE62" s="410">
        <f t="shared" si="103"/>
        <v>0.80662184142130067</v>
      </c>
      <c r="CF62" s="410">
        <f t="shared" si="103"/>
        <v>6.4846282450320522E-2</v>
      </c>
      <c r="CG62" s="404">
        <f t="shared" si="103"/>
        <v>0.70276808204987662</v>
      </c>
      <c r="CH62" s="409">
        <f t="shared" si="103"/>
        <v>3024.1661900099884</v>
      </c>
      <c r="CI62" s="394">
        <f t="shared" si="103"/>
        <v>3386.4692002179572</v>
      </c>
      <c r="CJ62" s="395"/>
      <c r="CK62" s="423">
        <f t="shared" si="103"/>
        <v>1964.1163514525301</v>
      </c>
      <c r="CL62" s="510">
        <f t="shared" si="103"/>
        <v>1400.965028118055</v>
      </c>
      <c r="CR62" s="1023"/>
      <c r="CS62" s="1023"/>
      <c r="CT62" s="1023"/>
      <c r="CU62" s="1023"/>
      <c r="CV62" s="1023"/>
      <c r="CW62" s="1023"/>
      <c r="CX62" s="1023"/>
      <c r="CY62" s="1023"/>
      <c r="DD62" s="296" t="s">
        <v>359</v>
      </c>
      <c r="DE62" s="519">
        <f>MAX(DE$37:DE56)</f>
        <v>0</v>
      </c>
      <c r="DF62" s="519">
        <f>MAX(DF$37:DF56)</f>
        <v>0.59195498072200736</v>
      </c>
      <c r="DG62" s="519">
        <f>MAX(DG$37:DG56)</f>
        <v>0.59195498072200736</v>
      </c>
    </row>
    <row r="63" spans="1:120" x14ac:dyDescent="0.2">
      <c r="A63" s="370" t="s">
        <v>360</v>
      </c>
      <c r="B63" s="520">
        <f t="shared" ref="B63:G63" si="104">SUM(B$5:B$32)/SUM($B$5:$F$32)</f>
        <v>0.24786295776947201</v>
      </c>
      <c r="C63" s="520">
        <f t="shared" si="104"/>
        <v>4.5360755352896236E-2</v>
      </c>
      <c r="D63" s="520">
        <f t="shared" si="104"/>
        <v>0.28313630818469826</v>
      </c>
      <c r="E63" s="532">
        <f>SUM(E$5:E$32)/SUM($B$5:$F$32)</f>
        <v>0.3191628598656851</v>
      </c>
      <c r="F63" s="520">
        <f t="shared" si="104"/>
        <v>0.10447711882724837</v>
      </c>
      <c r="G63" s="520">
        <f t="shared" si="104"/>
        <v>1</v>
      </c>
      <c r="H63" s="476"/>
      <c r="I63" s="476"/>
      <c r="J63" s="370"/>
      <c r="N63" s="1021"/>
      <c r="O63" s="1021"/>
      <c r="P63" s="1021"/>
      <c r="Q63" s="291"/>
      <c r="S63" s="407">
        <v>1995</v>
      </c>
      <c r="T63" s="409">
        <f t="shared" si="98"/>
        <v>24</v>
      </c>
      <c r="BQ63" s="294"/>
      <c r="BR63" s="294"/>
      <c r="BS63" s="294"/>
      <c r="BT63" s="294"/>
      <c r="BW63" s="294"/>
      <c r="BX63" s="294"/>
      <c r="BY63" s="294"/>
      <c r="BZ63" s="294"/>
      <c r="CA63" s="294"/>
      <c r="CB63" s="338" t="s">
        <v>361</v>
      </c>
      <c r="CC63" s="410">
        <f>CC$58+1.96*CC$61</f>
        <v>0.29683821833222973</v>
      </c>
      <c r="CD63" s="410">
        <f t="shared" ref="CD63:CL63" si="105">CD$58+1.96*CD$61</f>
        <v>1.8744279532397905</v>
      </c>
      <c r="CE63" s="410">
        <f t="shared" si="105"/>
        <v>1.2581503350062742</v>
      </c>
      <c r="CF63" s="410">
        <f t="shared" si="105"/>
        <v>9.669179373379562E-2</v>
      </c>
      <c r="CG63" s="404">
        <f t="shared" si="105"/>
        <v>1.0515307864691459</v>
      </c>
      <c r="CH63" s="409">
        <f t="shared" si="105"/>
        <v>3899.3498064016653</v>
      </c>
      <c r="CI63" s="394">
        <f t="shared" si="105"/>
        <v>5034.1653686733471</v>
      </c>
      <c r="CJ63" s="395"/>
      <c r="CK63" s="423">
        <f t="shared" si="105"/>
        <v>2823.9209543020092</v>
      </c>
      <c r="CL63" s="510">
        <f t="shared" si="105"/>
        <v>2024.6583126859271</v>
      </c>
    </row>
    <row r="64" spans="1:120" x14ac:dyDescent="0.2">
      <c r="A64" s="370" t="s">
        <v>362</v>
      </c>
      <c r="B64" s="520">
        <f t="shared" ref="B64:G64" si="106">SUM(B$5:B$33)/SUM($B$5:$F$33)</f>
        <v>0.24166483175461992</v>
      </c>
      <c r="C64" s="520">
        <f t="shared" si="106"/>
        <v>4.4226452428666567E-2</v>
      </c>
      <c r="D64" s="520">
        <f t="shared" si="106"/>
        <v>0.28828940669305381</v>
      </c>
      <c r="E64" s="532">
        <f t="shared" si="106"/>
        <v>0.32395477248290422</v>
      </c>
      <c r="F64" s="520">
        <f t="shared" si="106"/>
        <v>0.10186453664075548</v>
      </c>
      <c r="G64" s="520">
        <f t="shared" si="106"/>
        <v>1</v>
      </c>
      <c r="H64" s="476"/>
      <c r="I64" s="476"/>
      <c r="N64" s="1021"/>
      <c r="O64" s="1021"/>
      <c r="P64" s="1021"/>
      <c r="Q64" s="291"/>
      <c r="S64" s="407">
        <v>1996</v>
      </c>
      <c r="T64" s="409">
        <f t="shared" si="98"/>
        <v>12</v>
      </c>
      <c r="AN64" s="1024" t="s">
        <v>249</v>
      </c>
      <c r="AO64" s="1025"/>
      <c r="AP64" s="1025"/>
      <c r="AQ64" s="1026"/>
      <c r="AS64" s="1024" t="s">
        <v>250</v>
      </c>
      <c r="AT64" s="1025"/>
      <c r="AU64" s="1025"/>
      <c r="AV64" s="1025"/>
      <c r="BQ64" s="294"/>
      <c r="BR64" s="294"/>
      <c r="BS64" s="294"/>
      <c r="BT64" s="294"/>
      <c r="BW64" s="294"/>
      <c r="BX64" s="294"/>
      <c r="BY64" s="294"/>
      <c r="BZ64" s="294"/>
      <c r="CA64" s="294"/>
      <c r="CB64" s="294"/>
    </row>
    <row r="65" spans="1:87" x14ac:dyDescent="0.2">
      <c r="A65" s="370" t="s">
        <v>363</v>
      </c>
      <c r="B65" s="520">
        <f t="shared" ref="B65:G65" si="107">SUM(B$5:B$34)/SUM($B$5:$F$34)</f>
        <v>0.23595396993940712</v>
      </c>
      <c r="C65" s="520">
        <f t="shared" si="107"/>
        <v>4.3181322458519938E-2</v>
      </c>
      <c r="D65" s="520">
        <f t="shared" si="107"/>
        <v>0.28951915076913193</v>
      </c>
      <c r="E65" s="532">
        <f t="shared" si="107"/>
        <v>0.33188821485266767</v>
      </c>
      <c r="F65" s="520">
        <f t="shared" si="107"/>
        <v>9.9457341980273353E-2</v>
      </c>
      <c r="G65" s="520">
        <f t="shared" si="107"/>
        <v>1</v>
      </c>
      <c r="H65" s="476"/>
      <c r="I65" s="476"/>
      <c r="N65" s="1021"/>
      <c r="O65" s="1021"/>
      <c r="P65" s="1021"/>
      <c r="Q65" s="291"/>
      <c r="S65" s="407">
        <v>1997</v>
      </c>
      <c r="T65" s="409">
        <f t="shared" si="98"/>
        <v>12</v>
      </c>
      <c r="V65" s="533"/>
      <c r="AC65" s="534" t="s">
        <v>36</v>
      </c>
      <c r="AD65" s="296"/>
      <c r="AE65" s="296"/>
      <c r="AF65" s="296"/>
      <c r="AG65" s="296"/>
      <c r="AH65" s="296"/>
      <c r="AI65" s="296"/>
      <c r="AJ65" s="296"/>
      <c r="AK65" s="296"/>
      <c r="AL65" s="296"/>
      <c r="AM65" s="296"/>
      <c r="AN65" s="534" t="s">
        <v>282</v>
      </c>
      <c r="AO65" s="534" t="s">
        <v>283</v>
      </c>
      <c r="AP65" s="534" t="s">
        <v>284</v>
      </c>
      <c r="AQ65" s="534" t="s">
        <v>285</v>
      </c>
      <c r="AS65" s="534" t="s">
        <v>282</v>
      </c>
      <c r="AT65" s="534" t="s">
        <v>364</v>
      </c>
      <c r="AU65" s="534" t="s">
        <v>284</v>
      </c>
      <c r="AV65" s="534" t="s">
        <v>285</v>
      </c>
      <c r="BQ65" s="294"/>
      <c r="BR65" s="294"/>
      <c r="BS65" s="294"/>
      <c r="BT65" s="294"/>
      <c r="BW65" s="294"/>
      <c r="BX65" s="294"/>
      <c r="BY65" s="294"/>
      <c r="BZ65" s="294"/>
      <c r="CA65" s="294"/>
      <c r="CB65" s="294"/>
    </row>
    <row r="66" spans="1:87" x14ac:dyDescent="0.2">
      <c r="A66" s="370" t="s">
        <v>365</v>
      </c>
      <c r="B66" s="520">
        <f t="shared" ref="B66:G66" si="108">SUM(B$5:B$35)/SUM($B$5:$F$35)</f>
        <v>0.22539106161784073</v>
      </c>
      <c r="C66" s="520">
        <f t="shared" si="108"/>
        <v>4.1248232074618051E-2</v>
      </c>
      <c r="D66" s="520">
        <f t="shared" si="108"/>
        <v>0.29377665907190048</v>
      </c>
      <c r="E66" s="532">
        <f t="shared" si="108"/>
        <v>0.34457909393742298</v>
      </c>
      <c r="F66" s="520">
        <f t="shared" si="108"/>
        <v>9.5004953298217745E-2</v>
      </c>
      <c r="G66" s="520">
        <f t="shared" si="108"/>
        <v>1</v>
      </c>
      <c r="H66" s="476"/>
      <c r="I66" s="476"/>
      <c r="N66" s="1021"/>
      <c r="O66" s="1021"/>
      <c r="P66" s="1021"/>
      <c r="Q66" s="291"/>
      <c r="S66" s="407">
        <v>1998</v>
      </c>
      <c r="T66" s="409">
        <f t="shared" si="98"/>
        <v>8</v>
      </c>
      <c r="AA66" s="439">
        <v>1211.9481382597005</v>
      </c>
      <c r="AB66" s="535">
        <v>-1062.0518617402995</v>
      </c>
      <c r="AC66" s="534">
        <v>1996</v>
      </c>
      <c r="AD66" s="296"/>
      <c r="AE66" s="296"/>
      <c r="AF66" s="296"/>
      <c r="AG66" s="296"/>
      <c r="AH66" s="296"/>
      <c r="AI66" s="296"/>
      <c r="AJ66" s="296"/>
      <c r="AK66" s="296"/>
      <c r="AL66" s="296"/>
      <c r="AM66" s="296"/>
      <c r="AN66" s="536">
        <f>AN24</f>
        <v>100</v>
      </c>
      <c r="AO66" s="536">
        <f>AO24</f>
        <v>334</v>
      </c>
      <c r="AP66" s="537">
        <f>AN66/AO66</f>
        <v>0.29940119760479039</v>
      </c>
      <c r="AQ66" s="365">
        <f>1/AP66</f>
        <v>3.3400000000000003</v>
      </c>
      <c r="AS66" s="534"/>
      <c r="AT66" s="534"/>
      <c r="AU66" s="534"/>
      <c r="AV66" s="534"/>
      <c r="BQ66" s="294"/>
      <c r="BR66" s="294"/>
      <c r="BS66" s="294"/>
      <c r="BT66" s="294"/>
      <c r="BW66" s="294"/>
      <c r="BX66" s="294"/>
      <c r="BY66" s="294"/>
      <c r="BZ66" s="294"/>
      <c r="CA66" s="294"/>
      <c r="CB66" s="294"/>
      <c r="CC66" s="410">
        <f>CC2/$CG2</f>
        <v>0.375</v>
      </c>
      <c r="CD66" s="410">
        <f>CD2/$CG2</f>
        <v>0.1875</v>
      </c>
      <c r="CE66" s="410">
        <f>CE2/$CG2</f>
        <v>0.16666666666666666</v>
      </c>
      <c r="CF66" s="410">
        <f>CF2/$CG2</f>
        <v>0.27083333333333331</v>
      </c>
      <c r="CG66" s="410">
        <f>CG2/$CG2</f>
        <v>1</v>
      </c>
      <c r="CI66" s="292">
        <f>CI53/CK53</f>
        <v>1.2658198975778598</v>
      </c>
    </row>
    <row r="67" spans="1:87" x14ac:dyDescent="0.2">
      <c r="A67" s="370" t="s">
        <v>366</v>
      </c>
      <c r="B67" s="520">
        <f t="shared" ref="B67:G67" si="109">SUM(B$5:B$36)/SUM($B$5:$F$36)</f>
        <v>0.22218644876005614</v>
      </c>
      <c r="C67" s="520">
        <f t="shared" si="109"/>
        <v>4.0661764208863339E-2</v>
      </c>
      <c r="D67" s="520">
        <f t="shared" si="109"/>
        <v>0.30029471018784115</v>
      </c>
      <c r="E67" s="532">
        <f t="shared" si="109"/>
        <v>0.343202905127518</v>
      </c>
      <c r="F67" s="520">
        <f t="shared" si="109"/>
        <v>9.3654171715721338E-2</v>
      </c>
      <c r="G67" s="520">
        <f t="shared" si="109"/>
        <v>1</v>
      </c>
      <c r="H67" s="476"/>
      <c r="I67" s="476"/>
      <c r="N67" s="1021"/>
      <c r="O67" s="1021"/>
      <c r="P67" s="1021"/>
      <c r="Q67" s="291"/>
      <c r="S67" s="407">
        <v>1999</v>
      </c>
      <c r="T67" s="409">
        <f t="shared" si="98"/>
        <v>21</v>
      </c>
      <c r="AA67" s="439">
        <v>1074.7292043369707</v>
      </c>
      <c r="AB67" s="535">
        <v>104.72920433697072</v>
      </c>
      <c r="AC67" s="534">
        <v>2001</v>
      </c>
      <c r="AD67" s="296"/>
      <c r="AE67" s="296"/>
      <c r="AF67" s="296"/>
      <c r="AG67" s="296"/>
      <c r="AH67" s="296"/>
      <c r="AI67" s="296"/>
      <c r="AJ67" s="296"/>
      <c r="AK67" s="296"/>
      <c r="AL67" s="296"/>
      <c r="AM67" s="296"/>
      <c r="AN67" s="536">
        <f>AN29</f>
        <v>428.93317773491805</v>
      </c>
      <c r="AO67" s="536">
        <f>AO29</f>
        <v>1225</v>
      </c>
      <c r="AP67" s="537">
        <f>AN67/AO67</f>
        <v>0.35014953284483108</v>
      </c>
      <c r="AQ67" s="365">
        <f>1/AP67</f>
        <v>2.8559227021535123</v>
      </c>
      <c r="AS67" s="536">
        <f t="shared" ref="AS67:AT71" si="110">AS30</f>
        <v>600</v>
      </c>
      <c r="AT67" s="536">
        <f t="shared" si="110"/>
        <v>1175.6410256410256</v>
      </c>
      <c r="AU67" s="537">
        <f>AS67/AT67</f>
        <v>0.51035986913849507</v>
      </c>
      <c r="AV67" s="365">
        <f>1/AU67</f>
        <v>1.9594017094017095</v>
      </c>
      <c r="AY67" s="521">
        <f>AW67/AV67</f>
        <v>0</v>
      </c>
      <c r="BQ67" s="294"/>
      <c r="BR67" s="294"/>
      <c r="BS67" s="294"/>
      <c r="BT67" s="294"/>
      <c r="BW67" s="294"/>
      <c r="BX67" s="294"/>
      <c r="BY67" s="294"/>
      <c r="BZ67" s="294"/>
      <c r="CA67" s="294"/>
      <c r="CB67" s="294"/>
    </row>
    <row r="68" spans="1:87" x14ac:dyDescent="0.2">
      <c r="A68" s="370" t="s">
        <v>367</v>
      </c>
      <c r="B68" s="520">
        <f t="shared" ref="B68:G68" si="111">SUM(B$5:B$37)/SUM($B$5:$F$37)</f>
        <v>0.21654111302907589</v>
      </c>
      <c r="C68" s="520">
        <f t="shared" si="111"/>
        <v>3.9628625996996576E-2</v>
      </c>
      <c r="D68" s="520">
        <f t="shared" si="111"/>
        <v>0.31063358401036922</v>
      </c>
      <c r="E68" s="532">
        <f t="shared" si="111"/>
        <v>0.34192207990188384</v>
      </c>
      <c r="F68" s="520">
        <f t="shared" si="111"/>
        <v>9.1274597061674428E-2</v>
      </c>
      <c r="G68" s="520">
        <f t="shared" si="111"/>
        <v>1</v>
      </c>
      <c r="H68" s="476"/>
      <c r="I68" s="476"/>
      <c r="N68" s="1021"/>
      <c r="O68" s="1021"/>
      <c r="P68" s="1021"/>
      <c r="Q68" s="291"/>
      <c r="S68" s="407">
        <v>2000</v>
      </c>
      <c r="T68" s="409">
        <f t="shared" si="98"/>
        <v>12</v>
      </c>
      <c r="AA68" s="439">
        <v>1435.8557367774556</v>
      </c>
      <c r="AB68" s="535">
        <v>1175.8557367774556</v>
      </c>
      <c r="AC68" s="534">
        <v>2002</v>
      </c>
      <c r="AD68" s="296"/>
      <c r="AE68" s="296"/>
      <c r="AF68" s="296"/>
      <c r="AG68" s="296"/>
      <c r="AH68" s="296"/>
      <c r="AI68" s="296"/>
      <c r="AJ68" s="296"/>
      <c r="AK68" s="296"/>
      <c r="AL68" s="296"/>
      <c r="AM68" s="296"/>
      <c r="AN68" s="536">
        <f>AN30</f>
        <v>500</v>
      </c>
      <c r="AO68" s="536">
        <f>AO30</f>
        <v>1010</v>
      </c>
      <c r="AP68" s="537">
        <f>AN68/AO68</f>
        <v>0.49504950495049505</v>
      </c>
      <c r="AQ68" s="365">
        <f>1/AP68</f>
        <v>2.02</v>
      </c>
      <c r="AS68" s="536">
        <f t="shared" si="110"/>
        <v>450</v>
      </c>
      <c r="AT68" s="536">
        <f t="shared" si="110"/>
        <v>771.24444444444441</v>
      </c>
      <c r="AU68" s="537">
        <f>AS68/AT68</f>
        <v>0.58347259839797161</v>
      </c>
      <c r="AV68" s="365">
        <f>1/AU68</f>
        <v>1.7138765432098764</v>
      </c>
      <c r="BQ68" s="294"/>
      <c r="BR68" s="294"/>
      <c r="BS68" s="294"/>
      <c r="BT68" s="294"/>
      <c r="BW68" s="294"/>
      <c r="BX68" s="294"/>
      <c r="BY68" s="294"/>
      <c r="BZ68" s="294"/>
      <c r="CA68" s="294"/>
      <c r="CB68" s="294"/>
    </row>
    <row r="69" spans="1:87" x14ac:dyDescent="0.2">
      <c r="A69" s="370" t="s">
        <v>368</v>
      </c>
      <c r="B69" s="520">
        <f t="shared" ref="B69:G69" si="112">SUM(B$5:B$38)/SUM($B$5:$F$38)</f>
        <v>0.21506425510602847</v>
      </c>
      <c r="C69" s="520">
        <f t="shared" si="112"/>
        <v>3.9358350068954738E-2</v>
      </c>
      <c r="D69" s="520">
        <f t="shared" si="112"/>
        <v>0.30851499478131722</v>
      </c>
      <c r="E69" s="532">
        <f t="shared" si="112"/>
        <v>0.3464103157693561</v>
      </c>
      <c r="F69" s="520">
        <f t="shared" si="112"/>
        <v>9.0652084274343403E-2</v>
      </c>
      <c r="G69" s="520">
        <f t="shared" si="112"/>
        <v>1</v>
      </c>
      <c r="H69" s="476"/>
      <c r="I69" s="476"/>
      <c r="N69" s="1021"/>
      <c r="O69" s="1021"/>
      <c r="P69" s="1021"/>
      <c r="Q69" s="291"/>
      <c r="S69" s="407">
        <v>2001</v>
      </c>
      <c r="T69" s="409">
        <f t="shared" si="98"/>
        <v>2</v>
      </c>
      <c r="AA69" s="439">
        <v>1006.3473003014697</v>
      </c>
      <c r="AB69" s="535">
        <v>766.34730030146966</v>
      </c>
      <c r="AC69" s="534">
        <v>2003</v>
      </c>
      <c r="AD69" s="296"/>
      <c r="AE69" s="296"/>
      <c r="AF69" s="296"/>
      <c r="AG69" s="296"/>
      <c r="AH69" s="296"/>
      <c r="AI69" s="296"/>
      <c r="AJ69" s="296"/>
      <c r="AK69" s="296"/>
      <c r="AL69" s="296"/>
      <c r="AM69" s="296"/>
      <c r="AN69" s="534"/>
      <c r="AO69" s="534"/>
      <c r="AP69" s="534"/>
      <c r="AQ69" s="365"/>
      <c r="AS69" s="536">
        <f t="shared" si="110"/>
        <v>400</v>
      </c>
      <c r="AT69" s="536">
        <f t="shared" si="110"/>
        <v>813.43478260869563</v>
      </c>
      <c r="AU69" s="537">
        <f>AS69/AT69</f>
        <v>0.49174194238067243</v>
      </c>
      <c r="AV69" s="365">
        <f>1/AU69</f>
        <v>2.0335869565217388</v>
      </c>
      <c r="BQ69" s="294"/>
      <c r="BR69" s="294"/>
      <c r="BS69" s="294"/>
      <c r="BT69" s="294"/>
      <c r="BW69" s="294"/>
      <c r="BX69" s="294"/>
      <c r="BY69" s="294"/>
      <c r="BZ69" s="294"/>
      <c r="CA69" s="294"/>
      <c r="CB69" s="294"/>
    </row>
    <row r="70" spans="1:87" x14ac:dyDescent="0.2">
      <c r="A70" s="370" t="s">
        <v>369</v>
      </c>
      <c r="B70" s="520">
        <f t="shared" ref="B70:G70" si="113">SUM(B$5:B$39)/SUM($B$5:$F$39)</f>
        <v>0.21506425510602847</v>
      </c>
      <c r="C70" s="520">
        <f t="shared" si="113"/>
        <v>3.9358350068954738E-2</v>
      </c>
      <c r="D70" s="520">
        <f t="shared" si="113"/>
        <v>0.30851499478131722</v>
      </c>
      <c r="E70" s="532">
        <f t="shared" si="113"/>
        <v>0.3464103157693561</v>
      </c>
      <c r="F70" s="520">
        <f t="shared" si="113"/>
        <v>9.0652084274343403E-2</v>
      </c>
      <c r="G70" s="520">
        <f t="shared" si="113"/>
        <v>1</v>
      </c>
      <c r="H70" s="476"/>
      <c r="I70" s="476"/>
      <c r="N70" s="1021"/>
      <c r="O70" s="1021"/>
      <c r="P70" s="1021"/>
      <c r="Q70" s="291"/>
      <c r="S70" s="407">
        <v>2002</v>
      </c>
      <c r="T70" s="409">
        <f t="shared" si="98"/>
        <v>4</v>
      </c>
      <c r="V70" s="538">
        <f>1-B70</f>
        <v>0.78493574489397155</v>
      </c>
      <c r="AA70" s="439">
        <v>525.57008259558279</v>
      </c>
      <c r="AB70" s="535">
        <v>525.57008259558279</v>
      </c>
      <c r="AC70" s="534">
        <v>2004</v>
      </c>
      <c r="AD70" s="296"/>
      <c r="AE70" s="296"/>
      <c r="AF70" s="296"/>
      <c r="AG70" s="296"/>
      <c r="AH70" s="296"/>
      <c r="AI70" s="296"/>
      <c r="AJ70" s="296"/>
      <c r="AK70" s="296"/>
      <c r="AL70" s="296"/>
      <c r="AM70" s="296"/>
      <c r="AN70" s="534"/>
      <c r="AO70" s="534"/>
      <c r="AP70" s="534"/>
      <c r="AQ70" s="365"/>
      <c r="AS70" s="536">
        <f t="shared" si="110"/>
        <v>400</v>
      </c>
      <c r="AT70" s="536">
        <f t="shared" si="110"/>
        <v>994</v>
      </c>
      <c r="AU70" s="537">
        <f>AS70/AT70</f>
        <v>0.4024144869215292</v>
      </c>
      <c r="AV70" s="365">
        <f>1/AU70</f>
        <v>2.4849999999999999</v>
      </c>
      <c r="BQ70" s="294"/>
      <c r="BR70" s="294"/>
      <c r="BS70" s="294"/>
      <c r="BT70" s="294"/>
      <c r="BW70" s="294"/>
      <c r="BX70" s="294"/>
      <c r="BY70" s="294"/>
      <c r="BZ70" s="294"/>
      <c r="CA70" s="294"/>
      <c r="CB70" s="294"/>
    </row>
    <row r="71" spans="1:87" ht="13.5" thickBot="1" x14ac:dyDescent="0.25">
      <c r="A71" s="370" t="s">
        <v>370</v>
      </c>
      <c r="B71" s="539">
        <f t="shared" ref="B71:G71" si="114">SUM(B$5:B$40)/SUM($B$5:$F$40)</f>
        <v>0.21292229434773119</v>
      </c>
      <c r="C71" s="539">
        <f t="shared" si="114"/>
        <v>3.8966355400582409E-2</v>
      </c>
      <c r="D71" s="539">
        <f t="shared" si="114"/>
        <v>0.30544229908001586</v>
      </c>
      <c r="E71" s="540">
        <f t="shared" si="114"/>
        <v>0.35291982826346985</v>
      </c>
      <c r="F71" s="539">
        <f t="shared" si="114"/>
        <v>8.9749222908200643E-2</v>
      </c>
      <c r="G71" s="539">
        <f t="shared" si="114"/>
        <v>1</v>
      </c>
      <c r="H71" s="476"/>
      <c r="I71" s="476"/>
      <c r="N71" s="1021"/>
      <c r="O71" s="1021"/>
      <c r="P71" s="1021"/>
      <c r="Q71" s="291"/>
      <c r="S71" s="407">
        <v>2003</v>
      </c>
      <c r="T71" s="409">
        <f t="shared" si="98"/>
        <v>6</v>
      </c>
      <c r="AA71" s="439">
        <v>475.64344194223304</v>
      </c>
      <c r="AB71" s="535">
        <v>121.64344194223304</v>
      </c>
      <c r="AC71" s="534">
        <v>2005</v>
      </c>
      <c r="AD71" s="296"/>
      <c r="AE71" s="296"/>
      <c r="AF71" s="296"/>
      <c r="AG71" s="296"/>
      <c r="AH71" s="296"/>
      <c r="AI71" s="296"/>
      <c r="AJ71" s="296"/>
      <c r="AK71" s="296"/>
      <c r="AL71" s="296"/>
      <c r="AM71" s="296"/>
      <c r="AN71" s="534"/>
      <c r="AO71" s="534"/>
      <c r="AP71" s="534"/>
      <c r="AQ71" s="365"/>
      <c r="AS71" s="536">
        <f t="shared" si="110"/>
        <v>500</v>
      </c>
      <c r="AT71" s="536">
        <f t="shared" si="110"/>
        <v>1729</v>
      </c>
      <c r="AU71" s="537">
        <f>AS71/AT71</f>
        <v>0.2891844997108155</v>
      </c>
      <c r="AV71" s="365">
        <f>1/AU71</f>
        <v>3.4580000000000002</v>
      </c>
      <c r="BQ71" s="294"/>
      <c r="BR71" s="294"/>
      <c r="BS71" s="294"/>
      <c r="BT71" s="294"/>
      <c r="BW71" s="294"/>
      <c r="BX71" s="294"/>
      <c r="BY71" s="294"/>
      <c r="BZ71" s="294"/>
      <c r="CA71" s="294"/>
      <c r="CB71" s="294"/>
    </row>
    <row r="72" spans="1:87" ht="13.5" thickBot="1" x14ac:dyDescent="0.25">
      <c r="A72" s="541" t="s">
        <v>371</v>
      </c>
      <c r="B72" s="542">
        <f>SUM(B$5:B$28)/SUM($B$5:$F$41)</f>
        <v>0.21163616794389339</v>
      </c>
      <c r="C72" s="542">
        <f>SUM(C$5:C$41)/SUM($B$5:$F$41)</f>
        <v>3.8730984751888527E-2</v>
      </c>
      <c r="D72" s="542">
        <f>SUM(D$5:D$41)/SUM($B$5:$F$41)</f>
        <v>0.30359731893409386</v>
      </c>
      <c r="E72" s="543">
        <f>SUM(E$5:E$41)/SUM($B$5:$F$41)</f>
        <v>0.35682842269609932</v>
      </c>
      <c r="F72" s="542">
        <f>SUM(F$5:F$41)/SUM($B$5:$F$41)</f>
        <v>8.9207105674024831E-2</v>
      </c>
      <c r="G72" s="544">
        <f>SUM(G$5:G$41)/SUM($B$5:$F$41)</f>
        <v>1</v>
      </c>
      <c r="H72" s="476"/>
      <c r="I72" s="476"/>
      <c r="J72" s="403">
        <f>SUM(B72,D72,E72)</f>
        <v>0.87206190957408669</v>
      </c>
      <c r="N72" s="1022" t="s">
        <v>372</v>
      </c>
      <c r="O72" s="1022"/>
      <c r="P72" s="1022"/>
      <c r="Q72" s="291"/>
      <c r="S72" s="407">
        <v>2004</v>
      </c>
      <c r="T72" s="409">
        <f t="shared" si="98"/>
        <v>8</v>
      </c>
      <c r="AA72" s="439">
        <v>438.58782494861407</v>
      </c>
      <c r="AB72" s="535">
        <v>222.58782494861407</v>
      </c>
      <c r="AC72" s="534">
        <v>2006</v>
      </c>
      <c r="AD72" s="296"/>
      <c r="AE72" s="296"/>
      <c r="AF72" s="296"/>
      <c r="AG72" s="296"/>
      <c r="AH72" s="296"/>
      <c r="AI72" s="296"/>
      <c r="AJ72" s="296"/>
      <c r="AK72" s="296"/>
      <c r="AL72" s="296"/>
      <c r="AM72" s="296"/>
      <c r="AN72" s="534"/>
      <c r="AO72" s="534"/>
      <c r="AP72" s="534"/>
      <c r="AQ72" s="365"/>
      <c r="AS72" s="534"/>
      <c r="AT72" s="534"/>
      <c r="AU72" s="534"/>
      <c r="AV72" s="534"/>
      <c r="BQ72" s="294"/>
      <c r="BR72" s="294"/>
      <c r="BS72" s="294"/>
      <c r="BT72" s="294"/>
      <c r="BW72" s="294"/>
      <c r="BX72" s="294"/>
      <c r="BY72" s="294"/>
      <c r="BZ72" s="294"/>
      <c r="CA72" s="294"/>
      <c r="CB72" s="294"/>
    </row>
    <row r="73" spans="1:87" ht="13.5" thickBot="1" x14ac:dyDescent="0.25">
      <c r="A73" s="290" t="s">
        <v>373</v>
      </c>
      <c r="B73" s="545">
        <f>SUM(B51:B53)/SUM($B51:$F53)</f>
        <v>0.34721503187221892</v>
      </c>
      <c r="C73" s="545">
        <f>SUM(C51:C53)/SUM($B51:$F53)</f>
        <v>6.392479526596935E-2</v>
      </c>
      <c r="D73" s="545">
        <f>SUM(D51:D53)/SUM($B51:$F53)</f>
        <v>0.53847239306393002</v>
      </c>
      <c r="E73" s="545">
        <f>SUM(E51:E53)/SUM($B51:$F53)</f>
        <v>5.038777979788172E-2</v>
      </c>
      <c r="F73" s="545">
        <f>SUM(F51:F53)/SUM($B51:$F53)</f>
        <v>0</v>
      </c>
      <c r="G73" s="544">
        <f>SUM(G$5:G$41)/SUM($B$5:$F$41)</f>
        <v>1</v>
      </c>
      <c r="H73" s="476"/>
      <c r="I73" s="476"/>
      <c r="S73" s="407">
        <v>2005</v>
      </c>
      <c r="T73" s="409">
        <f t="shared" si="98"/>
        <v>8</v>
      </c>
      <c r="AC73" s="296"/>
      <c r="AD73" s="296"/>
      <c r="AE73" s="296"/>
      <c r="AF73" s="296"/>
      <c r="AG73" s="296"/>
      <c r="AH73" s="296"/>
      <c r="AI73" s="296"/>
      <c r="AJ73" s="296"/>
      <c r="AK73" s="296"/>
      <c r="AL73" s="296"/>
      <c r="AM73" s="296"/>
      <c r="AN73" s="536">
        <f>SUM(AN66:AN72)</f>
        <v>1028.933177734918</v>
      </c>
      <c r="AO73" s="536">
        <f>SUM(AO66:AO72)</f>
        <v>2569</v>
      </c>
      <c r="AP73" s="537">
        <f>AN73/AO73</f>
        <v>0.40051894812569794</v>
      </c>
      <c r="AQ73" s="365">
        <f>1/AP73</f>
        <v>2.496760776686556</v>
      </c>
      <c r="AS73" s="536">
        <f>SUM(AS66:AS72)</f>
        <v>2350</v>
      </c>
      <c r="AT73" s="536">
        <f>SUM(AT66:AT72)</f>
        <v>5483.3202526941659</v>
      </c>
      <c r="AU73" s="537">
        <f>AS73/AT73</f>
        <v>0.42857245094253882</v>
      </c>
      <c r="AV73" s="546">
        <f>1/AU73</f>
        <v>2.3333277671039006</v>
      </c>
      <c r="BQ73" s="294"/>
      <c r="BR73" s="294"/>
      <c r="BS73" s="294"/>
      <c r="BT73" s="294"/>
      <c r="BW73" s="294"/>
      <c r="BX73" s="294"/>
      <c r="BY73" s="294"/>
      <c r="BZ73" s="294"/>
      <c r="CA73" s="294"/>
      <c r="CB73" s="294"/>
    </row>
    <row r="74" spans="1:87" ht="13.5" thickBot="1" x14ac:dyDescent="0.25">
      <c r="J74" s="403">
        <f>F72+C72</f>
        <v>0.12793809042591336</v>
      </c>
      <c r="S74" s="407">
        <v>2006</v>
      </c>
      <c r="T74" s="409">
        <f t="shared" si="98"/>
        <v>5</v>
      </c>
      <c r="AC74" s="547"/>
      <c r="AD74" s="547"/>
      <c r="AE74" s="547"/>
      <c r="AF74" s="547"/>
      <c r="AG74" s="547"/>
      <c r="AH74" s="547"/>
      <c r="AI74" s="547"/>
      <c r="AJ74" s="547"/>
      <c r="AK74" s="547"/>
      <c r="AL74" s="547"/>
      <c r="AM74" s="547"/>
      <c r="AN74" s="548"/>
      <c r="AO74" s="548"/>
      <c r="AP74" s="548"/>
      <c r="AQ74" s="549"/>
      <c r="AS74" s="548"/>
      <c r="AT74" s="548"/>
      <c r="AU74" s="548"/>
      <c r="AV74" s="548"/>
      <c r="BQ74" s="294"/>
      <c r="BR74" s="294"/>
      <c r="BS74" s="294"/>
      <c r="BT74" s="294"/>
      <c r="BW74" s="294"/>
      <c r="BX74" s="294"/>
      <c r="BY74" s="294"/>
      <c r="BZ74" s="294"/>
      <c r="CA74" s="294"/>
      <c r="CB74" s="294"/>
    </row>
    <row r="75" spans="1:87" ht="13.5" thickBot="1" x14ac:dyDescent="0.25">
      <c r="S75" s="407">
        <v>2007</v>
      </c>
      <c r="T75" s="409">
        <f t="shared" si="98"/>
        <v>1</v>
      </c>
      <c r="AC75" s="550" t="s">
        <v>374</v>
      </c>
      <c r="AD75" s="551"/>
      <c r="AE75" s="551"/>
      <c r="AF75" s="551"/>
      <c r="AG75" s="551"/>
      <c r="AH75" s="551"/>
      <c r="AI75" s="551"/>
      <c r="AJ75" s="551"/>
      <c r="AK75" s="551"/>
      <c r="AL75" s="551"/>
      <c r="AM75" s="551"/>
      <c r="AN75" s="551"/>
      <c r="AO75" s="551"/>
      <c r="AP75" s="551"/>
      <c r="AQ75" s="551"/>
      <c r="AR75" s="551"/>
      <c r="AS75" s="552">
        <f>SUM(AS73,AN73)</f>
        <v>3378.933177734918</v>
      </c>
      <c r="AT75" s="552">
        <f>SUM(AT73,AO73)</f>
        <v>8052.3202526941659</v>
      </c>
      <c r="AU75" s="553">
        <f>AS75/AT75</f>
        <v>0.4196223040935792</v>
      </c>
      <c r="AV75" s="554">
        <f>1/AU75</f>
        <v>2.3830954414115029</v>
      </c>
      <c r="BQ75" s="294"/>
      <c r="BR75" s="294"/>
      <c r="BS75" s="294"/>
      <c r="BT75" s="294"/>
      <c r="BW75" s="294"/>
      <c r="BX75" s="294"/>
      <c r="BY75" s="294"/>
      <c r="BZ75" s="294"/>
      <c r="CA75" s="294"/>
      <c r="CB75" s="294"/>
    </row>
    <row r="76" spans="1:87" x14ac:dyDescent="0.2">
      <c r="A76" s="296" t="s">
        <v>375</v>
      </c>
      <c r="B76" s="409">
        <f>AVERAGE(B14:B36,B48:B52)</f>
        <v>413.8417606358783</v>
      </c>
      <c r="C76" s="409">
        <f t="shared" ref="C76:H76" si="115">AVERAGE(C14:C36,C48:C52)</f>
        <v>77.5</v>
      </c>
      <c r="D76" s="409">
        <f t="shared" si="115"/>
        <v>459.49911775361034</v>
      </c>
      <c r="E76" s="409">
        <f t="shared" si="115"/>
        <v>327.74074074074076</v>
      </c>
      <c r="F76" s="409">
        <f t="shared" si="115"/>
        <v>70.9375</v>
      </c>
      <c r="G76" s="409">
        <f>SUM(B76:F76)</f>
        <v>1349.5191191302292</v>
      </c>
      <c r="H76" s="555">
        <f t="shared" si="115"/>
        <v>0.78687734693020184</v>
      </c>
      <c r="I76" s="409">
        <f>SUM(D76:H76)</f>
        <v>2208.4833549715108</v>
      </c>
      <c r="S76" s="407">
        <v>2008</v>
      </c>
      <c r="T76" s="409">
        <f t="shared" si="98"/>
        <v>23</v>
      </c>
      <c r="BQ76" s="294"/>
      <c r="BR76" s="294"/>
      <c r="BS76" s="294"/>
      <c r="BT76" s="294"/>
      <c r="BW76" s="294"/>
      <c r="BX76" s="294"/>
      <c r="BY76" s="294"/>
      <c r="BZ76" s="294"/>
      <c r="CA76" s="294"/>
      <c r="CB76" s="294"/>
    </row>
    <row r="77" spans="1:87" x14ac:dyDescent="0.2">
      <c r="S77" s="407">
        <v>2009</v>
      </c>
      <c r="T77" s="409">
        <f t="shared" si="98"/>
        <v>17</v>
      </c>
      <c r="BQ77" s="294"/>
      <c r="BR77" s="294"/>
      <c r="BS77" s="294"/>
      <c r="BT77" s="294"/>
      <c r="BW77" s="294"/>
      <c r="BX77" s="294"/>
      <c r="BY77" s="294"/>
      <c r="BZ77" s="294"/>
      <c r="CA77" s="294"/>
      <c r="CB77" s="294"/>
    </row>
    <row r="78" spans="1:87" x14ac:dyDescent="0.2">
      <c r="S78" s="407">
        <v>2010</v>
      </c>
      <c r="T78" s="409">
        <f t="shared" si="98"/>
        <v>18</v>
      </c>
      <c r="BQ78" s="294"/>
      <c r="BR78" s="294"/>
      <c r="BS78" s="294"/>
      <c r="BT78" s="294"/>
      <c r="BW78" s="294"/>
      <c r="BX78" s="294"/>
      <c r="BY78" s="294"/>
      <c r="BZ78" s="294"/>
      <c r="CA78" s="294"/>
      <c r="CB78" s="294"/>
    </row>
    <row r="79" spans="1:87" x14ac:dyDescent="0.2">
      <c r="S79" s="407">
        <v>2011</v>
      </c>
      <c r="T79" s="438"/>
      <c r="Y79" s="290">
        <v>2.3333277671039006</v>
      </c>
      <c r="BQ79" s="294"/>
      <c r="BR79" s="294"/>
      <c r="BS79" s="294"/>
      <c r="BT79" s="294"/>
      <c r="BW79" s="294"/>
      <c r="BX79" s="294"/>
      <c r="BY79" s="294"/>
      <c r="BZ79" s="294"/>
      <c r="CA79" s="294"/>
      <c r="CB79" s="294"/>
    </row>
    <row r="80" spans="1:87" x14ac:dyDescent="0.2">
      <c r="S80" s="407">
        <v>2012</v>
      </c>
      <c r="T80" s="409">
        <f>RANK(E40,E$20:E$47,0)</f>
        <v>11</v>
      </c>
      <c r="BQ80" s="294"/>
      <c r="BR80" s="294"/>
      <c r="BS80" s="294"/>
      <c r="BT80" s="294"/>
      <c r="BW80" s="294"/>
      <c r="BX80" s="294"/>
      <c r="BY80" s="294"/>
      <c r="BZ80" s="294"/>
      <c r="CA80" s="294"/>
      <c r="CB80" s="294"/>
    </row>
    <row r="81" spans="19:80" x14ac:dyDescent="0.2">
      <c r="S81" s="407">
        <v>2013</v>
      </c>
      <c r="T81" s="409">
        <f>RANK(E41,E$20:E$47,0)</f>
        <v>20</v>
      </c>
      <c r="BQ81" s="294"/>
      <c r="BR81" s="294"/>
      <c r="BS81" s="294"/>
      <c r="BT81" s="294"/>
      <c r="BW81" s="294"/>
      <c r="BX81" s="294"/>
      <c r="BY81" s="294"/>
      <c r="BZ81" s="294"/>
      <c r="CA81" s="294"/>
      <c r="CB81" s="294"/>
    </row>
    <row r="82" spans="19:80" x14ac:dyDescent="0.2">
      <c r="S82" s="407">
        <v>2014</v>
      </c>
      <c r="T82" s="409">
        <f>RANK(E42,E$20:E$47,0)</f>
        <v>3</v>
      </c>
      <c r="BQ82" s="294"/>
      <c r="BR82" s="294"/>
      <c r="BS82" s="294"/>
      <c r="BT82" s="294"/>
      <c r="BW82" s="294"/>
      <c r="BX82" s="294"/>
      <c r="BY82" s="294"/>
      <c r="BZ82" s="294"/>
      <c r="CA82" s="294"/>
      <c r="CB82" s="294"/>
    </row>
    <row r="83" spans="19:80" x14ac:dyDescent="0.2">
      <c r="S83" s="407">
        <v>2015</v>
      </c>
      <c r="T83" s="409">
        <f>RANK(E43,E$20:E$47,0)</f>
        <v>15</v>
      </c>
      <c r="BQ83" s="294"/>
      <c r="BR83" s="294"/>
      <c r="BS83" s="294"/>
      <c r="BT83" s="294"/>
      <c r="BW83" s="294"/>
      <c r="BX83" s="294"/>
      <c r="BY83" s="294"/>
      <c r="BZ83" s="294"/>
      <c r="CA83" s="294"/>
      <c r="CB83" s="294"/>
    </row>
    <row r="84" spans="19:80" x14ac:dyDescent="0.2">
      <c r="S84" s="407">
        <v>2016</v>
      </c>
      <c r="T84" s="438"/>
      <c r="BQ84" s="294"/>
      <c r="BR84" s="294"/>
      <c r="BS84" s="294"/>
      <c r="BT84" s="294"/>
      <c r="BW84" s="294"/>
      <c r="BX84" s="294"/>
      <c r="BY84" s="294"/>
      <c r="BZ84" s="294"/>
      <c r="CA84" s="294"/>
      <c r="CB84" s="294"/>
    </row>
    <row r="85" spans="19:80" x14ac:dyDescent="0.2">
      <c r="S85" s="407">
        <v>2017</v>
      </c>
      <c r="T85" s="438"/>
      <c r="BQ85" s="294"/>
      <c r="BR85" s="294"/>
      <c r="BS85" s="294"/>
      <c r="BT85" s="294"/>
      <c r="BW85" s="294"/>
      <c r="BX85" s="294"/>
      <c r="BY85" s="294"/>
      <c r="BZ85" s="294"/>
      <c r="CA85" s="294"/>
      <c r="CB85" s="294"/>
    </row>
    <row r="86" spans="19:80" x14ac:dyDescent="0.2">
      <c r="S86" s="407">
        <v>2018</v>
      </c>
      <c r="T86" s="409">
        <f>RANK(E46,E$20:E$47,0)</f>
        <v>19</v>
      </c>
      <c r="BQ86" s="294"/>
      <c r="BR86" s="294"/>
      <c r="BS86" s="294"/>
      <c r="BT86" s="294"/>
      <c r="BW86" s="294"/>
      <c r="BX86" s="294"/>
      <c r="BY86" s="294"/>
      <c r="BZ86" s="294"/>
      <c r="CA86" s="294"/>
      <c r="CB86" s="294"/>
    </row>
    <row r="87" spans="19:80" x14ac:dyDescent="0.2">
      <c r="S87" s="407">
        <v>2019</v>
      </c>
      <c r="T87" s="409">
        <f>RANK(E47,E$20:E$47,0)</f>
        <v>7</v>
      </c>
      <c r="BQ87" s="294"/>
      <c r="BR87" s="294"/>
      <c r="BS87" s="294"/>
      <c r="BT87" s="294"/>
      <c r="BW87" s="294"/>
      <c r="BX87" s="294"/>
      <c r="BY87" s="294"/>
      <c r="BZ87" s="294"/>
      <c r="CA87" s="294"/>
      <c r="CB87" s="294"/>
    </row>
    <row r="88" spans="19:80" x14ac:dyDescent="0.2">
      <c r="S88" s="360"/>
      <c r="BQ88" s="294"/>
      <c r="BR88" s="294"/>
      <c r="BS88" s="294"/>
      <c r="BT88" s="294"/>
      <c r="BW88" s="294"/>
      <c r="BX88" s="294"/>
      <c r="BY88" s="294"/>
      <c r="BZ88" s="294"/>
      <c r="CA88" s="294"/>
      <c r="CB88" s="294"/>
    </row>
    <row r="89" spans="19:80" x14ac:dyDescent="0.2">
      <c r="S89" s="360"/>
      <c r="T89" s="290">
        <f>COUNT(T60:T87)</f>
        <v>25</v>
      </c>
      <c r="BQ89" s="294"/>
      <c r="BR89" s="294"/>
      <c r="BS89" s="294"/>
      <c r="BT89" s="294"/>
      <c r="BW89" s="294"/>
      <c r="BX89" s="294"/>
      <c r="BY89" s="294"/>
      <c r="BZ89" s="294"/>
      <c r="CA89" s="294"/>
      <c r="CB89" s="294"/>
    </row>
    <row r="90" spans="19:80" x14ac:dyDescent="0.2">
      <c r="S90" s="360"/>
      <c r="BQ90" s="294"/>
      <c r="BR90" s="294"/>
      <c r="BS90" s="294"/>
      <c r="BT90" s="294"/>
      <c r="BW90" s="294"/>
      <c r="BX90" s="294"/>
      <c r="BY90" s="294"/>
      <c r="BZ90" s="294"/>
      <c r="CA90" s="294"/>
      <c r="CB90" s="294"/>
    </row>
    <row r="91" spans="19:80" x14ac:dyDescent="0.2">
      <c r="S91" s="360"/>
      <c r="BQ91" s="294"/>
      <c r="BR91" s="294"/>
      <c r="BS91" s="294"/>
      <c r="BT91" s="294"/>
      <c r="BW91" s="294"/>
      <c r="BX91" s="294"/>
      <c r="BY91" s="294"/>
      <c r="BZ91" s="294"/>
      <c r="CA91" s="294"/>
      <c r="CB91" s="294"/>
    </row>
    <row r="92" spans="19:80" x14ac:dyDescent="0.2">
      <c r="S92" s="360"/>
      <c r="BQ92" s="294"/>
      <c r="BR92" s="294"/>
      <c r="BS92" s="294"/>
      <c r="BT92" s="294"/>
      <c r="BW92" s="294"/>
      <c r="BX92" s="294"/>
      <c r="BY92" s="294"/>
      <c r="BZ92" s="294"/>
      <c r="CA92" s="294"/>
      <c r="CB92" s="294"/>
    </row>
    <row r="93" spans="19:80" x14ac:dyDescent="0.2">
      <c r="S93" s="360"/>
      <c r="BQ93" s="294"/>
      <c r="BR93" s="294"/>
      <c r="BS93" s="294"/>
      <c r="BT93" s="294"/>
      <c r="BW93" s="294"/>
      <c r="BX93" s="294"/>
      <c r="BY93" s="294"/>
      <c r="BZ93" s="294"/>
      <c r="CA93" s="294"/>
      <c r="CB93" s="294"/>
    </row>
    <row r="94" spans="19:80" x14ac:dyDescent="0.2">
      <c r="S94" s="360"/>
      <c r="BQ94" s="294"/>
      <c r="BR94" s="294"/>
      <c r="BS94" s="294"/>
      <c r="BT94" s="294"/>
      <c r="BW94" s="294"/>
      <c r="BX94" s="294"/>
      <c r="BY94" s="294"/>
      <c r="BZ94" s="294"/>
      <c r="CA94" s="294"/>
      <c r="CB94" s="294"/>
    </row>
    <row r="95" spans="19:80" x14ac:dyDescent="0.2">
      <c r="S95" s="360"/>
      <c r="BQ95" s="294"/>
      <c r="BR95" s="294"/>
      <c r="BS95" s="294"/>
      <c r="BT95" s="294"/>
      <c r="BW95" s="294"/>
      <c r="BX95" s="294"/>
      <c r="BY95" s="294"/>
      <c r="BZ95" s="294"/>
      <c r="CA95" s="294"/>
      <c r="CB95" s="294"/>
    </row>
    <row r="96" spans="19:80" x14ac:dyDescent="0.2">
      <c r="BQ96" s="294"/>
      <c r="BR96" s="294"/>
      <c r="BS96" s="294"/>
      <c r="BT96" s="294"/>
      <c r="BW96" s="294"/>
      <c r="BX96" s="294"/>
      <c r="BY96" s="294"/>
      <c r="BZ96" s="294"/>
      <c r="CA96" s="294"/>
      <c r="CB96" s="294"/>
    </row>
    <row r="97" spans="69:80" x14ac:dyDescent="0.2">
      <c r="BQ97" s="294"/>
      <c r="BR97" s="294"/>
      <c r="BS97" s="294"/>
      <c r="BT97" s="294"/>
      <c r="BW97" s="294"/>
      <c r="BX97" s="294"/>
      <c r="BY97" s="294"/>
      <c r="BZ97" s="294"/>
      <c r="CA97" s="294"/>
      <c r="CB97" s="294"/>
    </row>
    <row r="98" spans="69:80" x14ac:dyDescent="0.2">
      <c r="BQ98" s="294"/>
      <c r="BR98" s="294"/>
      <c r="BS98" s="294"/>
      <c r="BT98" s="294"/>
      <c r="BW98" s="294"/>
      <c r="BX98" s="294"/>
      <c r="BY98" s="294"/>
      <c r="BZ98" s="294"/>
      <c r="CA98" s="294"/>
      <c r="CB98" s="294"/>
    </row>
    <row r="99" spans="69:80" x14ac:dyDescent="0.2">
      <c r="BQ99" s="294"/>
      <c r="BR99" s="294"/>
      <c r="BS99" s="294"/>
      <c r="BT99" s="294"/>
      <c r="BW99" s="294"/>
      <c r="BX99" s="294"/>
      <c r="BY99" s="294"/>
      <c r="BZ99" s="294"/>
      <c r="CA99" s="294"/>
      <c r="CB99" s="294"/>
    </row>
    <row r="100" spans="69:80" x14ac:dyDescent="0.2">
      <c r="BQ100" s="294"/>
      <c r="BR100" s="294"/>
      <c r="BS100" s="294"/>
      <c r="BT100" s="294"/>
      <c r="BW100" s="294"/>
      <c r="BX100" s="294"/>
      <c r="BY100" s="294"/>
      <c r="BZ100" s="294"/>
      <c r="CA100" s="294"/>
      <c r="CB100" s="294"/>
    </row>
    <row r="101" spans="69:80" x14ac:dyDescent="0.2">
      <c r="BQ101" s="294"/>
      <c r="BR101" s="294"/>
      <c r="BS101" s="294"/>
      <c r="BT101" s="294"/>
      <c r="BW101" s="294"/>
      <c r="BX101" s="294"/>
      <c r="BY101" s="294"/>
      <c r="BZ101" s="294"/>
      <c r="CA101" s="294"/>
      <c r="CB101" s="294"/>
    </row>
    <row r="102" spans="69:80" x14ac:dyDescent="0.2">
      <c r="BQ102" s="294"/>
      <c r="BR102" s="294"/>
      <c r="BS102" s="294"/>
      <c r="BT102" s="294"/>
      <c r="BW102" s="294"/>
      <c r="BX102" s="294"/>
      <c r="BY102" s="294"/>
      <c r="BZ102" s="294"/>
      <c r="CA102" s="294"/>
      <c r="CB102" s="294"/>
    </row>
    <row r="103" spans="69:80" x14ac:dyDescent="0.2">
      <c r="BQ103" s="294"/>
      <c r="BR103" s="294"/>
      <c r="BS103" s="294"/>
      <c r="BT103" s="294"/>
      <c r="BW103" s="294"/>
      <c r="BX103" s="294"/>
      <c r="BY103" s="294"/>
      <c r="BZ103" s="294"/>
      <c r="CA103" s="294"/>
      <c r="CB103" s="294"/>
    </row>
    <row r="104" spans="69:80" x14ac:dyDescent="0.2">
      <c r="BQ104" s="294"/>
      <c r="BR104" s="294"/>
      <c r="BS104" s="294"/>
      <c r="BT104" s="294"/>
      <c r="BW104" s="294"/>
      <c r="BX104" s="294"/>
      <c r="BY104" s="294"/>
      <c r="BZ104" s="294"/>
      <c r="CA104" s="294"/>
      <c r="CB104" s="294"/>
    </row>
    <row r="105" spans="69:80" x14ac:dyDescent="0.2">
      <c r="BQ105" s="294"/>
      <c r="BR105" s="294"/>
      <c r="BS105" s="294"/>
      <c r="BT105" s="294"/>
      <c r="BW105" s="294"/>
      <c r="BX105" s="294"/>
      <c r="BY105" s="294"/>
      <c r="BZ105" s="294"/>
      <c r="CA105" s="294"/>
      <c r="CB105" s="294"/>
    </row>
    <row r="106" spans="69:80" x14ac:dyDescent="0.2">
      <c r="BQ106" s="294"/>
      <c r="BR106" s="294"/>
      <c r="BS106" s="294"/>
      <c r="BT106" s="294"/>
      <c r="BW106" s="294"/>
      <c r="BX106" s="294"/>
      <c r="BY106" s="294"/>
      <c r="BZ106" s="294"/>
      <c r="CA106" s="294"/>
      <c r="CB106" s="294"/>
    </row>
    <row r="107" spans="69:80" x14ac:dyDescent="0.2">
      <c r="BQ107" s="294"/>
      <c r="BR107" s="294"/>
      <c r="BS107" s="294"/>
      <c r="BT107" s="294"/>
      <c r="BW107" s="294"/>
      <c r="BX107" s="294"/>
      <c r="BY107" s="294"/>
      <c r="BZ107" s="294"/>
      <c r="CA107" s="294"/>
      <c r="CB107" s="294"/>
    </row>
    <row r="108" spans="69:80" x14ac:dyDescent="0.2">
      <c r="BQ108" s="294"/>
      <c r="BR108" s="294"/>
      <c r="BS108" s="294"/>
      <c r="BT108" s="294"/>
      <c r="BW108" s="294"/>
      <c r="BX108" s="294"/>
      <c r="BY108" s="294"/>
      <c r="BZ108" s="294"/>
      <c r="CA108" s="294"/>
      <c r="CB108" s="294"/>
    </row>
    <row r="109" spans="69:80" x14ac:dyDescent="0.2">
      <c r="BQ109" s="294"/>
      <c r="BR109" s="294"/>
      <c r="BS109" s="294"/>
      <c r="BT109" s="294"/>
      <c r="BW109" s="294"/>
      <c r="BX109" s="294"/>
      <c r="BY109" s="294"/>
      <c r="BZ109" s="294"/>
      <c r="CA109" s="294"/>
      <c r="CB109" s="294"/>
    </row>
    <row r="110" spans="69:80" x14ac:dyDescent="0.2">
      <c r="BQ110" s="294"/>
      <c r="BR110" s="294"/>
      <c r="BS110" s="294"/>
      <c r="BT110" s="294"/>
      <c r="BW110" s="294"/>
      <c r="BX110" s="294"/>
      <c r="BY110" s="294"/>
      <c r="BZ110" s="294"/>
      <c r="CA110" s="294"/>
      <c r="CB110" s="294"/>
    </row>
    <row r="111" spans="69:80" x14ac:dyDescent="0.2">
      <c r="BQ111" s="294"/>
      <c r="BR111" s="294"/>
      <c r="BS111" s="294"/>
      <c r="BT111" s="294"/>
      <c r="BW111" s="294"/>
      <c r="BX111" s="294"/>
      <c r="BY111" s="294"/>
      <c r="BZ111" s="294"/>
      <c r="CA111" s="294"/>
      <c r="CB111" s="294"/>
    </row>
    <row r="112" spans="69:80" x14ac:dyDescent="0.2">
      <c r="BQ112" s="294"/>
      <c r="BR112" s="294"/>
      <c r="BS112" s="294"/>
      <c r="BT112" s="294"/>
      <c r="BW112" s="294"/>
      <c r="BX112" s="294"/>
      <c r="BY112" s="294"/>
      <c r="BZ112" s="294"/>
      <c r="CA112" s="294"/>
      <c r="CB112" s="294"/>
    </row>
    <row r="113" spans="69:80" x14ac:dyDescent="0.2">
      <c r="BQ113" s="294"/>
      <c r="BR113" s="294"/>
      <c r="BS113" s="294"/>
      <c r="BT113" s="294"/>
      <c r="BW113" s="294"/>
      <c r="BX113" s="294"/>
      <c r="BY113" s="294"/>
      <c r="BZ113" s="294"/>
      <c r="CA113" s="294"/>
      <c r="CB113" s="294"/>
    </row>
    <row r="114" spans="69:80" x14ac:dyDescent="0.2">
      <c r="BQ114" s="294"/>
      <c r="BR114" s="294"/>
      <c r="BS114" s="294"/>
      <c r="BT114" s="294"/>
      <c r="BW114" s="294"/>
      <c r="BX114" s="294"/>
      <c r="BY114" s="294"/>
      <c r="BZ114" s="294"/>
      <c r="CA114" s="294"/>
      <c r="CB114" s="294"/>
    </row>
    <row r="115" spans="69:80" x14ac:dyDescent="0.2">
      <c r="BQ115" s="294"/>
      <c r="BR115" s="294"/>
      <c r="BS115" s="294"/>
      <c r="BT115" s="294"/>
      <c r="BW115" s="294"/>
      <c r="BX115" s="294"/>
      <c r="BY115" s="294"/>
      <c r="BZ115" s="294"/>
      <c r="CA115" s="294"/>
      <c r="CB115" s="294"/>
    </row>
    <row r="116" spans="69:80" x14ac:dyDescent="0.2">
      <c r="BQ116" s="294"/>
      <c r="BR116" s="294"/>
      <c r="BS116" s="294"/>
      <c r="BT116" s="294"/>
      <c r="BW116" s="294"/>
      <c r="BX116" s="294"/>
      <c r="BY116" s="294"/>
      <c r="BZ116" s="294"/>
      <c r="CA116" s="294"/>
      <c r="CB116" s="294"/>
    </row>
    <row r="117" spans="69:80" x14ac:dyDescent="0.2">
      <c r="BQ117" s="294"/>
      <c r="BR117" s="294"/>
      <c r="BS117" s="294"/>
      <c r="BT117" s="294"/>
      <c r="BW117" s="294"/>
      <c r="BX117" s="294"/>
      <c r="BY117" s="294"/>
      <c r="BZ117" s="294"/>
      <c r="CA117" s="294"/>
      <c r="CB117" s="294"/>
    </row>
    <row r="118" spans="69:80" x14ac:dyDescent="0.2">
      <c r="BQ118" s="294"/>
      <c r="BR118" s="294"/>
      <c r="BS118" s="294"/>
      <c r="BT118" s="294"/>
      <c r="BW118" s="294"/>
      <c r="BX118" s="294"/>
      <c r="BY118" s="294"/>
      <c r="BZ118" s="294"/>
      <c r="CA118" s="294"/>
      <c r="CB118" s="294"/>
    </row>
    <row r="119" spans="69:80" x14ac:dyDescent="0.2">
      <c r="BQ119" s="294"/>
      <c r="BR119" s="294"/>
      <c r="BS119" s="294"/>
      <c r="BT119" s="294"/>
      <c r="BW119" s="294"/>
      <c r="BX119" s="294"/>
      <c r="BY119" s="294"/>
      <c r="BZ119" s="294"/>
      <c r="CA119" s="294"/>
      <c r="CB119" s="294"/>
    </row>
    <row r="120" spans="69:80" x14ac:dyDescent="0.2">
      <c r="BQ120" s="294"/>
      <c r="BR120" s="294"/>
      <c r="BS120" s="294"/>
      <c r="BT120" s="294"/>
      <c r="BW120" s="294"/>
      <c r="BX120" s="294"/>
      <c r="BY120" s="294"/>
      <c r="BZ120" s="294"/>
      <c r="CA120" s="294"/>
      <c r="CB120" s="294"/>
    </row>
    <row r="121" spans="69:80" x14ac:dyDescent="0.2">
      <c r="BQ121" s="294"/>
      <c r="BR121" s="294"/>
      <c r="BS121" s="294"/>
      <c r="BT121" s="294"/>
      <c r="BW121" s="294"/>
      <c r="BX121" s="294"/>
      <c r="BY121" s="294"/>
      <c r="BZ121" s="294"/>
      <c r="CA121" s="294"/>
      <c r="CB121" s="294"/>
    </row>
    <row r="122" spans="69:80" x14ac:dyDescent="0.2">
      <c r="BQ122" s="294"/>
      <c r="BR122" s="294"/>
      <c r="BS122" s="294"/>
      <c r="BT122" s="294"/>
      <c r="BW122" s="294"/>
      <c r="BX122" s="294"/>
      <c r="BY122" s="294"/>
      <c r="BZ122" s="294"/>
      <c r="CA122" s="294"/>
      <c r="CB122" s="294"/>
    </row>
    <row r="123" spans="69:80" x14ac:dyDescent="0.2">
      <c r="BQ123" s="294"/>
      <c r="BR123" s="294"/>
      <c r="BS123" s="294"/>
      <c r="BT123" s="294"/>
      <c r="BW123" s="294"/>
      <c r="BX123" s="294"/>
      <c r="BY123" s="294"/>
      <c r="BZ123" s="294"/>
      <c r="CA123" s="294"/>
      <c r="CB123" s="294"/>
    </row>
    <row r="124" spans="69:80" x14ac:dyDescent="0.2">
      <c r="BQ124" s="294"/>
      <c r="BR124" s="294"/>
      <c r="BS124" s="294"/>
      <c r="BT124" s="294"/>
      <c r="BW124" s="294"/>
      <c r="BX124" s="294"/>
      <c r="BY124" s="294"/>
      <c r="BZ124" s="294"/>
      <c r="CA124" s="294"/>
      <c r="CB124" s="294"/>
    </row>
    <row r="125" spans="69:80" x14ac:dyDescent="0.2">
      <c r="BQ125" s="294"/>
      <c r="BR125" s="294"/>
      <c r="BS125" s="294"/>
      <c r="BT125" s="294"/>
      <c r="BW125" s="294"/>
      <c r="BX125" s="294"/>
      <c r="BY125" s="294"/>
      <c r="BZ125" s="294"/>
      <c r="CA125" s="294"/>
      <c r="CB125" s="294"/>
    </row>
    <row r="126" spans="69:80" x14ac:dyDescent="0.2">
      <c r="BQ126" s="294"/>
      <c r="BR126" s="294"/>
      <c r="BS126" s="294"/>
      <c r="BT126" s="294"/>
      <c r="BW126" s="294"/>
      <c r="BX126" s="294"/>
      <c r="BY126" s="294"/>
      <c r="BZ126" s="294"/>
      <c r="CA126" s="294"/>
      <c r="CB126" s="294"/>
    </row>
    <row r="127" spans="69:80" x14ac:dyDescent="0.2">
      <c r="BQ127" s="294"/>
      <c r="BR127" s="294"/>
      <c r="BS127" s="294"/>
      <c r="BT127" s="294"/>
      <c r="BW127" s="294"/>
      <c r="BX127" s="294"/>
      <c r="BY127" s="294"/>
      <c r="BZ127" s="294"/>
      <c r="CA127" s="294"/>
      <c r="CB127" s="294"/>
    </row>
    <row r="128" spans="69:80" x14ac:dyDescent="0.2">
      <c r="BQ128" s="294"/>
      <c r="BR128" s="294"/>
      <c r="BS128" s="294"/>
      <c r="BT128" s="294"/>
      <c r="BW128" s="294"/>
      <c r="BX128" s="294"/>
      <c r="BY128" s="294"/>
      <c r="BZ128" s="294"/>
      <c r="CA128" s="294"/>
      <c r="CB128" s="294"/>
    </row>
    <row r="129" spans="69:80" x14ac:dyDescent="0.2">
      <c r="BQ129" s="294"/>
      <c r="BR129" s="294"/>
      <c r="BS129" s="294"/>
      <c r="BT129" s="294"/>
      <c r="BW129" s="294"/>
      <c r="BX129" s="294"/>
      <c r="BY129" s="294"/>
      <c r="BZ129" s="294"/>
      <c r="CA129" s="294"/>
      <c r="CB129" s="294"/>
    </row>
    <row r="130" spans="69:80" x14ac:dyDescent="0.2">
      <c r="BQ130" s="294"/>
      <c r="BR130" s="294"/>
      <c r="BS130" s="294"/>
      <c r="BT130" s="294"/>
      <c r="BW130" s="294"/>
      <c r="BX130" s="294"/>
      <c r="BY130" s="294"/>
      <c r="BZ130" s="294"/>
      <c r="CA130" s="294"/>
      <c r="CB130" s="294"/>
    </row>
    <row r="131" spans="69:80" x14ac:dyDescent="0.2">
      <c r="BQ131" s="294"/>
      <c r="BR131" s="294"/>
      <c r="BS131" s="294"/>
      <c r="BT131" s="294"/>
      <c r="BW131" s="294"/>
      <c r="BX131" s="294"/>
      <c r="BY131" s="294"/>
      <c r="BZ131" s="294"/>
      <c r="CA131" s="294"/>
      <c r="CB131" s="294"/>
    </row>
    <row r="132" spans="69:80" x14ac:dyDescent="0.2">
      <c r="BQ132" s="294"/>
      <c r="BR132" s="294"/>
      <c r="BS132" s="294"/>
      <c r="BT132" s="294"/>
      <c r="BW132" s="294"/>
      <c r="BX132" s="294"/>
      <c r="BY132" s="294"/>
      <c r="BZ132" s="294"/>
      <c r="CA132" s="294"/>
      <c r="CB132" s="294"/>
    </row>
    <row r="133" spans="69:80" x14ac:dyDescent="0.2">
      <c r="BQ133" s="294"/>
      <c r="BR133" s="294"/>
      <c r="BS133" s="294"/>
      <c r="BT133" s="294"/>
      <c r="BW133" s="294"/>
      <c r="BX133" s="294"/>
      <c r="BY133" s="294"/>
      <c r="BZ133" s="294"/>
      <c r="CA133" s="294"/>
      <c r="CB133" s="294"/>
    </row>
    <row r="134" spans="69:80" x14ac:dyDescent="0.2">
      <c r="BQ134" s="294"/>
      <c r="BR134" s="294"/>
      <c r="BS134" s="294"/>
      <c r="BT134" s="294"/>
      <c r="BW134" s="294"/>
      <c r="BX134" s="294"/>
      <c r="BY134" s="294"/>
      <c r="BZ134" s="294"/>
      <c r="CA134" s="294"/>
      <c r="CB134" s="294"/>
    </row>
    <row r="135" spans="69:80" x14ac:dyDescent="0.2">
      <c r="BQ135" s="294"/>
      <c r="BR135" s="294"/>
      <c r="BS135" s="294"/>
      <c r="BT135" s="294"/>
      <c r="BW135" s="294"/>
      <c r="BX135" s="294"/>
      <c r="BY135" s="294"/>
      <c r="BZ135" s="294"/>
      <c r="CA135" s="294"/>
      <c r="CB135" s="294"/>
    </row>
    <row r="136" spans="69:80" x14ac:dyDescent="0.2">
      <c r="BQ136" s="294"/>
      <c r="BR136" s="294"/>
      <c r="BS136" s="294"/>
      <c r="BT136" s="294"/>
      <c r="BW136" s="294"/>
      <c r="BX136" s="294"/>
      <c r="BY136" s="294"/>
      <c r="BZ136" s="294"/>
      <c r="CA136" s="294"/>
      <c r="CB136" s="294"/>
    </row>
    <row r="137" spans="69:80" x14ac:dyDescent="0.2">
      <c r="BQ137" s="294"/>
      <c r="BR137" s="294"/>
      <c r="BS137" s="294"/>
      <c r="BT137" s="294"/>
      <c r="BW137" s="294"/>
      <c r="BX137" s="294"/>
      <c r="BY137" s="294"/>
      <c r="BZ137" s="294"/>
      <c r="CA137" s="294"/>
      <c r="CB137" s="294"/>
    </row>
    <row r="138" spans="69:80" x14ac:dyDescent="0.2">
      <c r="BQ138" s="294"/>
      <c r="BR138" s="294"/>
      <c r="BS138" s="294"/>
      <c r="BT138" s="294"/>
      <c r="BW138" s="294"/>
      <c r="BX138" s="294"/>
      <c r="BY138" s="294"/>
      <c r="BZ138" s="294"/>
      <c r="CA138" s="294"/>
      <c r="CB138" s="294"/>
    </row>
    <row r="139" spans="69:80" x14ac:dyDescent="0.2">
      <c r="BQ139" s="294"/>
      <c r="BR139" s="294"/>
      <c r="BS139" s="294"/>
      <c r="BT139" s="294"/>
      <c r="BW139" s="294"/>
      <c r="BX139" s="294"/>
      <c r="BY139" s="294"/>
      <c r="BZ139" s="294"/>
      <c r="CA139" s="294"/>
      <c r="CB139" s="294"/>
    </row>
    <row r="140" spans="69:80" x14ac:dyDescent="0.2">
      <c r="BQ140" s="294"/>
      <c r="BR140" s="294"/>
      <c r="BS140" s="294"/>
      <c r="BT140" s="294"/>
      <c r="BW140" s="294"/>
      <c r="BX140" s="294"/>
      <c r="BY140" s="294"/>
      <c r="BZ140" s="294"/>
      <c r="CA140" s="294"/>
      <c r="CB140" s="294"/>
    </row>
    <row r="141" spans="69:80" x14ac:dyDescent="0.2">
      <c r="BQ141" s="294"/>
      <c r="BR141" s="294"/>
      <c r="BS141" s="294"/>
      <c r="BT141" s="294"/>
      <c r="BW141" s="294"/>
      <c r="BX141" s="294"/>
      <c r="BY141" s="294"/>
      <c r="BZ141" s="294"/>
      <c r="CA141" s="294"/>
      <c r="CB141" s="294"/>
    </row>
    <row r="142" spans="69:80" x14ac:dyDescent="0.2">
      <c r="BQ142" s="294"/>
      <c r="BR142" s="294"/>
      <c r="BS142" s="294"/>
      <c r="BT142" s="294"/>
      <c r="BW142" s="294"/>
      <c r="BX142" s="294"/>
      <c r="BY142" s="294"/>
      <c r="BZ142" s="294"/>
      <c r="CA142" s="294"/>
      <c r="CB142" s="294"/>
    </row>
    <row r="143" spans="69:80" x14ac:dyDescent="0.2">
      <c r="BQ143" s="294"/>
      <c r="BR143" s="294"/>
      <c r="BS143" s="294"/>
      <c r="BT143" s="294"/>
      <c r="BW143" s="294"/>
      <c r="BX143" s="294"/>
      <c r="BY143" s="294"/>
      <c r="BZ143" s="294"/>
      <c r="CA143" s="294"/>
      <c r="CB143" s="294"/>
    </row>
    <row r="144" spans="69:80" x14ac:dyDescent="0.2">
      <c r="BQ144" s="294"/>
      <c r="BR144" s="294"/>
      <c r="BS144" s="294"/>
      <c r="BT144" s="294"/>
      <c r="BW144" s="294"/>
      <c r="BX144" s="294"/>
      <c r="BY144" s="294"/>
      <c r="BZ144" s="294"/>
      <c r="CA144" s="294"/>
      <c r="CB144" s="294"/>
    </row>
    <row r="145" spans="69:92" x14ac:dyDescent="0.2">
      <c r="BQ145" s="294"/>
      <c r="BR145" s="294"/>
      <c r="BS145" s="294"/>
      <c r="BT145" s="294"/>
      <c r="BW145" s="294"/>
      <c r="BX145" s="294"/>
      <c r="BY145" s="294"/>
      <c r="BZ145" s="294"/>
      <c r="CA145" s="294"/>
      <c r="CB145" s="294"/>
    </row>
    <row r="146" spans="69:92" x14ac:dyDescent="0.2">
      <c r="BQ146" s="294"/>
      <c r="BR146" s="294"/>
      <c r="BS146" s="294"/>
      <c r="BT146" s="294"/>
      <c r="BW146" s="294"/>
      <c r="BX146" s="294"/>
      <c r="BY146" s="294"/>
      <c r="BZ146" s="294"/>
      <c r="CA146" s="294"/>
      <c r="CB146" s="294"/>
    </row>
    <row r="147" spans="69:92" x14ac:dyDescent="0.2">
      <c r="BQ147" s="294"/>
      <c r="BR147" s="294"/>
      <c r="BS147" s="294"/>
      <c r="BT147" s="294"/>
      <c r="BW147" s="294"/>
      <c r="BX147" s="294"/>
      <c r="BY147" s="294"/>
      <c r="BZ147" s="294"/>
      <c r="CA147" s="294"/>
      <c r="CB147" s="294"/>
    </row>
    <row r="148" spans="69:92" x14ac:dyDescent="0.2">
      <c r="BQ148" s="294"/>
      <c r="BR148" s="294"/>
      <c r="BS148" s="294"/>
      <c r="BT148" s="294"/>
      <c r="BW148" s="294"/>
      <c r="BX148" s="294"/>
      <c r="BY148" s="294"/>
      <c r="BZ148" s="294"/>
      <c r="CA148" s="294"/>
      <c r="CB148" s="294"/>
      <c r="CN148" s="290">
        <f>CG2*0.8</f>
        <v>3840</v>
      </c>
    </row>
    <row r="149" spans="69:92" x14ac:dyDescent="0.2">
      <c r="BQ149" s="294"/>
      <c r="BR149" s="294"/>
      <c r="BS149" s="294"/>
      <c r="BT149" s="294"/>
      <c r="BW149" s="294"/>
      <c r="BX149" s="294"/>
      <c r="BY149" s="294"/>
      <c r="BZ149" s="294"/>
      <c r="CA149" s="294"/>
      <c r="CB149" s="294"/>
      <c r="CN149" s="290">
        <f>CN150-CN148</f>
        <v>14240</v>
      </c>
    </row>
    <row r="150" spans="69:92" x14ac:dyDescent="0.2">
      <c r="BQ150" s="294"/>
      <c r="BR150" s="294"/>
      <c r="BS150" s="294"/>
      <c r="BT150" s="294"/>
      <c r="BW150" s="294"/>
      <c r="BX150" s="294"/>
      <c r="BY150" s="294"/>
      <c r="BZ150" s="294"/>
      <c r="CA150" s="294"/>
      <c r="CB150" s="294"/>
      <c r="CN150" s="290">
        <f>CG1*0.8</f>
        <v>18080</v>
      </c>
    </row>
    <row r="151" spans="69:92" x14ac:dyDescent="0.2">
      <c r="BQ151" s="294"/>
      <c r="BR151" s="294"/>
      <c r="BS151" s="294"/>
      <c r="BT151" s="294"/>
      <c r="BW151" s="294"/>
      <c r="BX151" s="294"/>
      <c r="BY151" s="294"/>
      <c r="BZ151" s="294"/>
      <c r="CA151" s="294"/>
      <c r="CB151" s="294"/>
    </row>
    <row r="152" spans="69:92" x14ac:dyDescent="0.2">
      <c r="BQ152" s="294"/>
      <c r="BR152" s="294"/>
      <c r="BS152" s="294"/>
      <c r="BT152" s="294"/>
      <c r="BW152" s="294"/>
      <c r="BX152" s="294"/>
      <c r="BY152" s="294"/>
      <c r="BZ152" s="294"/>
      <c r="CA152" s="294"/>
      <c r="CB152" s="294"/>
    </row>
    <row r="153" spans="69:92" x14ac:dyDescent="0.2">
      <c r="BQ153" s="294"/>
      <c r="BR153" s="294"/>
      <c r="BS153" s="294"/>
      <c r="BT153" s="294"/>
      <c r="BW153" s="294"/>
      <c r="BX153" s="294"/>
      <c r="BY153" s="294"/>
      <c r="BZ153" s="294"/>
      <c r="CA153" s="294"/>
      <c r="CB153" s="332" t="s">
        <v>376</v>
      </c>
      <c r="CC153" s="556" t="s">
        <v>377</v>
      </c>
      <c r="CD153" s="332" t="s">
        <v>249</v>
      </c>
      <c r="CE153" s="332" t="s">
        <v>378</v>
      </c>
      <c r="CF153" s="332" t="s">
        <v>262</v>
      </c>
      <c r="CG153" s="332" t="s">
        <v>43</v>
      </c>
      <c r="CH153" s="332" t="s">
        <v>284</v>
      </c>
      <c r="CI153" s="317" t="s">
        <v>379</v>
      </c>
    </row>
    <row r="154" spans="69:92" x14ac:dyDescent="0.2">
      <c r="BQ154" s="294"/>
      <c r="BR154" s="294"/>
      <c r="BS154" s="294"/>
      <c r="BT154" s="294"/>
      <c r="BW154" s="294"/>
      <c r="BX154" s="294"/>
      <c r="BY154" s="294"/>
      <c r="BZ154" s="294"/>
      <c r="CA154" s="294"/>
      <c r="CB154" s="338" t="s">
        <v>123</v>
      </c>
      <c r="CC154" s="518">
        <f>CC2</f>
        <v>1800</v>
      </c>
      <c r="CD154" s="296">
        <f>CD2</f>
        <v>900</v>
      </c>
      <c r="CE154" s="296">
        <f>CE2</f>
        <v>800</v>
      </c>
      <c r="CF154" s="296">
        <f>CF2</f>
        <v>1300</v>
      </c>
      <c r="CG154" s="296">
        <f>SUM(CC154:CF154)</f>
        <v>4800</v>
      </c>
      <c r="CH154" s="410">
        <f>CG154/CG$156</f>
        <v>0.21238938053097345</v>
      </c>
      <c r="CI154" s="534">
        <f>CG154*0.8</f>
        <v>3840</v>
      </c>
    </row>
    <row r="155" spans="69:92" x14ac:dyDescent="0.2">
      <c r="BQ155" s="294"/>
      <c r="BR155" s="294"/>
      <c r="BS155" s="294"/>
      <c r="BT155" s="294"/>
      <c r="BW155" s="294"/>
      <c r="BX155" s="294"/>
      <c r="BY155" s="294"/>
      <c r="BZ155" s="294"/>
      <c r="CA155" s="294"/>
      <c r="CB155" s="338" t="s">
        <v>38</v>
      </c>
      <c r="CC155" s="296"/>
      <c r="CD155" s="296"/>
      <c r="CE155" s="296"/>
      <c r="CF155" s="296"/>
      <c r="CG155" s="296">
        <f>CG156-CG154</f>
        <v>17800</v>
      </c>
      <c r="CH155" s="410">
        <f>CG155/CG$156</f>
        <v>0.78761061946902655</v>
      </c>
      <c r="CI155" s="534">
        <f>CI156-CI154</f>
        <v>14240</v>
      </c>
    </row>
    <row r="156" spans="69:92" x14ac:dyDescent="0.2">
      <c r="BQ156" s="294"/>
      <c r="BR156" s="294"/>
      <c r="BS156" s="294"/>
      <c r="BT156" s="294"/>
      <c r="BW156" s="294"/>
      <c r="BX156" s="294"/>
      <c r="BY156" s="294"/>
      <c r="BZ156" s="294"/>
      <c r="CA156" s="294"/>
      <c r="CB156" s="332" t="s">
        <v>43</v>
      </c>
      <c r="CC156" s="308"/>
      <c r="CD156" s="308"/>
      <c r="CE156" s="308"/>
      <c r="CF156" s="308"/>
      <c r="CG156" s="308">
        <f>CG1</f>
        <v>22600</v>
      </c>
      <c r="CH156" s="308"/>
      <c r="CI156" s="317">
        <f>CG156*0.8</f>
        <v>18080</v>
      </c>
    </row>
    <row r="157" spans="69:92" x14ac:dyDescent="0.2">
      <c r="BQ157" s="294"/>
      <c r="BR157" s="294"/>
      <c r="BS157" s="294"/>
      <c r="BT157" s="294"/>
      <c r="BW157" s="294"/>
      <c r="BX157" s="294"/>
      <c r="BY157" s="294"/>
      <c r="BZ157" s="294"/>
      <c r="CA157" s="294"/>
      <c r="CB157" s="294"/>
    </row>
    <row r="158" spans="69:92" x14ac:dyDescent="0.2">
      <c r="BQ158" s="294"/>
      <c r="BR158" s="294"/>
      <c r="BS158" s="294"/>
      <c r="BT158" s="294"/>
      <c r="BW158" s="294"/>
      <c r="BX158" s="294"/>
      <c r="BY158" s="294"/>
      <c r="BZ158" s="294"/>
      <c r="CA158" s="294"/>
      <c r="CB158" s="294"/>
    </row>
    <row r="159" spans="69:92" x14ac:dyDescent="0.2">
      <c r="BQ159" s="294"/>
      <c r="BR159" s="294"/>
      <c r="BS159" s="294"/>
      <c r="BT159" s="294"/>
      <c r="BW159" s="294"/>
      <c r="BX159" s="294"/>
      <c r="BY159" s="294"/>
      <c r="BZ159" s="294"/>
      <c r="CA159" s="294"/>
      <c r="CB159" s="294"/>
    </row>
    <row r="160" spans="69:92" x14ac:dyDescent="0.2">
      <c r="BQ160" s="294"/>
      <c r="BR160" s="294"/>
      <c r="BS160" s="294"/>
      <c r="BT160" s="294"/>
      <c r="BW160" s="294"/>
      <c r="BX160" s="294"/>
      <c r="BY160" s="294"/>
      <c r="BZ160" s="294"/>
      <c r="CA160" s="294"/>
      <c r="CB160" s="294"/>
    </row>
    <row r="161" spans="69:109" x14ac:dyDescent="0.2">
      <c r="BQ161" s="294"/>
      <c r="BR161" s="294"/>
      <c r="BS161" s="294"/>
      <c r="BT161" s="294"/>
      <c r="BW161" s="294"/>
      <c r="BX161" s="294"/>
      <c r="BY161" s="294"/>
      <c r="BZ161" s="294"/>
      <c r="CA161" s="294"/>
      <c r="CB161" s="294"/>
    </row>
    <row r="162" spans="69:109" x14ac:dyDescent="0.2">
      <c r="BQ162" s="294"/>
      <c r="BR162" s="294"/>
      <c r="BS162" s="294"/>
      <c r="BT162" s="294"/>
      <c r="BW162" s="294"/>
      <c r="BX162" s="294"/>
      <c r="BY162" s="294"/>
      <c r="BZ162" s="294"/>
      <c r="CA162" s="294"/>
      <c r="CB162" s="294"/>
    </row>
    <row r="163" spans="69:109" x14ac:dyDescent="0.2">
      <c r="BQ163" s="294"/>
      <c r="BR163" s="294"/>
      <c r="BS163" s="294"/>
      <c r="BT163" s="294"/>
      <c r="BW163" s="294"/>
      <c r="BX163" s="294"/>
      <c r="BY163" s="294"/>
      <c r="BZ163" s="294"/>
      <c r="CA163" s="294"/>
      <c r="CB163" s="294"/>
    </row>
    <row r="164" spans="69:109" x14ac:dyDescent="0.2">
      <c r="BQ164" s="294"/>
      <c r="BR164" s="294"/>
      <c r="BS164" s="294"/>
      <c r="BT164" s="294"/>
      <c r="BW164" s="294"/>
      <c r="BX164" s="294"/>
      <c r="BY164" s="294"/>
      <c r="BZ164" s="294"/>
      <c r="CA164" s="294"/>
      <c r="CB164" s="294"/>
    </row>
    <row r="165" spans="69:109" x14ac:dyDescent="0.2">
      <c r="BQ165" s="294"/>
      <c r="BR165" s="294"/>
      <c r="BS165" s="294"/>
      <c r="BT165" s="294"/>
      <c r="BW165" s="294"/>
      <c r="BX165" s="294"/>
      <c r="BY165" s="294"/>
      <c r="BZ165" s="294"/>
      <c r="CA165" s="294"/>
      <c r="CB165" s="294"/>
    </row>
    <row r="166" spans="69:109" x14ac:dyDescent="0.2">
      <c r="BQ166" s="294"/>
      <c r="BR166" s="294"/>
      <c r="BS166" s="294"/>
      <c r="BT166" s="294"/>
      <c r="BW166" s="294"/>
      <c r="BX166" s="294"/>
      <c r="BY166" s="294"/>
      <c r="BZ166" s="294"/>
      <c r="CA166" s="294"/>
      <c r="CB166" s="294"/>
    </row>
    <row r="167" spans="69:109" x14ac:dyDescent="0.2">
      <c r="BQ167" s="294"/>
      <c r="BR167" s="294"/>
      <c r="BS167" s="294"/>
      <c r="BT167" s="294"/>
      <c r="BW167" s="294"/>
      <c r="BX167" s="294"/>
      <c r="BY167" s="294"/>
      <c r="BZ167" s="294"/>
      <c r="CA167" s="294"/>
      <c r="CB167" s="294"/>
    </row>
    <row r="168" spans="69:109" x14ac:dyDescent="0.2">
      <c r="BQ168" s="294"/>
      <c r="BR168" s="294"/>
      <c r="BS168" s="294"/>
      <c r="BT168" s="294"/>
      <c r="BW168" s="294"/>
      <c r="BX168" s="294"/>
      <c r="BY168" s="294"/>
      <c r="BZ168" s="294"/>
      <c r="CA168" s="294"/>
      <c r="CB168" s="294"/>
    </row>
    <row r="169" spans="69:109" x14ac:dyDescent="0.2">
      <c r="BQ169" s="294"/>
      <c r="BR169" s="294"/>
      <c r="BS169" s="294"/>
      <c r="BT169" s="294"/>
      <c r="BW169" s="294"/>
      <c r="BX169" s="294"/>
      <c r="BY169" s="294"/>
      <c r="BZ169" s="294"/>
      <c r="CA169" s="294"/>
      <c r="CB169" s="294"/>
    </row>
    <row r="170" spans="69:109" x14ac:dyDescent="0.2">
      <c r="BQ170" s="294"/>
      <c r="BR170" s="294"/>
      <c r="BS170" s="294"/>
      <c r="BT170" s="294"/>
      <c r="BW170" s="294"/>
      <c r="BX170" s="294"/>
      <c r="BY170" s="294"/>
      <c r="BZ170" s="294"/>
      <c r="CA170" s="294"/>
      <c r="CB170" s="294"/>
    </row>
    <row r="171" spans="69:109" x14ac:dyDescent="0.2">
      <c r="BQ171" s="294"/>
      <c r="BR171" s="294"/>
      <c r="BS171" s="294"/>
      <c r="BT171" s="294"/>
      <c r="BW171" s="294"/>
      <c r="BX171" s="294"/>
      <c r="BY171" s="294"/>
      <c r="BZ171" s="294"/>
      <c r="CA171" s="294"/>
      <c r="CB171" s="294"/>
      <c r="DD171" s="290" t="s">
        <v>103</v>
      </c>
      <c r="DE171" s="290" t="s">
        <v>380</v>
      </c>
    </row>
    <row r="172" spans="69:109" x14ac:dyDescent="0.2">
      <c r="BQ172" s="294"/>
      <c r="BR172" s="294"/>
      <c r="BS172" s="294"/>
      <c r="BT172" s="294"/>
      <c r="BW172" s="294"/>
      <c r="BX172" s="294"/>
      <c r="BY172" s="294"/>
      <c r="BZ172" s="294"/>
      <c r="CA172" s="294"/>
      <c r="CB172" s="294"/>
      <c r="DD172" s="290">
        <v>907.5</v>
      </c>
      <c r="DE172" s="290">
        <v>1007.5961538461538</v>
      </c>
    </row>
    <row r="173" spans="69:109" x14ac:dyDescent="0.2">
      <c r="BQ173" s="294"/>
      <c r="BR173" s="294"/>
      <c r="BS173" s="294"/>
      <c r="BT173" s="294"/>
      <c r="BW173" s="294"/>
      <c r="BX173" s="294"/>
      <c r="BY173" s="294"/>
      <c r="BZ173" s="294"/>
      <c r="CA173" s="294"/>
      <c r="CB173" s="294"/>
      <c r="DD173" s="290">
        <v>1038.758236354696</v>
      </c>
      <c r="DE173" s="290">
        <v>993.64102564102564</v>
      </c>
    </row>
    <row r="174" spans="69:109" x14ac:dyDescent="0.2">
      <c r="BQ174" s="294"/>
      <c r="BR174" s="294"/>
      <c r="BS174" s="294"/>
      <c r="BT174" s="294"/>
      <c r="BW174" s="294"/>
      <c r="BX174" s="294"/>
      <c r="BY174" s="294"/>
      <c r="BZ174" s="294"/>
      <c r="CA174" s="294"/>
      <c r="CB174" s="294"/>
      <c r="DD174" s="290">
        <v>3702.5821019688628</v>
      </c>
      <c r="DE174" s="290">
        <v>4480.3846153846152</v>
      </c>
    </row>
    <row r="175" spans="69:109" x14ac:dyDescent="0.2">
      <c r="BQ175" s="294"/>
      <c r="BR175" s="294"/>
      <c r="BS175" s="294"/>
      <c r="BT175" s="294"/>
      <c r="BW175" s="294"/>
      <c r="BX175" s="294"/>
      <c r="BY175" s="294"/>
      <c r="BZ175" s="294"/>
      <c r="CA175" s="294"/>
      <c r="CB175" s="294"/>
      <c r="DD175" s="290">
        <v>973.11452679950878</v>
      </c>
      <c r="DE175" s="290">
        <v>1065</v>
      </c>
    </row>
    <row r="176" spans="69:109" x14ac:dyDescent="0.2">
      <c r="BQ176" s="294"/>
      <c r="BR176" s="294"/>
      <c r="BS176" s="294"/>
      <c r="BT176" s="294"/>
      <c r="BW176" s="294"/>
      <c r="BX176" s="294"/>
      <c r="BY176" s="294"/>
      <c r="BZ176" s="294"/>
      <c r="CA176" s="294"/>
      <c r="CB176" s="294"/>
      <c r="DD176" s="290">
        <v>1107.6100305035061</v>
      </c>
      <c r="DE176" s="290">
        <v>1194.2307692307693</v>
      </c>
    </row>
    <row r="177" spans="69:109" x14ac:dyDescent="0.2">
      <c r="BQ177" s="294"/>
      <c r="BR177" s="294"/>
      <c r="BS177" s="294"/>
      <c r="BT177" s="294"/>
      <c r="BW177" s="294"/>
      <c r="BX177" s="294"/>
      <c r="BY177" s="294"/>
      <c r="BZ177" s="294"/>
      <c r="CA177" s="294"/>
      <c r="CB177" s="294"/>
      <c r="DD177" s="290">
        <v>1635.2949568530512</v>
      </c>
      <c r="DE177" s="290">
        <v>1405.3846153846155</v>
      </c>
    </row>
    <row r="178" spans="69:109" x14ac:dyDescent="0.2">
      <c r="BQ178" s="294"/>
      <c r="BR178" s="294"/>
      <c r="BS178" s="294"/>
      <c r="BT178" s="294"/>
      <c r="BW178" s="294"/>
      <c r="BX178" s="294"/>
      <c r="BY178" s="294"/>
      <c r="BZ178" s="294"/>
      <c r="CA178" s="294"/>
      <c r="CB178" s="294"/>
      <c r="DD178" s="290">
        <v>1462.1176856253073</v>
      </c>
      <c r="DE178" s="290">
        <v>1595.8974358974358</v>
      </c>
    </row>
    <row r="179" spans="69:109" x14ac:dyDescent="0.2">
      <c r="BQ179" s="294"/>
      <c r="BR179" s="294"/>
      <c r="BS179" s="294"/>
      <c r="BT179" s="294"/>
      <c r="BW179" s="294"/>
      <c r="BX179" s="294"/>
      <c r="BY179" s="294"/>
      <c r="BZ179" s="294"/>
      <c r="CA179" s="294"/>
      <c r="CB179" s="294"/>
      <c r="DD179" s="290">
        <v>982.01934109162426</v>
      </c>
      <c r="DE179" s="290">
        <v>958.97435897435889</v>
      </c>
    </row>
    <row r="180" spans="69:109" x14ac:dyDescent="0.2">
      <c r="BQ180" s="294"/>
      <c r="BR180" s="294"/>
      <c r="BS180" s="294"/>
      <c r="BT180" s="294"/>
      <c r="BW180" s="294"/>
      <c r="BX180" s="294"/>
      <c r="BY180" s="294"/>
      <c r="BZ180" s="294"/>
      <c r="CA180" s="294"/>
      <c r="CB180" s="294"/>
      <c r="DD180" s="290">
        <v>1301.7400990099009</v>
      </c>
      <c r="DE180" s="290">
        <v>1474.6153846153848</v>
      </c>
    </row>
    <row r="181" spans="69:109" x14ac:dyDescent="0.2">
      <c r="BQ181" s="294"/>
      <c r="BR181" s="294"/>
      <c r="BS181" s="294"/>
      <c r="BT181" s="294"/>
      <c r="BW181" s="294"/>
      <c r="BX181" s="294"/>
      <c r="BY181" s="294"/>
      <c r="BZ181" s="294"/>
      <c r="CA181" s="294"/>
      <c r="CB181" s="294"/>
      <c r="DD181" s="290">
        <v>4010.8149333962319</v>
      </c>
      <c r="DE181" s="290">
        <v>4800</v>
      </c>
    </row>
    <row r="182" spans="69:109" x14ac:dyDescent="0.2">
      <c r="BQ182" s="294"/>
      <c r="BR182" s="294"/>
      <c r="BS182" s="294"/>
      <c r="BT182" s="294"/>
      <c r="BW182" s="294"/>
      <c r="BX182" s="294"/>
      <c r="BY182" s="294"/>
      <c r="BZ182" s="294"/>
      <c r="CA182" s="294"/>
      <c r="CB182" s="294"/>
      <c r="DD182" s="290">
        <v>1452.4835527501555</v>
      </c>
      <c r="DE182" s="290">
        <v>4800</v>
      </c>
    </row>
    <row r="183" spans="69:109" x14ac:dyDescent="0.2">
      <c r="BQ183" s="294"/>
      <c r="BR183" s="294"/>
      <c r="BS183" s="294"/>
      <c r="BT183" s="294"/>
      <c r="BW183" s="294"/>
      <c r="BX183" s="294"/>
      <c r="BY183" s="294"/>
      <c r="BZ183" s="294"/>
      <c r="CA183" s="294"/>
      <c r="CB183" s="294"/>
      <c r="DD183" s="290">
        <v>2425.4448677935575</v>
      </c>
      <c r="DE183" s="290">
        <v>4370.385185185185</v>
      </c>
    </row>
    <row r="184" spans="69:109" x14ac:dyDescent="0.2">
      <c r="BQ184" s="294"/>
      <c r="BR184" s="294"/>
      <c r="BS184" s="294"/>
      <c r="BT184" s="294"/>
      <c r="BW184" s="294"/>
      <c r="BX184" s="294"/>
      <c r="BY184" s="294"/>
      <c r="BZ184" s="294"/>
      <c r="CA184" s="294"/>
      <c r="CB184" s="294"/>
      <c r="DD184" s="290">
        <v>1690.6324256450062</v>
      </c>
      <c r="DE184" s="290">
        <v>4800</v>
      </c>
    </row>
    <row r="185" spans="69:109" x14ac:dyDescent="0.2">
      <c r="BQ185" s="294"/>
      <c r="BR185" s="294"/>
      <c r="BS185" s="294"/>
      <c r="BT185" s="294"/>
      <c r="BW185" s="294"/>
      <c r="BX185" s="294"/>
      <c r="BY185" s="294"/>
      <c r="BZ185" s="294"/>
      <c r="CA185" s="294"/>
      <c r="CB185" s="294"/>
      <c r="DD185" s="290">
        <v>1864.7958717109177</v>
      </c>
      <c r="DE185" s="290">
        <v>4800</v>
      </c>
    </row>
    <row r="186" spans="69:109" x14ac:dyDescent="0.2">
      <c r="BQ186" s="294"/>
      <c r="BR186" s="294"/>
      <c r="BS186" s="294"/>
      <c r="BT186" s="294"/>
      <c r="BW186" s="294"/>
      <c r="BX186" s="294"/>
      <c r="BY186" s="294"/>
      <c r="BZ186" s="294"/>
      <c r="CA186" s="294"/>
      <c r="CB186" s="294"/>
      <c r="DD186" s="290">
        <v>4466.9424761959635</v>
      </c>
      <c r="DE186" s="290">
        <v>4800</v>
      </c>
    </row>
    <row r="187" spans="69:109" x14ac:dyDescent="0.2">
      <c r="BQ187" s="294"/>
      <c r="BR187" s="294"/>
      <c r="BS187" s="294"/>
      <c r="BT187" s="294"/>
      <c r="BW187" s="294"/>
      <c r="BX187" s="294"/>
      <c r="BY187" s="294"/>
      <c r="BZ187" s="294"/>
      <c r="CA187" s="294"/>
      <c r="CB187" s="294"/>
      <c r="DD187" s="290">
        <v>2827.8722432912364</v>
      </c>
      <c r="DE187" s="290">
        <v>4800</v>
      </c>
    </row>
    <row r="188" spans="69:109" x14ac:dyDescent="0.2">
      <c r="BQ188" s="294"/>
      <c r="BR188" s="294"/>
      <c r="BS188" s="294"/>
      <c r="BT188" s="294"/>
      <c r="BW188" s="294"/>
      <c r="BX188" s="294"/>
      <c r="BY188" s="294"/>
      <c r="BZ188" s="294"/>
      <c r="CA188" s="294"/>
      <c r="CB188" s="294"/>
      <c r="DD188" s="290">
        <v>2507.6954945969355</v>
      </c>
      <c r="DE188" s="290">
        <v>1679.9959923148083</v>
      </c>
    </row>
    <row r="189" spans="69:109" x14ac:dyDescent="0.2">
      <c r="BQ189" s="294"/>
      <c r="BR189" s="294"/>
      <c r="BS189" s="294"/>
      <c r="BT189" s="294"/>
      <c r="BW189" s="294"/>
      <c r="BX189" s="294"/>
      <c r="BY189" s="294"/>
      <c r="BZ189" s="294"/>
      <c r="CA189" s="294"/>
      <c r="CB189" s="294"/>
      <c r="DD189" s="290">
        <v>3350.3220601782664</v>
      </c>
      <c r="DE189" s="290">
        <v>3639.9913166820843</v>
      </c>
    </row>
    <row r="190" spans="69:109" x14ac:dyDescent="0.2">
      <c r="BQ190" s="294"/>
      <c r="BR190" s="294"/>
      <c r="BS190" s="294"/>
      <c r="BT190" s="294"/>
      <c r="BW190" s="294"/>
      <c r="BX190" s="294"/>
      <c r="BY190" s="294"/>
      <c r="BZ190" s="294"/>
      <c r="CA190" s="294"/>
      <c r="CB190" s="294"/>
      <c r="DD190" s="290">
        <v>2348.1380991434667</v>
      </c>
      <c r="DE190" s="290">
        <v>3359.9919846296166</v>
      </c>
    </row>
    <row r="191" spans="69:109" x14ac:dyDescent="0.2">
      <c r="BQ191" s="294"/>
      <c r="BR191" s="294"/>
      <c r="BS191" s="294"/>
      <c r="BT191" s="294"/>
      <c r="BW191" s="294"/>
      <c r="BX191" s="294"/>
      <c r="BY191" s="294"/>
      <c r="BZ191" s="294"/>
      <c r="CA191" s="294"/>
      <c r="CB191" s="294"/>
      <c r="DD191" s="290">
        <v>1109.8320503246844</v>
      </c>
      <c r="DE191" s="290">
        <v>4800</v>
      </c>
    </row>
    <row r="192" spans="69:109" x14ac:dyDescent="0.2">
      <c r="BQ192" s="294"/>
      <c r="BR192" s="294"/>
      <c r="BS192" s="294"/>
      <c r="BT192" s="294"/>
      <c r="BW192" s="294"/>
      <c r="BX192" s="294"/>
      <c r="BY192" s="294"/>
      <c r="BZ192" s="294"/>
      <c r="CA192" s="294"/>
      <c r="CB192" s="294"/>
      <c r="DD192" s="290">
        <v>1023.3691502663061</v>
      </c>
      <c r="DE192" s="290">
        <v>3023.9927861666556</v>
      </c>
    </row>
  </sheetData>
  <mergeCells count="29">
    <mergeCell ref="CX26:CZ26"/>
    <mergeCell ref="B2:G2"/>
    <mergeCell ref="N2:O2"/>
    <mergeCell ref="V2:X2"/>
    <mergeCell ref="AA2:AC2"/>
    <mergeCell ref="AD2:AE2"/>
    <mergeCell ref="AN2:AQ2"/>
    <mergeCell ref="AS2:AW2"/>
    <mergeCell ref="BP2:BT2"/>
    <mergeCell ref="BV2:BZ2"/>
    <mergeCell ref="CS26:CU26"/>
    <mergeCell ref="CV26:CW26"/>
    <mergeCell ref="N67:P67"/>
    <mergeCell ref="N59:P59"/>
    <mergeCell ref="N60:P60"/>
    <mergeCell ref="CR60:CY62"/>
    <mergeCell ref="N61:P61"/>
    <mergeCell ref="N62:P62"/>
    <mergeCell ref="N63:P63"/>
    <mergeCell ref="N64:P64"/>
    <mergeCell ref="AN64:AQ64"/>
    <mergeCell ref="AS64:AV64"/>
    <mergeCell ref="N65:P65"/>
    <mergeCell ref="N66:P66"/>
    <mergeCell ref="N68:P68"/>
    <mergeCell ref="N69:P69"/>
    <mergeCell ref="N70:P70"/>
    <mergeCell ref="N71:P71"/>
    <mergeCell ref="N72:P72"/>
  </mergeCells>
  <pageMargins left="0.75" right="0.75" top="1" bottom="1" header="0.5" footer="0.5"/>
  <pageSetup scale="56" orientation="landscape" r:id="rId1"/>
  <headerFooter alignWithMargins="0">
    <oddHeader>&amp;R&amp;"Calibri"&amp;12&amp;K000000 Unclassified - Non-Classifié&amp;1#_x000D_</oddHeader>
    <oddFooter>&amp;L&amp;F-&amp;D</oddFooter>
  </headerFooter>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E060E-CD64-491A-898B-C6C3CCAA4F36}">
  <sheetPr>
    <tabColor rgb="FFFFFF00"/>
  </sheetPr>
  <dimension ref="A1:R18"/>
  <sheetViews>
    <sheetView zoomScale="120" zoomScaleNormal="120" workbookViewId="0">
      <selection activeCell="C49" sqref="C49:E49"/>
    </sheetView>
  </sheetViews>
  <sheetFormatPr defaultColWidth="9.140625" defaultRowHeight="15" x14ac:dyDescent="0.25"/>
  <cols>
    <col min="1" max="1" width="9.140625" style="148"/>
    <col min="2" max="2" width="30.85546875" style="148" customWidth="1"/>
    <col min="3" max="3" width="13.85546875" style="148" customWidth="1"/>
    <col min="4" max="4" width="19.140625" style="148" customWidth="1"/>
    <col min="5" max="5" width="13.140625" style="148" customWidth="1"/>
    <col min="6" max="6" width="12.85546875" style="148" customWidth="1"/>
    <col min="7" max="7" width="17.5703125" style="148" customWidth="1"/>
    <col min="8" max="8" width="14" style="148" customWidth="1"/>
    <col min="9" max="13" width="9.140625" style="148"/>
    <col min="14" max="14" width="16.140625" style="148" customWidth="1"/>
    <col min="15" max="16384" width="9.140625" style="148"/>
  </cols>
  <sheetData>
    <row r="1" spans="1:18" x14ac:dyDescent="0.25">
      <c r="A1" s="157"/>
      <c r="B1" s="157"/>
      <c r="C1" s="157"/>
      <c r="D1" s="157"/>
      <c r="E1" s="157"/>
      <c r="F1" s="157"/>
      <c r="G1" s="157"/>
      <c r="H1" s="157"/>
      <c r="I1" s="157"/>
      <c r="J1" s="157"/>
    </row>
    <row r="2" spans="1:18" x14ac:dyDescent="0.25">
      <c r="A2" s="157"/>
      <c r="B2" s="157" t="s">
        <v>381</v>
      </c>
      <c r="C2" s="157"/>
      <c r="D2" s="157"/>
      <c r="E2" s="157"/>
      <c r="F2" s="157"/>
      <c r="G2" s="157"/>
      <c r="H2" s="157"/>
      <c r="I2" s="157"/>
      <c r="J2" s="157"/>
    </row>
    <row r="3" spans="1:18" x14ac:dyDescent="0.25">
      <c r="A3" s="157"/>
      <c r="B3" s="157"/>
      <c r="C3" s="157"/>
      <c r="D3" s="157"/>
      <c r="E3" s="157"/>
      <c r="F3" s="157"/>
      <c r="G3" s="157"/>
      <c r="H3" s="157"/>
      <c r="I3" s="157"/>
      <c r="J3" s="157"/>
    </row>
    <row r="4" spans="1:18" ht="61.7" customHeight="1" x14ac:dyDescent="0.25">
      <c r="A4" s="157"/>
      <c r="B4" s="557" t="s">
        <v>382</v>
      </c>
      <c r="C4" s="558" t="s">
        <v>383</v>
      </c>
      <c r="D4" s="558" t="s">
        <v>384</v>
      </c>
      <c r="E4" s="558" t="s">
        <v>385</v>
      </c>
      <c r="F4" s="558" t="s">
        <v>386</v>
      </c>
      <c r="G4" s="558" t="s">
        <v>387</v>
      </c>
      <c r="H4" s="558" t="s">
        <v>388</v>
      </c>
      <c r="I4" s="157"/>
      <c r="N4" s="559" t="s">
        <v>389</v>
      </c>
      <c r="O4" s="148" t="s">
        <v>390</v>
      </c>
      <c r="P4" s="560" t="s">
        <v>391</v>
      </c>
      <c r="Q4" s="560" t="s">
        <v>392</v>
      </c>
      <c r="R4" s="560" t="s">
        <v>393</v>
      </c>
    </row>
    <row r="5" spans="1:18" ht="15" customHeight="1" x14ac:dyDescent="0.25">
      <c r="A5" s="157"/>
      <c r="B5" s="157" t="s">
        <v>394</v>
      </c>
      <c r="C5" s="201">
        <v>1059</v>
      </c>
      <c r="D5" s="561">
        <f>N5</f>
        <v>0.28138001115034195</v>
      </c>
      <c r="E5" s="273"/>
      <c r="F5" s="273"/>
      <c r="G5" s="273"/>
      <c r="H5" s="273"/>
      <c r="I5" s="157"/>
      <c r="K5" s="148" t="s">
        <v>258</v>
      </c>
      <c r="N5" s="562">
        <f>'Data-Coastal-Chin-Esc (new)'!B56</f>
        <v>0.28138001115034195</v>
      </c>
      <c r="P5" s="563">
        <f>'Data-Coastal-Chin-Esc (new)'!B76</f>
        <v>413.8417606358783</v>
      </c>
      <c r="Q5" s="564"/>
      <c r="R5" s="565">
        <f>R$10*N5</f>
        <v>621.42307104722829</v>
      </c>
    </row>
    <row r="6" spans="1:18" ht="15" customHeight="1" x14ac:dyDescent="0.25">
      <c r="A6" s="157"/>
      <c r="B6" s="157" t="s">
        <v>395</v>
      </c>
      <c r="C6" s="201">
        <v>2528</v>
      </c>
      <c r="D6" s="561">
        <f>N7</f>
        <v>0.32978029880712234</v>
      </c>
      <c r="E6" s="273"/>
      <c r="F6" s="273"/>
      <c r="G6" s="273"/>
      <c r="H6" s="273"/>
      <c r="I6" s="157"/>
      <c r="K6" s="148" t="s">
        <v>259</v>
      </c>
      <c r="N6" s="562">
        <f>'Data-Coastal-Chin-Esc (new)'!C56</f>
        <v>1.1709763348862064E-2</v>
      </c>
      <c r="P6" s="563">
        <f>'Data-Coastal-Chin-Esc (new)'!C76</f>
        <v>77.5</v>
      </c>
      <c r="Q6" s="564"/>
      <c r="R6" s="565">
        <f t="shared" ref="R6:R9" si="0">R$10*N6</f>
        <v>25.860817446617325</v>
      </c>
    </row>
    <row r="7" spans="1:18" ht="15" customHeight="1" x14ac:dyDescent="0.25">
      <c r="A7" s="157"/>
      <c r="B7" s="157" t="s">
        <v>396</v>
      </c>
      <c r="C7" s="201" t="s">
        <v>313</v>
      </c>
      <c r="D7" s="561">
        <f>N8</f>
        <v>0.33425708346477551</v>
      </c>
      <c r="E7" s="561" t="str">
        <f>C7</f>
        <v>N/I</v>
      </c>
      <c r="F7" s="273"/>
      <c r="G7" s="273"/>
      <c r="H7" s="273"/>
      <c r="I7" s="157"/>
      <c r="K7" s="148" t="s">
        <v>260</v>
      </c>
      <c r="N7" s="562">
        <f>'Data-Coastal-Chin-Esc (new)'!D56</f>
        <v>0.32978029880712234</v>
      </c>
      <c r="O7" s="566">
        <f>SUM(N5:N7)</f>
        <v>0.62287007330632638</v>
      </c>
      <c r="P7" s="563">
        <f>'Data-Coastal-Chin-Esc (new)'!D76</f>
        <v>459.49911775361034</v>
      </c>
      <c r="Q7" s="564"/>
      <c r="R7" s="565">
        <f t="shared" si="0"/>
        <v>728.3143007130609</v>
      </c>
    </row>
    <row r="8" spans="1:18" ht="15" customHeight="1" x14ac:dyDescent="0.25">
      <c r="A8" s="157"/>
      <c r="B8" s="157" t="s">
        <v>397</v>
      </c>
      <c r="C8" s="201">
        <v>425</v>
      </c>
      <c r="D8" s="561">
        <f>N6</f>
        <v>1.1709763348862064E-2</v>
      </c>
      <c r="E8" s="561"/>
      <c r="F8" s="273"/>
      <c r="G8" s="273"/>
      <c r="H8" s="273"/>
      <c r="I8" s="157"/>
      <c r="K8" s="148" t="s">
        <v>261</v>
      </c>
      <c r="N8" s="562">
        <f>'Data-Coastal-Chin-Esc (new)'!E56</f>
        <v>0.33425708346477551</v>
      </c>
      <c r="P8" s="563">
        <f>'Data-Coastal-Chin-Esc (new)'!E76</f>
        <v>327.74074074074076</v>
      </c>
      <c r="Q8" s="564"/>
      <c r="R8" s="565">
        <f t="shared" si="0"/>
        <v>738.20120511327968</v>
      </c>
    </row>
    <row r="9" spans="1:18" ht="15" customHeight="1" x14ac:dyDescent="0.25">
      <c r="A9" s="157"/>
      <c r="B9" s="157" t="s">
        <v>398</v>
      </c>
      <c r="C9" s="201" t="s">
        <v>313</v>
      </c>
      <c r="D9" s="561">
        <f>N9</f>
        <v>4.2872843228898207E-2</v>
      </c>
      <c r="E9" s="561" t="str">
        <f>C9</f>
        <v>N/I</v>
      </c>
      <c r="F9" s="273"/>
      <c r="G9" s="273"/>
      <c r="H9" s="273"/>
      <c r="I9" s="157"/>
      <c r="K9" s="148" t="s">
        <v>262</v>
      </c>
      <c r="N9" s="562">
        <f>'Data-Coastal-Chin-Esc (new)'!F56</f>
        <v>4.2872843228898207E-2</v>
      </c>
      <c r="P9" s="563">
        <f>'Data-Coastal-Chin-Esc (new)'!F76</f>
        <v>70.9375</v>
      </c>
      <c r="Q9" s="564"/>
      <c r="R9" s="565">
        <f t="shared" si="0"/>
        <v>94.683960651324739</v>
      </c>
    </row>
    <row r="10" spans="1:18" ht="19.149999999999999" customHeight="1" x14ac:dyDescent="0.25">
      <c r="A10" s="157"/>
      <c r="B10" s="567" t="s">
        <v>43</v>
      </c>
      <c r="C10" s="568">
        <f>SUM(C5:C9)</f>
        <v>4012</v>
      </c>
      <c r="D10" s="569">
        <f>SUM(D5:D9)</f>
        <v>1.0000000000000002</v>
      </c>
      <c r="E10" s="569">
        <f>'Data-Coastal-Chin-Esc (new)'!H53</f>
        <v>0.62287007330632627</v>
      </c>
      <c r="F10" s="570">
        <f>C10/E10</f>
        <v>6441.1506860547242</v>
      </c>
      <c r="G10" s="571">
        <f>ROUND(2.3333277671039,25)</f>
        <v>2.3333277671039001</v>
      </c>
      <c r="H10" s="572">
        <f>F10*G10</f>
        <v>15029.315747871824</v>
      </c>
      <c r="I10" s="157"/>
      <c r="N10" s="562">
        <f>SUM(N5:N9)</f>
        <v>1.0000000000000002</v>
      </c>
      <c r="O10" s="573"/>
      <c r="P10" s="563">
        <f>SUM(P5:P9)</f>
        <v>1349.5191191302292</v>
      </c>
      <c r="Q10" s="574">
        <f>'Data-Coastal-Chin-Esc (new)'!H76</f>
        <v>0.78687734693020184</v>
      </c>
      <c r="R10" s="563">
        <f>'Data-Coastal-Chin-Esc (new)'!I76</f>
        <v>2208.4833549715108</v>
      </c>
    </row>
    <row r="11" spans="1:18" ht="15.75" x14ac:dyDescent="0.25">
      <c r="A11" s="157"/>
      <c r="B11" s="575" t="s">
        <v>399</v>
      </c>
      <c r="C11" s="157"/>
      <c r="D11" s="157"/>
      <c r="E11" s="157"/>
      <c r="F11" s="157"/>
      <c r="G11" s="157"/>
      <c r="H11" s="157"/>
      <c r="I11" s="157"/>
    </row>
    <row r="12" spans="1:18" ht="15.75" x14ac:dyDescent="0.25">
      <c r="A12" s="157"/>
      <c r="B12" s="575" t="s">
        <v>400</v>
      </c>
      <c r="C12" s="157"/>
      <c r="D12" s="157"/>
      <c r="E12" s="157"/>
      <c r="F12" s="157"/>
      <c r="G12" s="157"/>
      <c r="H12" s="157"/>
      <c r="I12" s="157"/>
    </row>
    <row r="13" spans="1:18" ht="15.75" x14ac:dyDescent="0.25">
      <c r="A13" s="157"/>
      <c r="B13" s="575" t="s">
        <v>401</v>
      </c>
      <c r="C13" s="157"/>
      <c r="D13" s="157"/>
      <c r="E13" s="157"/>
      <c r="F13" s="157"/>
      <c r="G13" s="157"/>
      <c r="H13" s="157"/>
      <c r="I13" s="157"/>
    </row>
    <row r="14" spans="1:18" ht="15.75" x14ac:dyDescent="0.25">
      <c r="A14" s="157"/>
      <c r="B14" s="575" t="s">
        <v>402</v>
      </c>
      <c r="C14" s="157"/>
      <c r="D14" s="157"/>
      <c r="E14" s="157"/>
      <c r="F14" s="157"/>
      <c r="G14" s="157"/>
      <c r="H14" s="157"/>
      <c r="I14" s="157"/>
      <c r="L14" s="576" t="s">
        <v>403</v>
      </c>
      <c r="M14" s="576" t="s">
        <v>404</v>
      </c>
    </row>
    <row r="15" spans="1:18" x14ac:dyDescent="0.25">
      <c r="A15" s="157"/>
      <c r="B15" s="577" t="s">
        <v>405</v>
      </c>
      <c r="C15" s="157"/>
      <c r="D15" s="157"/>
      <c r="E15" s="157"/>
      <c r="F15" s="157"/>
      <c r="G15" s="157"/>
      <c r="H15" s="157"/>
      <c r="I15" s="157"/>
      <c r="K15" s="578">
        <v>46257</v>
      </c>
      <c r="L15" s="576">
        <v>1259</v>
      </c>
      <c r="M15" s="576">
        <v>1937</v>
      </c>
      <c r="N15" s="148" t="s">
        <v>406</v>
      </c>
    </row>
    <row r="16" spans="1:18" x14ac:dyDescent="0.25">
      <c r="A16" s="157"/>
      <c r="B16" s="157"/>
      <c r="C16" s="157"/>
      <c r="D16" s="157"/>
      <c r="E16" s="157"/>
      <c r="F16" s="157"/>
      <c r="G16" s="157"/>
      <c r="H16" s="157"/>
      <c r="I16" s="157"/>
    </row>
    <row r="17" spans="1:9" x14ac:dyDescent="0.25">
      <c r="A17" s="157"/>
      <c r="B17" s="157"/>
      <c r="C17" s="157"/>
      <c r="D17" s="157"/>
      <c r="E17" s="157"/>
      <c r="F17" s="157"/>
      <c r="G17" s="157"/>
      <c r="H17" s="157"/>
      <c r="I17" s="157"/>
    </row>
    <row r="18" spans="1:9" x14ac:dyDescent="0.25">
      <c r="D18" s="579"/>
    </row>
  </sheetData>
  <pageMargins left="0.7" right="0.7" top="0.75" bottom="0.75" header="0.3" footer="0.3"/>
  <pageSetup orientation="portrait" r:id="rId1"/>
  <headerFooter>
    <oddHeader>&amp;R&amp;"Calibri"&amp;12&amp;K000000 Unclassified - Non-Classifié&amp;1#_x000D_</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CBC4D-A540-4264-9BB2-067D7DC30BA5}">
  <sheetPr>
    <tabColor rgb="FFFFFF00"/>
  </sheetPr>
  <dimension ref="B2:AI38"/>
  <sheetViews>
    <sheetView workbookViewId="0">
      <pane xSplit="2" ySplit="4" topLeftCell="C17" activePane="bottomRight" state="frozen"/>
      <selection activeCell="C49" sqref="C49:E49"/>
      <selection pane="topRight" activeCell="C49" sqref="C49:E49"/>
      <selection pane="bottomLeft" activeCell="C49" sqref="C49:E49"/>
      <selection pane="bottomRight" activeCell="C49" sqref="C49:E49"/>
    </sheetView>
  </sheetViews>
  <sheetFormatPr defaultColWidth="8.85546875" defaultRowHeight="12.75" x14ac:dyDescent="0.2"/>
  <cols>
    <col min="1" max="1" width="8.85546875" style="585"/>
    <col min="2" max="2" width="8.85546875" style="580"/>
    <col min="3" max="3" width="10.42578125" style="585" customWidth="1"/>
    <col min="4" max="9" width="8.85546875" style="585"/>
    <col min="10" max="10" width="1.85546875" style="585" customWidth="1"/>
    <col min="11" max="11" width="8.85546875" style="585"/>
    <col min="12" max="12" width="31.42578125" style="584" bestFit="1" customWidth="1"/>
    <col min="13" max="13" width="8.85546875" style="585"/>
    <col min="14" max="14" width="10" style="584" bestFit="1" customWidth="1"/>
    <col min="15" max="15" width="9.7109375" style="584" customWidth="1"/>
    <col min="16" max="16" width="8.85546875" style="584"/>
    <col min="17" max="17" width="11" style="584" bestFit="1" customWidth="1"/>
    <col min="18" max="21" width="8.85546875" style="584"/>
    <col min="22" max="25" width="8.85546875" style="585"/>
    <col min="26" max="33" width="8.85546875" style="584"/>
    <col min="34" max="16384" width="8.85546875" style="585"/>
  </cols>
  <sheetData>
    <row r="2" spans="2:35" x14ac:dyDescent="0.2">
      <c r="C2" s="581" t="s">
        <v>407</v>
      </c>
      <c r="D2" s="582"/>
      <c r="E2" s="582"/>
      <c r="F2" s="582"/>
      <c r="G2" s="582"/>
      <c r="H2" s="582"/>
      <c r="I2" s="582"/>
      <c r="J2" s="582"/>
      <c r="K2" s="583"/>
      <c r="O2" s="586" t="s">
        <v>408</v>
      </c>
    </row>
    <row r="3" spans="2:35" ht="27.75" customHeight="1" x14ac:dyDescent="0.2">
      <c r="C3" s="587" t="s">
        <v>409</v>
      </c>
      <c r="D3" s="588" t="s">
        <v>410</v>
      </c>
      <c r="E3" s="588"/>
      <c r="F3" s="588"/>
      <c r="G3" s="588"/>
      <c r="H3" s="588"/>
      <c r="I3" s="584"/>
      <c r="J3" s="589"/>
      <c r="K3" s="584"/>
      <c r="O3" s="590" t="s">
        <v>411</v>
      </c>
      <c r="R3" s="584" t="s">
        <v>57</v>
      </c>
    </row>
    <row r="4" spans="2:35" x14ac:dyDescent="0.2">
      <c r="B4" s="591" t="s">
        <v>36</v>
      </c>
      <c r="C4" s="592" t="s">
        <v>412</v>
      </c>
      <c r="D4" s="592" t="s">
        <v>124</v>
      </c>
      <c r="E4" s="592" t="s">
        <v>177</v>
      </c>
      <c r="F4" s="592" t="s">
        <v>413</v>
      </c>
      <c r="G4" s="592" t="s">
        <v>414</v>
      </c>
      <c r="H4" s="592" t="s">
        <v>51</v>
      </c>
      <c r="I4" s="592" t="s">
        <v>415</v>
      </c>
      <c r="K4" s="592" t="s">
        <v>416</v>
      </c>
      <c r="L4" s="593" t="s">
        <v>417</v>
      </c>
      <c r="N4" s="593" t="s">
        <v>418</v>
      </c>
      <c r="O4" s="594" t="s">
        <v>419</v>
      </c>
      <c r="P4" s="593" t="s">
        <v>44</v>
      </c>
      <c r="Q4" s="593" t="s">
        <v>420</v>
      </c>
      <c r="R4" s="593" t="s">
        <v>421</v>
      </c>
      <c r="S4" s="593" t="s">
        <v>422</v>
      </c>
      <c r="T4" s="593" t="s">
        <v>43</v>
      </c>
      <c r="U4" s="593" t="s">
        <v>177</v>
      </c>
      <c r="W4" s="595" t="s">
        <v>421</v>
      </c>
      <c r="X4" s="595" t="s">
        <v>422</v>
      </c>
      <c r="Y4" s="595" t="s">
        <v>43</v>
      </c>
      <c r="Z4" s="593" t="s">
        <v>65</v>
      </c>
      <c r="AA4" s="593" t="s">
        <v>423</v>
      </c>
      <c r="AB4" s="593" t="s">
        <v>424</v>
      </c>
      <c r="AC4" s="593" t="s">
        <v>43</v>
      </c>
      <c r="AE4" s="593" t="s">
        <v>425</v>
      </c>
      <c r="AF4" s="593" t="s">
        <v>426</v>
      </c>
      <c r="AG4" s="593" t="s">
        <v>43</v>
      </c>
    </row>
    <row r="5" spans="2:35" x14ac:dyDescent="0.2">
      <c r="B5" s="596">
        <v>1992</v>
      </c>
      <c r="C5" s="597">
        <v>1339</v>
      </c>
      <c r="D5" s="598">
        <f>'[1]Data-FW Catch Rates - new'!$CE7</f>
        <v>20870</v>
      </c>
      <c r="E5" s="598">
        <v>612</v>
      </c>
      <c r="F5" s="599">
        <f t="shared" ref="F5:G12" si="0">W$31*$C5</f>
        <v>770.19723982345931</v>
      </c>
      <c r="G5" s="599">
        <f t="shared" si="0"/>
        <v>568.8027601765408</v>
      </c>
      <c r="H5" s="598">
        <v>1308.1727757851456</v>
      </c>
      <c r="I5" s="598">
        <f t="shared" ref="I5:I38" si="1">SUM(D5:H5)</f>
        <v>24129.172775785144</v>
      </c>
      <c r="J5" s="600"/>
      <c r="K5" s="600">
        <f>C5/I5</f>
        <v>5.5492992339287936E-2</v>
      </c>
      <c r="L5" s="593"/>
      <c r="Z5" s="593">
        <v>153</v>
      </c>
      <c r="AA5" s="593">
        <v>556</v>
      </c>
      <c r="AB5" s="593">
        <v>116</v>
      </c>
      <c r="AC5" s="593">
        <f>SUM(Z5:AB5)</f>
        <v>825</v>
      </c>
      <c r="AE5" s="593">
        <v>514</v>
      </c>
      <c r="AF5" s="593"/>
      <c r="AG5" s="593"/>
    </row>
    <row r="6" spans="2:35" x14ac:dyDescent="0.2">
      <c r="B6" s="596">
        <v>1993</v>
      </c>
      <c r="C6" s="597">
        <v>983</v>
      </c>
      <c r="D6" s="598">
        <f>'[1]Data-FW Catch Rates - new'!$CE8</f>
        <v>21829.333333333332</v>
      </c>
      <c r="E6" s="598">
        <v>600</v>
      </c>
      <c r="F6" s="599">
        <f t="shared" si="0"/>
        <v>565.42485940736412</v>
      </c>
      <c r="G6" s="599">
        <f t="shared" si="0"/>
        <v>417.57514059263599</v>
      </c>
      <c r="H6" s="598">
        <v>1526.1184498294112</v>
      </c>
      <c r="I6" s="598">
        <f t="shared" si="1"/>
        <v>24938.451783162742</v>
      </c>
      <c r="J6" s="600"/>
      <c r="K6" s="600">
        <f t="shared" ref="K6:K36" si="2">C6/I6</f>
        <v>3.9417041945790515E-2</v>
      </c>
      <c r="L6" s="593"/>
      <c r="Z6" s="593"/>
      <c r="AA6" s="593">
        <v>453</v>
      </c>
      <c r="AB6" s="593">
        <v>163</v>
      </c>
      <c r="AC6" s="593"/>
      <c r="AE6" s="593">
        <v>367</v>
      </c>
      <c r="AF6" s="593"/>
      <c r="AG6" s="593"/>
    </row>
    <row r="7" spans="2:35" x14ac:dyDescent="0.2">
      <c r="B7" s="596">
        <v>1994</v>
      </c>
      <c r="C7" s="597">
        <v>893</v>
      </c>
      <c r="D7" s="598">
        <f>'[1]Data-FW Catch Rates - new'!$CE9</f>
        <v>23205.075000000001</v>
      </c>
      <c r="E7" s="598">
        <v>120</v>
      </c>
      <c r="F7" s="599">
        <f t="shared" si="0"/>
        <v>513.65656098756472</v>
      </c>
      <c r="G7" s="599">
        <f t="shared" si="0"/>
        <v>379.34343901243534</v>
      </c>
      <c r="H7" s="598">
        <v>2097.6647712361123</v>
      </c>
      <c r="I7" s="598">
        <f t="shared" si="1"/>
        <v>26315.739771236113</v>
      </c>
      <c r="J7" s="600"/>
      <c r="K7" s="600">
        <f t="shared" si="2"/>
        <v>3.3934064091030253E-2</v>
      </c>
      <c r="L7" s="593"/>
      <c r="Z7" s="593">
        <v>311</v>
      </c>
      <c r="AA7" s="593">
        <v>370</v>
      </c>
      <c r="AB7" s="593">
        <v>22</v>
      </c>
      <c r="AC7" s="593">
        <f>SUM(Z7:AB7)</f>
        <v>703</v>
      </c>
      <c r="AE7" s="593">
        <v>190</v>
      </c>
      <c r="AF7" s="593"/>
      <c r="AG7" s="593"/>
    </row>
    <row r="8" spans="2:35" x14ac:dyDescent="0.2">
      <c r="B8" s="596">
        <v>1995</v>
      </c>
      <c r="C8" s="597">
        <v>695</v>
      </c>
      <c r="D8" s="598">
        <f>'[1]Data-FW Catch Rates - new'!$CE10</f>
        <v>9910.0909090909081</v>
      </c>
      <c r="E8" s="598">
        <v>72</v>
      </c>
      <c r="F8" s="599">
        <f t="shared" si="0"/>
        <v>399.76630446400611</v>
      </c>
      <c r="G8" s="599">
        <f t="shared" si="0"/>
        <v>295.23369553599389</v>
      </c>
      <c r="H8" s="598">
        <v>1812.3903420523138</v>
      </c>
      <c r="I8" s="598">
        <f t="shared" si="1"/>
        <v>12489.481251143221</v>
      </c>
      <c r="J8" s="600"/>
      <c r="K8" s="600">
        <f t="shared" si="2"/>
        <v>5.564682679966259E-2</v>
      </c>
      <c r="L8" s="593"/>
      <c r="Z8" s="593">
        <v>170</v>
      </c>
      <c r="AA8" s="593">
        <v>391</v>
      </c>
      <c r="AB8" s="593">
        <v>18</v>
      </c>
      <c r="AC8" s="593">
        <f>SUM(Z8:AB8)</f>
        <v>579</v>
      </c>
      <c r="AE8" s="593">
        <v>116</v>
      </c>
      <c r="AF8" s="593"/>
      <c r="AG8" s="593"/>
    </row>
    <row r="9" spans="2:35" x14ac:dyDescent="0.2">
      <c r="B9" s="596">
        <v>1996</v>
      </c>
      <c r="C9" s="597">
        <v>477</v>
      </c>
      <c r="D9" s="598">
        <f>'[1]Data-FW Catch Rates - new'!$CE11</f>
        <v>21794.384615384617</v>
      </c>
      <c r="E9" s="598">
        <v>49</v>
      </c>
      <c r="F9" s="599">
        <f t="shared" si="0"/>
        <v>274.37198162493661</v>
      </c>
      <c r="G9" s="599">
        <f t="shared" si="0"/>
        <v>202.62801837506345</v>
      </c>
      <c r="H9" s="598">
        <v>1834.3345289126059</v>
      </c>
      <c r="I9" s="598">
        <f t="shared" si="1"/>
        <v>24154.719144297222</v>
      </c>
      <c r="J9" s="600"/>
      <c r="K9" s="600">
        <f t="shared" si="2"/>
        <v>1.9747693904055046E-2</v>
      </c>
      <c r="L9" s="593"/>
      <c r="Z9" s="593">
        <v>244</v>
      </c>
      <c r="AA9" s="593">
        <v>19</v>
      </c>
      <c r="AB9" s="593"/>
      <c r="AC9" s="593"/>
      <c r="AE9" s="593">
        <v>214</v>
      </c>
      <c r="AF9" s="593"/>
      <c r="AG9" s="593"/>
    </row>
    <row r="10" spans="2:35" x14ac:dyDescent="0.2">
      <c r="B10" s="596">
        <v>1997</v>
      </c>
      <c r="C10" s="597">
        <v>203</v>
      </c>
      <c r="D10" s="598">
        <f>'[1]Data-FW Catch Rates - new'!$CE12</f>
        <v>18702</v>
      </c>
      <c r="E10" s="598">
        <v>41</v>
      </c>
      <c r="F10" s="599">
        <f t="shared" si="0"/>
        <v>116.76627310243633</v>
      </c>
      <c r="G10" s="599">
        <f t="shared" si="0"/>
        <v>86.233726897563685</v>
      </c>
      <c r="H10" s="598">
        <v>1876.7267080745341</v>
      </c>
      <c r="I10" s="598">
        <f t="shared" si="1"/>
        <v>20822.726708074533</v>
      </c>
      <c r="J10" s="600"/>
      <c r="K10" s="600">
        <f t="shared" si="2"/>
        <v>9.748963372855567E-3</v>
      </c>
      <c r="L10" s="593"/>
      <c r="AE10" s="593">
        <v>203</v>
      </c>
      <c r="AF10" s="593"/>
      <c r="AG10" s="593"/>
    </row>
    <row r="11" spans="2:35" x14ac:dyDescent="0.2">
      <c r="B11" s="596">
        <v>1998</v>
      </c>
      <c r="C11" s="597">
        <v>196</v>
      </c>
      <c r="D11" s="598">
        <f>'[1]Data-FW Catch Rates - new'!$CE13</f>
        <v>23511.997674418606</v>
      </c>
      <c r="E11" s="598">
        <v>345</v>
      </c>
      <c r="F11" s="599">
        <f t="shared" si="0"/>
        <v>112.73984989200748</v>
      </c>
      <c r="G11" s="599">
        <f t="shared" si="0"/>
        <v>83.26015010799253</v>
      </c>
      <c r="H11" s="598">
        <v>1595</v>
      </c>
      <c r="I11" s="598">
        <f t="shared" si="1"/>
        <v>25647.997674418606</v>
      </c>
      <c r="J11" s="600"/>
      <c r="K11" s="600">
        <f t="shared" si="2"/>
        <v>7.6419220902960005E-3</v>
      </c>
      <c r="L11" s="593"/>
      <c r="R11" s="1037" t="s">
        <v>49</v>
      </c>
      <c r="S11" s="1037"/>
      <c r="T11" s="1037"/>
      <c r="AE11" s="593">
        <v>150</v>
      </c>
      <c r="AF11" s="593">
        <v>48</v>
      </c>
      <c r="AG11" s="593"/>
    </row>
    <row r="12" spans="2:35" x14ac:dyDescent="0.2">
      <c r="B12" s="596">
        <v>1999</v>
      </c>
      <c r="C12" s="597">
        <v>82</v>
      </c>
      <c r="D12" s="598">
        <f>'[1]Data-FW Catch Rates - new'!$CE14</f>
        <v>11730.176923076924</v>
      </c>
      <c r="E12" s="598">
        <v>193</v>
      </c>
      <c r="F12" s="599">
        <f t="shared" si="0"/>
        <v>47.166671893594966</v>
      </c>
      <c r="G12" s="599">
        <f t="shared" si="0"/>
        <v>34.833328106405034</v>
      </c>
      <c r="H12" s="598">
        <v>1608</v>
      </c>
      <c r="I12" s="598">
        <f t="shared" si="1"/>
        <v>13613.176923076924</v>
      </c>
      <c r="J12" s="600"/>
      <c r="K12" s="600">
        <f t="shared" si="2"/>
        <v>6.0235755741185146E-3</v>
      </c>
      <c r="L12" s="593"/>
      <c r="AA12" s="593" t="s">
        <v>423</v>
      </c>
      <c r="AC12" s="593" t="s">
        <v>423</v>
      </c>
      <c r="AE12" s="593">
        <v>82</v>
      </c>
      <c r="AF12" s="593"/>
      <c r="AG12" s="593"/>
    </row>
    <row r="13" spans="2:35" x14ac:dyDescent="0.2">
      <c r="B13" s="596">
        <v>2000</v>
      </c>
      <c r="C13" s="597">
        <v>1023</v>
      </c>
      <c r="D13" s="598">
        <f>N13</f>
        <v>17816.665343866141</v>
      </c>
      <c r="E13" s="598">
        <v>49</v>
      </c>
      <c r="F13" s="598">
        <f t="shared" ref="F13:G29" si="3">R13</f>
        <v>623</v>
      </c>
      <c r="G13" s="598">
        <f t="shared" si="3"/>
        <v>400</v>
      </c>
      <c r="H13" s="598">
        <v>2498</v>
      </c>
      <c r="I13" s="598">
        <f t="shared" si="1"/>
        <v>21386.665343866141</v>
      </c>
      <c r="J13" s="600"/>
      <c r="K13" s="600">
        <f t="shared" si="2"/>
        <v>4.7833544105715581E-2</v>
      </c>
      <c r="L13" s="593"/>
      <c r="N13" s="601">
        <f t="shared" ref="N13:N30" si="4">O13-R13-U13</f>
        <v>17816.665343866141</v>
      </c>
      <c r="O13" s="602">
        <v>18488.665343866141</v>
      </c>
      <c r="P13" s="603">
        <f t="shared" ref="P13:P30" si="5">R13/O13</f>
        <v>3.3696320876222062E-2</v>
      </c>
      <c r="Q13" s="604">
        <f>O13+T13</f>
        <v>19511.665343866141</v>
      </c>
      <c r="R13" s="605">
        <f>SUM('[1]Data-SF-FW'!L4:O4)</f>
        <v>623</v>
      </c>
      <c r="S13" s="605">
        <f>SUM('[1]Data-SF-FW'!I4:K4)</f>
        <v>400</v>
      </c>
      <c r="T13" s="605">
        <f>SUM(R13:S13)</f>
        <v>1023</v>
      </c>
      <c r="U13" s="605">
        <f t="shared" ref="U13:U38" si="6">E13</f>
        <v>49</v>
      </c>
      <c r="W13" s="79">
        <f>R13/$T13</f>
        <v>0.60899315738025417</v>
      </c>
      <c r="X13" s="79">
        <f>S13/$T13</f>
        <v>0.39100684261974583</v>
      </c>
      <c r="Y13" s="79">
        <f>T13/$T13</f>
        <v>1</v>
      </c>
      <c r="AA13" s="593">
        <v>350</v>
      </c>
      <c r="AC13" s="606">
        <f>AA13/O13</f>
        <v>1.893051734619217E-2</v>
      </c>
      <c r="AI13" s="136">
        <f t="shared" ref="AI13:AI30" si="7">T13/O13</f>
        <v>5.5331197843298825E-2</v>
      </c>
    </row>
    <row r="14" spans="2:35" x14ac:dyDescent="0.2">
      <c r="B14" s="596">
        <v>2001</v>
      </c>
      <c r="C14" s="597">
        <v>722</v>
      </c>
      <c r="D14" s="598">
        <f t="shared" ref="D14:D34" si="8">N14</f>
        <v>28328.479431156342</v>
      </c>
      <c r="E14" s="598">
        <v>195</v>
      </c>
      <c r="F14" s="598">
        <f t="shared" si="3"/>
        <v>401</v>
      </c>
      <c r="G14" s="598">
        <f t="shared" si="3"/>
        <v>321</v>
      </c>
      <c r="H14" s="598">
        <v>5457</v>
      </c>
      <c r="I14" s="598">
        <f t="shared" si="1"/>
        <v>34702.479431156346</v>
      </c>
      <c r="J14" s="600"/>
      <c r="K14" s="600">
        <f t="shared" si="2"/>
        <v>2.0805429808908087E-2</v>
      </c>
      <c r="L14" s="593"/>
      <c r="N14" s="601">
        <f t="shared" si="4"/>
        <v>28328.479431156342</v>
      </c>
      <c r="O14" s="602">
        <v>28924.479431156342</v>
      </c>
      <c r="P14" s="603">
        <f t="shared" si="5"/>
        <v>1.3863689438367494E-2</v>
      </c>
      <c r="Q14" s="604">
        <f t="shared" ref="Q14:Q30" si="9">O14+T14</f>
        <v>29646.479431156342</v>
      </c>
      <c r="R14" s="605">
        <f>SUM('[1]Data-SF-FW'!L5:O5)</f>
        <v>401</v>
      </c>
      <c r="S14" s="605">
        <f>SUM('[1]Data-SF-FW'!I5:K5)</f>
        <v>321</v>
      </c>
      <c r="T14" s="605">
        <f t="shared" ref="T14:T30" si="10">SUM(R14:S14)</f>
        <v>722</v>
      </c>
      <c r="U14" s="605">
        <f t="shared" si="6"/>
        <v>195</v>
      </c>
      <c r="W14" s="79">
        <f t="shared" ref="W14:Y30" si="11">R14/$T14</f>
        <v>0.55540166204986152</v>
      </c>
      <c r="X14" s="79">
        <f t="shared" si="11"/>
        <v>0.44459833795013848</v>
      </c>
      <c r="Y14" s="79">
        <f t="shared" si="11"/>
        <v>1</v>
      </c>
      <c r="AA14" s="593">
        <v>201</v>
      </c>
      <c r="AC14" s="606">
        <f>AA14/O14</f>
        <v>6.9491311149921849E-3</v>
      </c>
      <c r="AI14" s="136">
        <f t="shared" si="7"/>
        <v>2.4961555547384863E-2</v>
      </c>
    </row>
    <row r="15" spans="2:35" x14ac:dyDescent="0.2">
      <c r="B15" s="596">
        <v>2002</v>
      </c>
      <c r="C15" s="597">
        <v>703</v>
      </c>
      <c r="D15" s="598">
        <f t="shared" si="8"/>
        <v>13351.456177650904</v>
      </c>
      <c r="E15" s="598">
        <v>151</v>
      </c>
      <c r="F15" s="598">
        <f t="shared" si="3"/>
        <v>407</v>
      </c>
      <c r="G15" s="598">
        <f t="shared" si="3"/>
        <v>296</v>
      </c>
      <c r="H15" s="598">
        <v>1875</v>
      </c>
      <c r="I15" s="598">
        <f t="shared" si="1"/>
        <v>16080.456177650904</v>
      </c>
      <c r="J15" s="600"/>
      <c r="K15" s="600">
        <f t="shared" si="2"/>
        <v>4.3717665234960831E-2</v>
      </c>
      <c r="L15" s="593"/>
      <c r="N15" s="601">
        <f t="shared" si="4"/>
        <v>13351.456177650904</v>
      </c>
      <c r="O15" s="602">
        <v>13909.456177650904</v>
      </c>
      <c r="P15" s="603">
        <f>R15/O15</f>
        <v>2.9260669490008495E-2</v>
      </c>
      <c r="Q15" s="604">
        <f t="shared" si="9"/>
        <v>14612.456177650904</v>
      </c>
      <c r="R15" s="605">
        <f>SUM('[1]Data-SF-FW'!L6:O6)</f>
        <v>407</v>
      </c>
      <c r="S15" s="605">
        <f>SUM('[1]Data-SF-FW'!I6:K6)</f>
        <v>296</v>
      </c>
      <c r="T15" s="605">
        <f t="shared" si="10"/>
        <v>703</v>
      </c>
      <c r="U15" s="605">
        <f t="shared" si="6"/>
        <v>151</v>
      </c>
      <c r="W15" s="79">
        <f t="shared" si="11"/>
        <v>0.57894736842105265</v>
      </c>
      <c r="X15" s="79">
        <f t="shared" si="11"/>
        <v>0.42105263157894735</v>
      </c>
      <c r="Y15" s="79">
        <f t="shared" si="11"/>
        <v>1</v>
      </c>
      <c r="AA15" s="593">
        <v>16</v>
      </c>
      <c r="AC15" s="606">
        <f>AA15/O15</f>
        <v>1.1502965892878033E-3</v>
      </c>
      <c r="AI15" s="136">
        <f t="shared" si="7"/>
        <v>5.0541156391832862E-2</v>
      </c>
    </row>
    <row r="16" spans="2:35" x14ac:dyDescent="0.2">
      <c r="B16" s="596">
        <v>2003</v>
      </c>
      <c r="C16" s="597">
        <v>1030</v>
      </c>
      <c r="D16" s="598">
        <f t="shared" si="8"/>
        <v>25847.367611499238</v>
      </c>
      <c r="E16" s="598">
        <v>181</v>
      </c>
      <c r="F16" s="598">
        <f t="shared" si="3"/>
        <v>630</v>
      </c>
      <c r="G16" s="598">
        <f t="shared" si="3"/>
        <v>400</v>
      </c>
      <c r="H16" s="598">
        <v>2403</v>
      </c>
      <c r="I16" s="598">
        <f t="shared" si="1"/>
        <v>29461.367611499238</v>
      </c>
      <c r="J16" s="600"/>
      <c r="K16" s="600">
        <f t="shared" si="2"/>
        <v>3.4961038251258056E-2</v>
      </c>
      <c r="L16" s="593"/>
      <c r="N16" s="601">
        <f t="shared" si="4"/>
        <v>25847.367611499238</v>
      </c>
      <c r="O16" s="602">
        <v>26658.367611499238</v>
      </c>
      <c r="P16" s="603">
        <f t="shared" si="5"/>
        <v>2.3632354733087481E-2</v>
      </c>
      <c r="Q16" s="604">
        <f t="shared" si="9"/>
        <v>27688.367611499238</v>
      </c>
      <c r="R16" s="605">
        <f>SUM('[1]Data-SF-FW'!L7:O7)</f>
        <v>630</v>
      </c>
      <c r="S16" s="605">
        <f>SUM('[1]Data-SF-FW'!I7:K7)</f>
        <v>400</v>
      </c>
      <c r="T16" s="605">
        <f t="shared" si="10"/>
        <v>1030</v>
      </c>
      <c r="U16" s="605">
        <f t="shared" si="6"/>
        <v>181</v>
      </c>
      <c r="W16" s="79">
        <f t="shared" si="11"/>
        <v>0.61165048543689315</v>
      </c>
      <c r="X16" s="79">
        <f t="shared" si="11"/>
        <v>0.38834951456310679</v>
      </c>
      <c r="Y16" s="79">
        <f t="shared" si="11"/>
        <v>1</v>
      </c>
      <c r="AA16" s="593">
        <v>334</v>
      </c>
      <c r="AC16" s="606">
        <f>AA16/O16</f>
        <v>1.2528899175954315E-2</v>
      </c>
      <c r="AI16" s="136">
        <f t="shared" si="7"/>
        <v>3.8637024404889052E-2</v>
      </c>
    </row>
    <row r="17" spans="2:35" x14ac:dyDescent="0.2">
      <c r="B17" s="596">
        <v>2004</v>
      </c>
      <c r="C17" s="597">
        <v>643</v>
      </c>
      <c r="D17" s="598">
        <f t="shared" si="8"/>
        <v>15183.751738356423</v>
      </c>
      <c r="E17" s="598">
        <v>230</v>
      </c>
      <c r="F17" s="598">
        <f t="shared" si="3"/>
        <v>323</v>
      </c>
      <c r="G17" s="598">
        <f t="shared" si="3"/>
        <v>320</v>
      </c>
      <c r="H17" s="598">
        <v>1926</v>
      </c>
      <c r="I17" s="598">
        <f t="shared" si="1"/>
        <v>17982.751738356423</v>
      </c>
      <c r="J17" s="600"/>
      <c r="K17" s="600">
        <f t="shared" si="2"/>
        <v>3.5756485400869384E-2</v>
      </c>
      <c r="L17" s="593"/>
      <c r="N17" s="601">
        <f t="shared" si="4"/>
        <v>15183.751738356423</v>
      </c>
      <c r="O17" s="602">
        <v>15736.751738356423</v>
      </c>
      <c r="P17" s="603">
        <f t="shared" si="5"/>
        <v>2.0525201475519672E-2</v>
      </c>
      <c r="Q17" s="604">
        <f t="shared" si="9"/>
        <v>16379.751738356423</v>
      </c>
      <c r="R17" s="605">
        <f>SUM('[1]Data-SF-FW'!L8:O8)</f>
        <v>323</v>
      </c>
      <c r="S17" s="605">
        <f>SUM('[1]Data-SF-FW'!I8:K8)</f>
        <v>320</v>
      </c>
      <c r="T17" s="605">
        <f t="shared" si="10"/>
        <v>643</v>
      </c>
      <c r="U17" s="605">
        <f t="shared" si="6"/>
        <v>230</v>
      </c>
      <c r="W17" s="79">
        <f t="shared" si="11"/>
        <v>0.50233281493001558</v>
      </c>
      <c r="X17" s="79">
        <f t="shared" si="11"/>
        <v>0.49766718506998447</v>
      </c>
      <c r="Y17" s="79">
        <f t="shared" si="11"/>
        <v>1</v>
      </c>
      <c r="AA17" s="593">
        <v>137</v>
      </c>
      <c r="AC17" s="606">
        <f>AA17/O17</f>
        <v>8.7057356103597359E-3</v>
      </c>
      <c r="AI17" s="136">
        <f t="shared" si="7"/>
        <v>4.0859766404827087E-2</v>
      </c>
    </row>
    <row r="18" spans="2:35" x14ac:dyDescent="0.2">
      <c r="B18" s="596">
        <v>2005</v>
      </c>
      <c r="C18" s="597">
        <v>617</v>
      </c>
      <c r="D18" s="598">
        <f t="shared" si="8"/>
        <v>13848.486895266944</v>
      </c>
      <c r="E18" s="598">
        <v>179</v>
      </c>
      <c r="F18" s="598">
        <f t="shared" si="3"/>
        <v>347</v>
      </c>
      <c r="G18" s="598">
        <f t="shared" si="3"/>
        <v>253</v>
      </c>
      <c r="H18" s="598">
        <v>2262</v>
      </c>
      <c r="I18" s="598">
        <f t="shared" si="1"/>
        <v>16889.486895266942</v>
      </c>
      <c r="J18" s="600"/>
      <c r="K18" s="600">
        <f t="shared" si="2"/>
        <v>3.6531601215955598E-2</v>
      </c>
      <c r="L18" s="593"/>
      <c r="N18" s="601">
        <f t="shared" si="4"/>
        <v>13848.486895266944</v>
      </c>
      <c r="O18" s="602">
        <v>14374.486895266944</v>
      </c>
      <c r="P18" s="603">
        <f t="shared" si="5"/>
        <v>2.4139992093509505E-2</v>
      </c>
      <c r="Q18" s="604">
        <f t="shared" si="9"/>
        <v>14974.486895266944</v>
      </c>
      <c r="R18" s="605">
        <f>SUM('[1]Data-SF-FW'!L9:O9)</f>
        <v>347</v>
      </c>
      <c r="S18" s="605">
        <f>SUM('[1]Data-SF-FW'!I9:K9)</f>
        <v>253</v>
      </c>
      <c r="T18" s="605">
        <f t="shared" si="10"/>
        <v>600</v>
      </c>
      <c r="U18" s="605">
        <f t="shared" si="6"/>
        <v>179</v>
      </c>
      <c r="W18" s="79">
        <f t="shared" si="11"/>
        <v>0.57833333333333337</v>
      </c>
      <c r="X18" s="79">
        <f t="shared" si="11"/>
        <v>0.42166666666666669</v>
      </c>
      <c r="Y18" s="79">
        <f t="shared" si="11"/>
        <v>1</v>
      </c>
      <c r="AI18" s="136">
        <f t="shared" si="7"/>
        <v>4.1740620334598563E-2</v>
      </c>
    </row>
    <row r="19" spans="2:35" x14ac:dyDescent="0.2">
      <c r="B19" s="596">
        <v>2006</v>
      </c>
      <c r="C19" s="597">
        <v>1042</v>
      </c>
      <c r="D19" s="598">
        <f t="shared" si="8"/>
        <v>23502.274081002797</v>
      </c>
      <c r="E19" s="598">
        <v>456</v>
      </c>
      <c r="F19" s="598">
        <f t="shared" si="3"/>
        <v>581</v>
      </c>
      <c r="G19" s="598">
        <f t="shared" si="3"/>
        <v>431</v>
      </c>
      <c r="H19" s="598">
        <v>3525</v>
      </c>
      <c r="I19" s="598">
        <f t="shared" si="1"/>
        <v>28495.274081002797</v>
      </c>
      <c r="J19" s="600"/>
      <c r="K19" s="600">
        <f t="shared" si="2"/>
        <v>3.6567467189048013E-2</v>
      </c>
      <c r="L19" s="593"/>
      <c r="N19" s="601">
        <f t="shared" si="4"/>
        <v>23502.274081002797</v>
      </c>
      <c r="O19" s="602">
        <v>24539.274081002797</v>
      </c>
      <c r="P19" s="603">
        <f t="shared" si="5"/>
        <v>2.367633199263152E-2</v>
      </c>
      <c r="Q19" s="604">
        <f t="shared" si="9"/>
        <v>25551.274081002797</v>
      </c>
      <c r="R19" s="605">
        <f>SUM('[1]Data-SF-FW'!L10:O10)</f>
        <v>581</v>
      </c>
      <c r="S19" s="605">
        <f>SUM('[1]Data-SF-FW'!I10:K10)</f>
        <v>431</v>
      </c>
      <c r="T19" s="605">
        <f t="shared" si="10"/>
        <v>1012</v>
      </c>
      <c r="U19" s="605">
        <f t="shared" si="6"/>
        <v>456</v>
      </c>
      <c r="W19" s="79">
        <f t="shared" si="11"/>
        <v>0.57411067193675891</v>
      </c>
      <c r="X19" s="79">
        <f t="shared" si="11"/>
        <v>0.42588932806324109</v>
      </c>
      <c r="Y19" s="79">
        <f t="shared" si="11"/>
        <v>1</v>
      </c>
      <c r="AI19" s="136">
        <f t="shared" si="7"/>
        <v>4.1240013728989847E-2</v>
      </c>
    </row>
    <row r="20" spans="2:35" x14ac:dyDescent="0.2">
      <c r="B20" s="596">
        <v>2007</v>
      </c>
      <c r="C20" s="597">
        <v>993</v>
      </c>
      <c r="D20" s="598">
        <f t="shared" si="8"/>
        <v>22071.31290378391</v>
      </c>
      <c r="E20" s="598">
        <v>24</v>
      </c>
      <c r="F20" s="598">
        <f t="shared" si="3"/>
        <v>554</v>
      </c>
      <c r="G20" s="598">
        <f t="shared" si="3"/>
        <v>411</v>
      </c>
      <c r="H20" s="598">
        <v>4020</v>
      </c>
      <c r="I20" s="598">
        <f t="shared" si="1"/>
        <v>27080.31290378391</v>
      </c>
      <c r="J20" s="600"/>
      <c r="K20" s="600">
        <f t="shared" si="2"/>
        <v>3.6668704808844689E-2</v>
      </c>
      <c r="L20" s="593"/>
      <c r="N20" s="601">
        <f t="shared" si="4"/>
        <v>22071.31290378391</v>
      </c>
      <c r="O20" s="602">
        <v>22649.31290378391</v>
      </c>
      <c r="P20" s="603">
        <f t="shared" si="5"/>
        <v>2.4459903148207465E-2</v>
      </c>
      <c r="Q20" s="604">
        <f t="shared" si="9"/>
        <v>23614.31290378391</v>
      </c>
      <c r="R20" s="605">
        <f>SUM('[1]Data-SF-FW'!L11:O11)</f>
        <v>554</v>
      </c>
      <c r="S20" s="605">
        <f>SUM('[1]Data-SF-FW'!I11:K11)</f>
        <v>411</v>
      </c>
      <c r="T20" s="605">
        <f t="shared" si="10"/>
        <v>965</v>
      </c>
      <c r="U20" s="605">
        <f t="shared" si="6"/>
        <v>24</v>
      </c>
      <c r="W20" s="79">
        <f t="shared" si="11"/>
        <v>0.57409326424870466</v>
      </c>
      <c r="X20" s="79">
        <f t="shared" si="11"/>
        <v>0.42590673575129534</v>
      </c>
      <c r="Y20" s="79">
        <f t="shared" si="11"/>
        <v>1</v>
      </c>
      <c r="AI20" s="136">
        <f t="shared" si="7"/>
        <v>4.2606148985596032E-2</v>
      </c>
    </row>
    <row r="21" spans="2:35" x14ac:dyDescent="0.2">
      <c r="B21" s="596">
        <v>2008</v>
      </c>
      <c r="C21" s="597">
        <v>798</v>
      </c>
      <c r="D21" s="598">
        <f t="shared" si="8"/>
        <v>19675.36</v>
      </c>
      <c r="E21" s="598">
        <v>174</v>
      </c>
      <c r="F21" s="598">
        <f t="shared" si="3"/>
        <v>445</v>
      </c>
      <c r="G21" s="598">
        <f t="shared" si="3"/>
        <v>330</v>
      </c>
      <c r="H21" s="598">
        <v>1085</v>
      </c>
      <c r="I21" s="598">
        <f t="shared" si="1"/>
        <v>21709.360000000001</v>
      </c>
      <c r="J21" s="600"/>
      <c r="K21" s="600">
        <f t="shared" si="2"/>
        <v>3.6758338338854758E-2</v>
      </c>
      <c r="L21" s="593"/>
      <c r="N21" s="601">
        <f t="shared" si="4"/>
        <v>19675.36</v>
      </c>
      <c r="O21" s="602">
        <v>20294.36</v>
      </c>
      <c r="P21" s="603">
        <f t="shared" si="5"/>
        <v>2.1927274375737889E-2</v>
      </c>
      <c r="Q21" s="604">
        <f t="shared" si="9"/>
        <v>21069.360000000001</v>
      </c>
      <c r="R21" s="605">
        <f>SUM('[1]Data-SF-FW'!L12:O12)</f>
        <v>445</v>
      </c>
      <c r="S21" s="605">
        <f>SUM('[1]Data-SF-FW'!I12:K12)</f>
        <v>330</v>
      </c>
      <c r="T21" s="605">
        <f t="shared" si="10"/>
        <v>775</v>
      </c>
      <c r="U21" s="605">
        <f t="shared" si="6"/>
        <v>174</v>
      </c>
      <c r="W21" s="79">
        <f t="shared" si="11"/>
        <v>0.5741935483870968</v>
      </c>
      <c r="X21" s="79">
        <f t="shared" si="11"/>
        <v>0.4258064516129032</v>
      </c>
      <c r="Y21" s="79">
        <f t="shared" si="11"/>
        <v>1</v>
      </c>
      <c r="AI21" s="136">
        <f t="shared" si="7"/>
        <v>3.8187949755498572E-2</v>
      </c>
    </row>
    <row r="22" spans="2:35" x14ac:dyDescent="0.2">
      <c r="B22" s="596">
        <v>2009</v>
      </c>
      <c r="C22" s="597">
        <v>1102</v>
      </c>
      <c r="D22" s="598">
        <f t="shared" si="8"/>
        <v>26101</v>
      </c>
      <c r="E22" s="598">
        <v>148</v>
      </c>
      <c r="F22" s="598">
        <f t="shared" si="3"/>
        <v>615</v>
      </c>
      <c r="G22" s="598">
        <f t="shared" si="3"/>
        <v>456</v>
      </c>
      <c r="H22" s="598">
        <v>2785</v>
      </c>
      <c r="I22" s="598">
        <f t="shared" si="1"/>
        <v>30105</v>
      </c>
      <c r="J22" s="600"/>
      <c r="K22" s="600">
        <f t="shared" si="2"/>
        <v>3.6605215080551402E-2</v>
      </c>
      <c r="L22" s="593"/>
      <c r="N22" s="601">
        <f t="shared" si="4"/>
        <v>26101</v>
      </c>
      <c r="O22" s="602">
        <v>26864</v>
      </c>
      <c r="P22" s="603">
        <f t="shared" si="5"/>
        <v>2.2893091125670041E-2</v>
      </c>
      <c r="Q22" s="604">
        <f t="shared" si="9"/>
        <v>27935</v>
      </c>
      <c r="R22" s="605">
        <f>SUM('[1]Data-SF-FW'!L13:O13)</f>
        <v>615</v>
      </c>
      <c r="S22" s="605">
        <f>SUM('[1]Data-SF-FW'!I13:K13)</f>
        <v>456</v>
      </c>
      <c r="T22" s="605">
        <f t="shared" si="10"/>
        <v>1071</v>
      </c>
      <c r="U22" s="605">
        <f t="shared" si="6"/>
        <v>148</v>
      </c>
      <c r="W22" s="79">
        <f t="shared" si="11"/>
        <v>0.57422969187675066</v>
      </c>
      <c r="X22" s="79">
        <f t="shared" si="11"/>
        <v>0.42577030812324929</v>
      </c>
      <c r="Y22" s="79">
        <f t="shared" si="11"/>
        <v>1</v>
      </c>
      <c r="AI22" s="136">
        <f t="shared" si="7"/>
        <v>3.9867480643240021E-2</v>
      </c>
    </row>
    <row r="23" spans="2:35" x14ac:dyDescent="0.2">
      <c r="B23" s="596">
        <v>2010</v>
      </c>
      <c r="C23" s="597">
        <v>534</v>
      </c>
      <c r="D23" s="598">
        <f t="shared" si="8"/>
        <v>18421</v>
      </c>
      <c r="E23" s="598">
        <v>88</v>
      </c>
      <c r="F23" s="598">
        <f t="shared" si="3"/>
        <v>264</v>
      </c>
      <c r="G23" s="598">
        <f t="shared" si="3"/>
        <v>270</v>
      </c>
      <c r="H23" s="598">
        <v>1703</v>
      </c>
      <c r="I23" s="598">
        <f t="shared" si="1"/>
        <v>20746</v>
      </c>
      <c r="J23" s="600"/>
      <c r="K23" s="600">
        <f t="shared" si="2"/>
        <v>2.573990166779138E-2</v>
      </c>
      <c r="L23" s="593"/>
      <c r="N23" s="601">
        <f t="shared" si="4"/>
        <v>18421</v>
      </c>
      <c r="O23" s="602">
        <v>18773</v>
      </c>
      <c r="P23" s="603">
        <f t="shared" si="5"/>
        <v>1.406274969370905E-2</v>
      </c>
      <c r="Q23" s="604">
        <f t="shared" si="9"/>
        <v>19307</v>
      </c>
      <c r="R23" s="605">
        <f>SUM('[1]Data-SF-FW'!L14:O14)</f>
        <v>264</v>
      </c>
      <c r="S23" s="605">
        <f>SUM('[1]Data-SF-FW'!I14:K14)</f>
        <v>270</v>
      </c>
      <c r="T23" s="605">
        <f t="shared" si="10"/>
        <v>534</v>
      </c>
      <c r="U23" s="605">
        <f t="shared" si="6"/>
        <v>88</v>
      </c>
      <c r="W23" s="79">
        <f t="shared" si="11"/>
        <v>0.4943820224719101</v>
      </c>
      <c r="X23" s="79">
        <f t="shared" si="11"/>
        <v>0.5056179775280899</v>
      </c>
      <c r="Y23" s="79">
        <f t="shared" si="11"/>
        <v>1</v>
      </c>
      <c r="AA23" s="593">
        <v>137</v>
      </c>
      <c r="AC23" s="606">
        <f>AA23/O23</f>
        <v>7.2977148031747726E-3</v>
      </c>
      <c r="AI23" s="136">
        <f t="shared" si="7"/>
        <v>2.8445107335002398E-2</v>
      </c>
    </row>
    <row r="24" spans="2:35" x14ac:dyDescent="0.2">
      <c r="B24" s="596">
        <v>2011</v>
      </c>
      <c r="C24" s="597">
        <v>542</v>
      </c>
      <c r="D24" s="598">
        <f t="shared" si="8"/>
        <v>9680.537598204266</v>
      </c>
      <c r="E24" s="598">
        <v>103</v>
      </c>
      <c r="F24" s="598">
        <f t="shared" si="3"/>
        <v>421</v>
      </c>
      <c r="G24" s="598">
        <f t="shared" si="3"/>
        <v>121</v>
      </c>
      <c r="H24" s="598">
        <v>1232</v>
      </c>
      <c r="I24" s="598">
        <f t="shared" si="1"/>
        <v>11557.537598204266</v>
      </c>
      <c r="J24" s="600"/>
      <c r="K24" s="600">
        <f t="shared" si="2"/>
        <v>4.6895802448802967E-2</v>
      </c>
      <c r="L24" s="593"/>
      <c r="N24" s="601">
        <f t="shared" si="4"/>
        <v>9680.537598204266</v>
      </c>
      <c r="O24" s="602">
        <v>10204.537598204266</v>
      </c>
      <c r="P24" s="603">
        <f t="shared" si="5"/>
        <v>4.1256156484159076E-2</v>
      </c>
      <c r="Q24" s="604">
        <f t="shared" si="9"/>
        <v>10746.537598204266</v>
      </c>
      <c r="R24" s="605">
        <f>SUM('[1]Data-SF-FW'!L15:O15)</f>
        <v>421</v>
      </c>
      <c r="S24" s="605">
        <f>SUM('[1]Data-SF-FW'!I15:K15)</f>
        <v>121</v>
      </c>
      <c r="T24" s="605">
        <f t="shared" si="10"/>
        <v>542</v>
      </c>
      <c r="U24" s="605">
        <f t="shared" si="6"/>
        <v>103</v>
      </c>
      <c r="W24" s="79">
        <f t="shared" si="11"/>
        <v>0.7767527675276753</v>
      </c>
      <c r="X24" s="79">
        <f t="shared" si="11"/>
        <v>0.22324723247232472</v>
      </c>
      <c r="Y24" s="79">
        <f t="shared" si="11"/>
        <v>1</v>
      </c>
      <c r="AA24" s="593">
        <v>319</v>
      </c>
      <c r="AC24" s="606">
        <f>AA24/O24</f>
        <v>3.126060313170248E-2</v>
      </c>
      <c r="AI24" s="136">
        <f t="shared" si="7"/>
        <v>5.3113626637563464E-2</v>
      </c>
    </row>
    <row r="25" spans="2:35" x14ac:dyDescent="0.2">
      <c r="B25" s="596">
        <v>2012</v>
      </c>
      <c r="C25" s="597">
        <v>532</v>
      </c>
      <c r="D25" s="598">
        <f t="shared" si="8"/>
        <v>8687.6589262187081</v>
      </c>
      <c r="E25" s="598">
        <v>105</v>
      </c>
      <c r="F25" s="598">
        <f t="shared" si="3"/>
        <v>203</v>
      </c>
      <c r="G25" s="598">
        <f t="shared" si="3"/>
        <v>329</v>
      </c>
      <c r="H25" s="598">
        <v>1460</v>
      </c>
      <c r="I25" s="598">
        <f t="shared" si="1"/>
        <v>10784.658926218708</v>
      </c>
      <c r="J25" s="600"/>
      <c r="K25" s="600">
        <f t="shared" si="2"/>
        <v>4.9329330082627715E-2</v>
      </c>
      <c r="L25" s="593"/>
      <c r="N25" s="601">
        <f t="shared" si="4"/>
        <v>8687.6589262187081</v>
      </c>
      <c r="O25" s="602">
        <v>8995.6589262187081</v>
      </c>
      <c r="P25" s="603">
        <f t="shared" si="5"/>
        <v>2.2566440286918513E-2</v>
      </c>
      <c r="Q25" s="604">
        <f t="shared" si="9"/>
        <v>9527.6589262187081</v>
      </c>
      <c r="R25" s="605">
        <f>SUM('[1]Data-SF-FW'!L16:O16)</f>
        <v>203</v>
      </c>
      <c r="S25" s="605">
        <f>SUM('[1]Data-SF-FW'!I16:K16)</f>
        <v>329</v>
      </c>
      <c r="T25" s="605">
        <f t="shared" si="10"/>
        <v>532</v>
      </c>
      <c r="U25" s="605">
        <f t="shared" si="6"/>
        <v>105</v>
      </c>
      <c r="W25" s="79">
        <f t="shared" si="11"/>
        <v>0.38157894736842107</v>
      </c>
      <c r="X25" s="79">
        <f t="shared" si="11"/>
        <v>0.61842105263157898</v>
      </c>
      <c r="Y25" s="79">
        <f t="shared" si="11"/>
        <v>1</v>
      </c>
      <c r="AI25" s="136">
        <f t="shared" si="7"/>
        <v>5.9139636613993352E-2</v>
      </c>
    </row>
    <row r="26" spans="2:35" x14ac:dyDescent="0.2">
      <c r="B26" s="596">
        <v>2013</v>
      </c>
      <c r="C26" s="597">
        <v>466</v>
      </c>
      <c r="D26" s="598">
        <f t="shared" si="8"/>
        <v>8010.8356309650062</v>
      </c>
      <c r="E26" s="598">
        <v>52</v>
      </c>
      <c r="F26" s="598">
        <f t="shared" si="3"/>
        <v>235</v>
      </c>
      <c r="G26" s="598">
        <f t="shared" si="3"/>
        <v>231</v>
      </c>
      <c r="H26" s="598">
        <v>1711</v>
      </c>
      <c r="I26" s="598">
        <f t="shared" si="1"/>
        <v>10239.835630965006</v>
      </c>
      <c r="J26" s="600"/>
      <c r="K26" s="600">
        <f t="shared" si="2"/>
        <v>4.5508542987821768E-2</v>
      </c>
      <c r="L26" s="593"/>
      <c r="N26" s="601">
        <f t="shared" si="4"/>
        <v>8010.8356309650062</v>
      </c>
      <c r="O26" s="602">
        <v>8297.8356309650062</v>
      </c>
      <c r="P26" s="603">
        <f t="shared" si="5"/>
        <v>2.8320638109900764E-2</v>
      </c>
      <c r="Q26" s="604">
        <f t="shared" si="9"/>
        <v>8763.8356309650062</v>
      </c>
      <c r="R26" s="605">
        <f>SUM('[1]Data-SF-FW'!L17:O17)</f>
        <v>235</v>
      </c>
      <c r="S26" s="605">
        <f>SUM('[1]Data-SF-FW'!I17:K17)</f>
        <v>231</v>
      </c>
      <c r="T26" s="605">
        <f t="shared" si="10"/>
        <v>466</v>
      </c>
      <c r="U26" s="605">
        <f t="shared" si="6"/>
        <v>52</v>
      </c>
      <c r="W26" s="79">
        <f t="shared" si="11"/>
        <v>0.50429184549356221</v>
      </c>
      <c r="X26" s="79">
        <f t="shared" si="11"/>
        <v>0.49570815450643779</v>
      </c>
      <c r="Y26" s="79">
        <f t="shared" si="11"/>
        <v>1</v>
      </c>
      <c r="AA26" s="593">
        <v>152</v>
      </c>
      <c r="AC26" s="606">
        <f>AA26/O26</f>
        <v>1.8318029756191134E-2</v>
      </c>
      <c r="AI26" s="136">
        <f t="shared" si="7"/>
        <v>5.6159222805164916E-2</v>
      </c>
    </row>
    <row r="27" spans="2:35" x14ac:dyDescent="0.2">
      <c r="B27" s="596">
        <v>2014</v>
      </c>
      <c r="C27" s="597">
        <v>863</v>
      </c>
      <c r="D27" s="598">
        <f t="shared" si="8"/>
        <v>11509</v>
      </c>
      <c r="E27" s="598">
        <v>72</v>
      </c>
      <c r="F27" s="598">
        <f t="shared" si="3"/>
        <v>333</v>
      </c>
      <c r="G27" s="598">
        <f t="shared" si="3"/>
        <v>530</v>
      </c>
      <c r="H27" s="598">
        <v>1941</v>
      </c>
      <c r="I27" s="598">
        <f t="shared" si="1"/>
        <v>14385</v>
      </c>
      <c r="J27" s="600"/>
      <c r="K27" s="600">
        <f t="shared" si="2"/>
        <v>5.9993048314216195E-2</v>
      </c>
      <c r="L27" s="593"/>
      <c r="N27" s="601">
        <f t="shared" si="4"/>
        <v>11509</v>
      </c>
      <c r="O27" s="602">
        <v>11914</v>
      </c>
      <c r="P27" s="603">
        <f t="shared" si="5"/>
        <v>2.7950310559006212E-2</v>
      </c>
      <c r="Q27" s="604">
        <f t="shared" si="9"/>
        <v>12777</v>
      </c>
      <c r="R27" s="605">
        <f>SUM('[1]Data-SF-FW'!L18:O18)</f>
        <v>333</v>
      </c>
      <c r="S27" s="605">
        <f>SUM('[1]Data-SF-FW'!I18:K18)</f>
        <v>530</v>
      </c>
      <c r="T27" s="605">
        <f t="shared" si="10"/>
        <v>863</v>
      </c>
      <c r="U27" s="605">
        <f t="shared" si="6"/>
        <v>72</v>
      </c>
      <c r="W27" s="79">
        <f t="shared" si="11"/>
        <v>0.38586326767091539</v>
      </c>
      <c r="X27" s="79">
        <f t="shared" si="11"/>
        <v>0.61413673232908461</v>
      </c>
      <c r="Y27" s="79">
        <f t="shared" si="11"/>
        <v>1</v>
      </c>
      <c r="AA27" s="593">
        <v>148</v>
      </c>
      <c r="AC27" s="606">
        <f>AA27/O27</f>
        <v>1.2422360248447204E-2</v>
      </c>
      <c r="AI27" s="136">
        <f t="shared" si="7"/>
        <v>7.2435789827094171E-2</v>
      </c>
    </row>
    <row r="28" spans="2:35" x14ac:dyDescent="0.2">
      <c r="B28" s="596">
        <v>2015</v>
      </c>
      <c r="C28" s="597">
        <v>573</v>
      </c>
      <c r="D28" s="598">
        <f t="shared" si="8"/>
        <v>18262</v>
      </c>
      <c r="E28" s="598">
        <v>252</v>
      </c>
      <c r="F28" s="598">
        <f t="shared" si="3"/>
        <v>264</v>
      </c>
      <c r="G28" s="598">
        <f t="shared" si="3"/>
        <v>309</v>
      </c>
      <c r="H28" s="598">
        <v>3175</v>
      </c>
      <c r="I28" s="598">
        <f t="shared" si="1"/>
        <v>22262</v>
      </c>
      <c r="J28" s="600"/>
      <c r="K28" s="600">
        <f t="shared" si="2"/>
        <v>2.5738927320097027E-2</v>
      </c>
      <c r="L28" s="593"/>
      <c r="N28" s="601">
        <f t="shared" si="4"/>
        <v>18262</v>
      </c>
      <c r="O28" s="602">
        <v>18778</v>
      </c>
      <c r="P28" s="603">
        <f t="shared" si="5"/>
        <v>1.405900521887315E-2</v>
      </c>
      <c r="Q28" s="604">
        <f t="shared" si="9"/>
        <v>19351</v>
      </c>
      <c r="R28" s="605">
        <f>SUM('[1]Data-SF-FW'!L19:O19)</f>
        <v>264</v>
      </c>
      <c r="S28" s="605">
        <f>SUM('[1]Data-SF-FW'!I19:K19)</f>
        <v>309</v>
      </c>
      <c r="T28" s="605">
        <f t="shared" si="10"/>
        <v>573</v>
      </c>
      <c r="U28" s="605">
        <f t="shared" si="6"/>
        <v>252</v>
      </c>
      <c r="W28" s="79">
        <f t="shared" si="11"/>
        <v>0.4607329842931937</v>
      </c>
      <c r="X28" s="79">
        <f t="shared" si="11"/>
        <v>0.53926701570680624</v>
      </c>
      <c r="Y28" s="79">
        <f t="shared" si="11"/>
        <v>1</v>
      </c>
      <c r="AA28" s="593">
        <v>169</v>
      </c>
      <c r="AC28" s="606">
        <f>AA28/O28</f>
        <v>8.9998934923847061E-3</v>
      </c>
      <c r="AI28" s="136">
        <f t="shared" si="7"/>
        <v>3.0514431781872405E-2</v>
      </c>
    </row>
    <row r="29" spans="2:35" x14ac:dyDescent="0.2">
      <c r="B29" s="596">
        <v>2016</v>
      </c>
      <c r="C29" s="597">
        <v>339</v>
      </c>
      <c r="D29" s="598">
        <f t="shared" si="8"/>
        <v>9037.17808219178</v>
      </c>
      <c r="E29" s="598">
        <v>114</v>
      </c>
      <c r="F29" s="598">
        <f t="shared" si="3"/>
        <v>228</v>
      </c>
      <c r="G29" s="598">
        <f t="shared" si="3"/>
        <v>111</v>
      </c>
      <c r="H29" s="598">
        <v>1519</v>
      </c>
      <c r="I29" s="598">
        <f t="shared" si="1"/>
        <v>11009.17808219178</v>
      </c>
      <c r="J29" s="600"/>
      <c r="K29" s="600">
        <f t="shared" si="2"/>
        <v>3.0792489454626901E-2</v>
      </c>
      <c r="L29" s="593"/>
      <c r="N29" s="601">
        <f t="shared" si="4"/>
        <v>9037.17808219178</v>
      </c>
      <c r="O29" s="602">
        <v>9379.17808219178</v>
      </c>
      <c r="P29" s="603">
        <f t="shared" si="5"/>
        <v>2.4309166325874862E-2</v>
      </c>
      <c r="Q29" s="604">
        <f t="shared" si="9"/>
        <v>9718.17808219178</v>
      </c>
      <c r="R29" s="605">
        <f>SUM('[1]Data-SF-FW'!L20:O20)</f>
        <v>228</v>
      </c>
      <c r="S29" s="605">
        <f>SUM('[1]Data-SF-FW'!I20:K20)</f>
        <v>111</v>
      </c>
      <c r="T29" s="605">
        <f t="shared" si="10"/>
        <v>339</v>
      </c>
      <c r="U29" s="605">
        <f t="shared" si="6"/>
        <v>114</v>
      </c>
      <c r="W29" s="79">
        <f t="shared" si="11"/>
        <v>0.67256637168141598</v>
      </c>
      <c r="X29" s="79">
        <f t="shared" si="11"/>
        <v>0.32743362831858408</v>
      </c>
      <c r="Y29" s="79">
        <f t="shared" si="11"/>
        <v>1</v>
      </c>
      <c r="AA29" s="593">
        <v>197</v>
      </c>
      <c r="AC29" s="606">
        <f>AA29/O29</f>
        <v>2.1003972658760299E-2</v>
      </c>
      <c r="AI29" s="136">
        <f t="shared" si="7"/>
        <v>3.6143892037156046E-2</v>
      </c>
    </row>
    <row r="30" spans="2:35" ht="13.5" thickBot="1" x14ac:dyDescent="0.25">
      <c r="B30" s="596">
        <v>2017</v>
      </c>
      <c r="C30" s="597">
        <v>146</v>
      </c>
      <c r="D30" s="598">
        <f t="shared" si="8"/>
        <v>4353.583333333333</v>
      </c>
      <c r="E30" s="598">
        <v>76</v>
      </c>
      <c r="F30" s="607">
        <f>R30</f>
        <v>138</v>
      </c>
      <c r="G30" s="607">
        <f t="shared" ref="F30:G38" si="12">S30</f>
        <v>8</v>
      </c>
      <c r="H30" s="598">
        <v>1047</v>
      </c>
      <c r="I30" s="598">
        <f t="shared" si="1"/>
        <v>5622.583333333333</v>
      </c>
      <c r="J30" s="600"/>
      <c r="K30" s="600">
        <f t="shared" si="2"/>
        <v>2.5966711624253385E-2</v>
      </c>
      <c r="L30" s="593"/>
      <c r="N30" s="601">
        <f t="shared" si="4"/>
        <v>4353.583333333333</v>
      </c>
      <c r="O30" s="602">
        <v>4567.583333333333</v>
      </c>
      <c r="P30" s="603">
        <f t="shared" si="5"/>
        <v>3.021291346627502E-2</v>
      </c>
      <c r="Q30" s="604">
        <f t="shared" si="9"/>
        <v>4713.583333333333</v>
      </c>
      <c r="R30" s="605">
        <f>SUM('[1]Data-SF-FW'!L21:O21)</f>
        <v>138</v>
      </c>
      <c r="S30" s="605">
        <f>SUM('[1]Data-SF-FW'!I21:K21)</f>
        <v>8</v>
      </c>
      <c r="T30" s="605">
        <f t="shared" si="10"/>
        <v>146</v>
      </c>
      <c r="U30" s="605">
        <f t="shared" si="6"/>
        <v>76</v>
      </c>
      <c r="W30" s="79">
        <f t="shared" si="11"/>
        <v>0.9452054794520548</v>
      </c>
      <c r="X30" s="79">
        <f t="shared" si="11"/>
        <v>5.4794520547945202E-2</v>
      </c>
      <c r="Y30" s="79">
        <f t="shared" si="11"/>
        <v>1</v>
      </c>
      <c r="AA30" s="593">
        <v>53</v>
      </c>
      <c r="AC30" s="606">
        <f>AA30/O30</f>
        <v>1.1603510244294029E-2</v>
      </c>
      <c r="AI30" s="136">
        <f t="shared" si="7"/>
        <v>3.1964386710696763E-2</v>
      </c>
    </row>
    <row r="31" spans="2:35" x14ac:dyDescent="0.2">
      <c r="B31" s="596">
        <v>2018</v>
      </c>
      <c r="C31" s="608">
        <f t="shared" ref="C31:C36" si="13">SUM(F31:G31)</f>
        <v>339.09933525924703</v>
      </c>
      <c r="D31" s="609">
        <f t="shared" si="8"/>
        <v>17886.500664740754</v>
      </c>
      <c r="E31" s="610">
        <f>'A6-Chin (NEW2+Khutz)'!G39</f>
        <v>40</v>
      </c>
      <c r="F31" s="611">
        <f t="shared" si="12"/>
        <v>195.05106201840317</v>
      </c>
      <c r="G31" s="612">
        <f t="shared" si="12"/>
        <v>144.04827324084386</v>
      </c>
      <c r="H31" s="613">
        <f>'A6-Chin (NEW2+Khutz)'!I39</f>
        <v>1817.4</v>
      </c>
      <c r="I31" s="614">
        <f t="shared" si="1"/>
        <v>20083.000000000004</v>
      </c>
      <c r="J31" s="600"/>
      <c r="K31" s="615">
        <f>C31/I31</f>
        <v>1.6884894450990735E-2</v>
      </c>
      <c r="L31" s="593"/>
      <c r="N31" s="616">
        <f>'[1]Data-FW Catch Rates - new'!CF33</f>
        <v>17886.500664740754</v>
      </c>
      <c r="O31" s="616">
        <v>14510</v>
      </c>
      <c r="P31" s="617">
        <f>AC$31</f>
        <v>1.3264222014311738E-2</v>
      </c>
      <c r="Q31" s="618">
        <f t="shared" ref="Q31:Q37" si="14">O31/(1-P31)</f>
        <v>14705.051062018403</v>
      </c>
      <c r="R31" s="619">
        <f>Q31-O31</f>
        <v>195.05106201840317</v>
      </c>
      <c r="S31" s="619">
        <f t="shared" ref="S31:S37" si="15">R31/(1-X$31)-R31</f>
        <v>144.04827324084386</v>
      </c>
      <c r="T31" s="619">
        <f>SUM(R31:S31)</f>
        <v>339.09933525924703</v>
      </c>
      <c r="U31" s="619">
        <f t="shared" si="6"/>
        <v>40</v>
      </c>
      <c r="W31" s="620">
        <f>AVERAGE(W$13:W$30)</f>
        <v>0.5752033157755484</v>
      </c>
      <c r="X31" s="620">
        <f>AVERAGE(X$13:X$30)</f>
        <v>0.42479668422445166</v>
      </c>
      <c r="Y31" s="620">
        <f>AVERAGE(Y13:Y30)</f>
        <v>1</v>
      </c>
      <c r="AA31" s="619">
        <f>AVERAGE(AA13:AA30)</f>
        <v>184.41666666666666</v>
      </c>
      <c r="AC31" s="621">
        <f>AVERAGE(AC13:AC30)</f>
        <v>1.3264222014311738E-2</v>
      </c>
      <c r="AG31" s="622">
        <f t="shared" ref="AG31:AG38" si="16">R31/Q31</f>
        <v>1.326422201431177E-2</v>
      </c>
      <c r="AH31" s="623">
        <f t="shared" ref="AH31:AH38" si="17">S31/T31</f>
        <v>0.42479668422445177</v>
      </c>
      <c r="AI31" s="136">
        <f>T31/O31</f>
        <v>2.3370043780788906E-2</v>
      </c>
    </row>
    <row r="32" spans="2:35" x14ac:dyDescent="0.2">
      <c r="B32" s="596">
        <v>2019</v>
      </c>
      <c r="C32" s="608">
        <f t="shared" si="13"/>
        <v>252.29297692434648</v>
      </c>
      <c r="D32" s="609">
        <f t="shared" si="8"/>
        <v>11713.507023075654</v>
      </c>
      <c r="E32" s="610">
        <f>'A6-Chin (NEW2+Khutz)'!G40</f>
        <v>110</v>
      </c>
      <c r="F32" s="624">
        <f t="shared" si="12"/>
        <v>145.11975687376798</v>
      </c>
      <c r="G32" s="625">
        <f t="shared" si="12"/>
        <v>107.17322005057849</v>
      </c>
      <c r="H32" s="613">
        <f>'A6-Chin (NEW2+Khutz)'!I40</f>
        <v>2242.1999999999998</v>
      </c>
      <c r="I32" s="614">
        <f t="shared" si="1"/>
        <v>14318</v>
      </c>
      <c r="J32" s="600"/>
      <c r="K32" s="615">
        <f t="shared" si="2"/>
        <v>1.7620685635168772E-2</v>
      </c>
      <c r="L32" s="593"/>
      <c r="N32" s="616">
        <f>'[1]Data-FW Catch Rates - new'!CF34</f>
        <v>11713.507023075654</v>
      </c>
      <c r="O32" s="616">
        <v>10795.571428571426</v>
      </c>
      <c r="P32" s="617">
        <f t="shared" ref="P32:P38" si="18">AC$31</f>
        <v>1.3264222014311738E-2</v>
      </c>
      <c r="Q32" s="618">
        <f t="shared" si="14"/>
        <v>10940.691185445194</v>
      </c>
      <c r="R32" s="619">
        <f t="shared" ref="R32:R37" si="19">Q32-O32</f>
        <v>145.11975687376798</v>
      </c>
      <c r="S32" s="619">
        <f t="shared" si="15"/>
        <v>107.17322005057849</v>
      </c>
      <c r="T32" s="619">
        <f t="shared" ref="T32:T38" si="20">SUM(R32:S32)</f>
        <v>252.29297692434648</v>
      </c>
      <c r="U32" s="619">
        <f t="shared" si="6"/>
        <v>110</v>
      </c>
      <c r="W32" s="620">
        <f t="shared" ref="W32:X38" si="21">AVERAGE(W$13:W$30)</f>
        <v>0.5752033157755484</v>
      </c>
      <c r="X32" s="620">
        <f t="shared" si="21"/>
        <v>0.42479668422445166</v>
      </c>
      <c r="Y32" s="620">
        <f t="shared" ref="Y32:Y36" si="22">AVERAGE(Y14:Y31)</f>
        <v>1</v>
      </c>
      <c r="AG32" s="622">
        <f t="shared" si="16"/>
        <v>1.3264222014311688E-2</v>
      </c>
      <c r="AH32" s="623">
        <f t="shared" si="17"/>
        <v>0.42479668422445171</v>
      </c>
      <c r="AI32" s="136">
        <f t="shared" ref="AI32:AI38" si="23">T32/O32</f>
        <v>2.337004378078876E-2</v>
      </c>
    </row>
    <row r="33" spans="2:35" x14ac:dyDescent="0.2">
      <c r="B33" s="596">
        <v>2020</v>
      </c>
      <c r="C33" s="608">
        <f t="shared" si="13"/>
        <v>229.60246114462157</v>
      </c>
      <c r="D33" s="609">
        <f t="shared" si="8"/>
        <v>12828.597538855378</v>
      </c>
      <c r="E33" s="610">
        <f>'A6-Chin (NEW2+Khutz)'!G41</f>
        <v>266</v>
      </c>
      <c r="F33" s="624">
        <f t="shared" si="12"/>
        <v>132.06809696061282</v>
      </c>
      <c r="G33" s="625">
        <f t="shared" si="12"/>
        <v>97.534364184008751</v>
      </c>
      <c r="H33" s="613">
        <f>'A6-Chin (NEW2+Khutz)'!I41</f>
        <v>1984.8</v>
      </c>
      <c r="I33" s="614">
        <f t="shared" si="1"/>
        <v>15308.999999999998</v>
      </c>
      <c r="J33" s="600"/>
      <c r="K33" s="615">
        <f t="shared" si="2"/>
        <v>1.4997874527704069E-2</v>
      </c>
      <c r="L33" s="593"/>
      <c r="N33" s="616">
        <f>'[1]Data-FW Catch Rates - new'!CF35</f>
        <v>12828.597538855378</v>
      </c>
      <c r="O33" s="616">
        <v>9824.6483103879855</v>
      </c>
      <c r="P33" s="617">
        <f t="shared" si="18"/>
        <v>1.3264222014311738E-2</v>
      </c>
      <c r="Q33" s="618">
        <f t="shared" si="14"/>
        <v>9956.7164073485983</v>
      </c>
      <c r="R33" s="619">
        <f t="shared" si="19"/>
        <v>132.06809696061282</v>
      </c>
      <c r="S33" s="619">
        <f t="shared" si="15"/>
        <v>97.534364184008751</v>
      </c>
      <c r="T33" s="619">
        <f t="shared" si="20"/>
        <v>229.60246114462157</v>
      </c>
      <c r="U33" s="619">
        <f t="shared" si="6"/>
        <v>266</v>
      </c>
      <c r="W33" s="620">
        <f t="shared" si="21"/>
        <v>0.5752033157755484</v>
      </c>
      <c r="X33" s="620">
        <f t="shared" si="21"/>
        <v>0.42479668422445166</v>
      </c>
      <c r="Y33" s="620">
        <f t="shared" si="22"/>
        <v>1</v>
      </c>
      <c r="AG33" s="622">
        <f t="shared" si="16"/>
        <v>1.3264222014311804E-2</v>
      </c>
      <c r="AH33" s="623">
        <f t="shared" si="17"/>
        <v>0.42479668422445171</v>
      </c>
      <c r="AI33" s="136">
        <f t="shared" si="23"/>
        <v>2.3370043780788968E-2</v>
      </c>
    </row>
    <row r="34" spans="2:35" x14ac:dyDescent="0.2">
      <c r="B34" s="596">
        <v>2021</v>
      </c>
      <c r="C34" s="608">
        <f t="shared" si="13"/>
        <v>250.79253479441255</v>
      </c>
      <c r="D34" s="609">
        <f t="shared" si="8"/>
        <v>11766.207465205587</v>
      </c>
      <c r="E34" s="610">
        <f>'A6-Chin (NEW2+Khutz)'!G42</f>
        <v>299</v>
      </c>
      <c r="F34" s="624">
        <f t="shared" si="12"/>
        <v>144.25669758550066</v>
      </c>
      <c r="G34" s="625">
        <f t="shared" si="12"/>
        <v>106.53583720891189</v>
      </c>
      <c r="H34" s="613">
        <f>'A6-Chin (NEW2+Khutz)'!I42</f>
        <v>1064</v>
      </c>
      <c r="I34" s="614">
        <f t="shared" si="1"/>
        <v>13380</v>
      </c>
      <c r="J34" s="600"/>
      <c r="K34" s="615">
        <f t="shared" si="2"/>
        <v>1.8743836681196752E-2</v>
      </c>
      <c r="L34" s="593"/>
      <c r="N34" s="616">
        <f>'[1]Data-FW Catch Rates - new'!CF36</f>
        <v>11766.207465205587</v>
      </c>
      <c r="O34" s="616">
        <v>10731.367777777778</v>
      </c>
      <c r="P34" s="617">
        <f t="shared" si="18"/>
        <v>1.3264222014311738E-2</v>
      </c>
      <c r="Q34" s="618">
        <f t="shared" si="14"/>
        <v>10875.624475363278</v>
      </c>
      <c r="R34" s="619">
        <f t="shared" si="19"/>
        <v>144.25669758550066</v>
      </c>
      <c r="S34" s="619">
        <f t="shared" si="15"/>
        <v>106.53583720891189</v>
      </c>
      <c r="T34" s="619">
        <f t="shared" si="20"/>
        <v>250.79253479441255</v>
      </c>
      <c r="U34" s="619">
        <f t="shared" si="6"/>
        <v>299</v>
      </c>
      <c r="W34" s="620">
        <f t="shared" si="21"/>
        <v>0.5752033157755484</v>
      </c>
      <c r="X34" s="620">
        <f t="shared" si="21"/>
        <v>0.42479668422445166</v>
      </c>
      <c r="Y34" s="620">
        <f t="shared" si="22"/>
        <v>1</v>
      </c>
      <c r="AG34" s="622">
        <f t="shared" si="16"/>
        <v>1.3264222014311693E-2</v>
      </c>
      <c r="AH34" s="623">
        <f t="shared" si="17"/>
        <v>0.42479668422445171</v>
      </c>
      <c r="AI34" s="136">
        <f t="shared" si="23"/>
        <v>2.3370043780788771E-2</v>
      </c>
    </row>
    <row r="35" spans="2:35" x14ac:dyDescent="0.2">
      <c r="B35" s="596">
        <v>2022</v>
      </c>
      <c r="C35" s="608">
        <f t="shared" si="13"/>
        <v>265.03951152179019</v>
      </c>
      <c r="D35" s="609">
        <f>N35</f>
        <v>14410.16048847821</v>
      </c>
      <c r="E35" s="610">
        <f>'A6-Chin (NEW2+Khutz)'!G43</f>
        <v>38</v>
      </c>
      <c r="F35" s="624">
        <f t="shared" si="12"/>
        <v>152.45160583886536</v>
      </c>
      <c r="G35" s="625">
        <f t="shared" si="12"/>
        <v>112.58790568292483</v>
      </c>
      <c r="H35" s="613">
        <f>'A6-Chin (NEW2+Khutz)'!I43</f>
        <v>1347.8</v>
      </c>
      <c r="I35" s="614">
        <f t="shared" si="1"/>
        <v>16061</v>
      </c>
      <c r="J35" s="600"/>
      <c r="K35" s="615">
        <f t="shared" si="2"/>
        <v>1.6502055383960539E-2</v>
      </c>
      <c r="L35" s="593"/>
      <c r="N35" s="616">
        <f>'[1]Data-FW Catch Rates - new'!CF37</f>
        <v>14410.16048847821</v>
      </c>
      <c r="O35" s="616">
        <v>11340.993367742924</v>
      </c>
      <c r="P35" s="617">
        <f t="shared" si="18"/>
        <v>1.3264222014311738E-2</v>
      </c>
      <c r="Q35" s="618">
        <f t="shared" si="14"/>
        <v>11493.444973581789</v>
      </c>
      <c r="R35" s="619">
        <f t="shared" si="19"/>
        <v>152.45160583886536</v>
      </c>
      <c r="S35" s="619">
        <f t="shared" si="15"/>
        <v>112.58790568292483</v>
      </c>
      <c r="T35" s="619">
        <f t="shared" si="20"/>
        <v>265.03951152179019</v>
      </c>
      <c r="U35" s="619">
        <f t="shared" si="6"/>
        <v>38</v>
      </c>
      <c r="W35" s="620">
        <f t="shared" si="21"/>
        <v>0.5752033157755484</v>
      </c>
      <c r="X35" s="620">
        <f t="shared" si="21"/>
        <v>0.42479668422445166</v>
      </c>
      <c r="Y35" s="620">
        <f t="shared" si="22"/>
        <v>1</v>
      </c>
      <c r="AG35" s="622">
        <f t="shared" si="16"/>
        <v>1.3264222014311843E-2</v>
      </c>
      <c r="AH35" s="623">
        <f t="shared" si="17"/>
        <v>0.42479668422445166</v>
      </c>
      <c r="AI35" s="136">
        <f t="shared" si="23"/>
        <v>2.3370043780789034E-2</v>
      </c>
    </row>
    <row r="36" spans="2:35" x14ac:dyDescent="0.2">
      <c r="B36" s="596">
        <v>2023</v>
      </c>
      <c r="C36" s="608">
        <f t="shared" si="13"/>
        <v>193.24647044608315</v>
      </c>
      <c r="D36" s="609">
        <f>N36</f>
        <v>9758.9535295539172</v>
      </c>
      <c r="E36" s="610">
        <f>'A6-Chin (NEW2+Khutz)'!G44</f>
        <v>66</v>
      </c>
      <c r="F36" s="624">
        <f t="shared" si="12"/>
        <v>111.15601056250853</v>
      </c>
      <c r="G36" s="625">
        <f t="shared" si="12"/>
        <v>82.090459883574624</v>
      </c>
      <c r="H36" s="613">
        <f>'A6-Chin (NEW2+Khutz)'!I44</f>
        <v>1587.8</v>
      </c>
      <c r="I36" s="614">
        <f t="shared" si="1"/>
        <v>11606</v>
      </c>
      <c r="J36" s="600"/>
      <c r="K36" s="615">
        <f t="shared" si="2"/>
        <v>1.6650566124942544E-2</v>
      </c>
      <c r="L36" s="593"/>
      <c r="N36" s="616">
        <f>'[1]Data-FW Catch Rates - new'!CF38</f>
        <v>9758.9535295539172</v>
      </c>
      <c r="O36" s="616">
        <v>8268.9819607843128</v>
      </c>
      <c r="P36" s="617">
        <f t="shared" si="18"/>
        <v>1.3264222014311738E-2</v>
      </c>
      <c r="Q36" s="618">
        <f t="shared" si="14"/>
        <v>8380.1379713468214</v>
      </c>
      <c r="R36" s="619">
        <f t="shared" si="19"/>
        <v>111.15601056250853</v>
      </c>
      <c r="S36" s="619">
        <f t="shared" si="15"/>
        <v>82.090459883574624</v>
      </c>
      <c r="T36" s="619">
        <f t="shared" si="20"/>
        <v>193.24647044608315</v>
      </c>
      <c r="U36" s="619">
        <f t="shared" si="6"/>
        <v>66</v>
      </c>
      <c r="W36" s="620">
        <f t="shared" si="21"/>
        <v>0.5752033157755484</v>
      </c>
      <c r="X36" s="620">
        <f t="shared" si="21"/>
        <v>0.42479668422445166</v>
      </c>
      <c r="Y36" s="620">
        <f t="shared" si="22"/>
        <v>1</v>
      </c>
      <c r="AG36" s="622"/>
      <c r="AH36" s="623"/>
      <c r="AI36" s="136">
        <f t="shared" si="23"/>
        <v>2.3370043780788913E-2</v>
      </c>
    </row>
    <row r="37" spans="2:35" x14ac:dyDescent="0.2">
      <c r="B37" s="596">
        <v>2024</v>
      </c>
      <c r="C37" s="608">
        <v>240.33973247178227</v>
      </c>
      <c r="D37" s="609">
        <v>10046.757055699707</v>
      </c>
      <c r="E37" s="610">
        <v>99</v>
      </c>
      <c r="F37" s="624">
        <v>138.24294430029295</v>
      </c>
      <c r="G37" s="625">
        <v>102.09678817148932</v>
      </c>
      <c r="H37" s="613">
        <v>2339.3500000000004</v>
      </c>
      <c r="I37" s="614">
        <v>12725.44678817149</v>
      </c>
      <c r="J37" s="600"/>
      <c r="K37" s="615">
        <v>1.8886545712106705E-2</v>
      </c>
      <c r="L37" s="593"/>
      <c r="N37" s="616">
        <f>'[1]Data-FW Catch Rates - new'!CF39</f>
        <v>12477.710267528219</v>
      </c>
      <c r="O37" s="616">
        <v>10283.53799110452</v>
      </c>
      <c r="P37" s="617">
        <f t="shared" si="18"/>
        <v>1.3264222014311738E-2</v>
      </c>
      <c r="Q37" s="618">
        <f t="shared" si="14"/>
        <v>10421.774724837913</v>
      </c>
      <c r="R37" s="619">
        <f t="shared" si="19"/>
        <v>138.23673373339261</v>
      </c>
      <c r="S37" s="619">
        <f t="shared" si="15"/>
        <v>102.08999934012527</v>
      </c>
      <c r="T37" s="619">
        <v>240.33973247178227</v>
      </c>
      <c r="U37" s="619">
        <v>99</v>
      </c>
      <c r="W37" s="620">
        <v>0.5751980451943115</v>
      </c>
      <c r="X37" s="620">
        <v>0.42480195480568844</v>
      </c>
      <c r="Y37" s="620">
        <v>1</v>
      </c>
      <c r="AG37" s="622">
        <v>1.3264222014311721E-2</v>
      </c>
      <c r="AH37" s="623">
        <v>0.4248019548056885</v>
      </c>
      <c r="AI37" s="136">
        <v>2.3370257922188085E-2</v>
      </c>
    </row>
    <row r="38" spans="2:35" ht="13.5" thickBot="1" x14ac:dyDescent="0.25">
      <c r="B38" s="596">
        <v>2025</v>
      </c>
      <c r="C38" s="608">
        <f>SUM(F38:G38)</f>
        <v>198.77730985484322</v>
      </c>
      <c r="D38" s="609">
        <f>N38</f>
        <v>10359.972690145158</v>
      </c>
      <c r="E38" s="610">
        <f>'A6-Chin (NEW2+Khutz)'!G46</f>
        <v>55</v>
      </c>
      <c r="F38" s="626">
        <f>R38</f>
        <v>114.3373677294494</v>
      </c>
      <c r="G38" s="627">
        <f t="shared" si="12"/>
        <v>84.439942125393827</v>
      </c>
      <c r="H38" s="613">
        <f>'A6-Chin (NEW2+Khutz)'!I46</f>
        <v>1712.25</v>
      </c>
      <c r="I38" s="614">
        <f t="shared" si="1"/>
        <v>12326</v>
      </c>
      <c r="J38" s="600"/>
      <c r="K38" s="615">
        <f>C38/I38</f>
        <v>1.6126668007045531E-2</v>
      </c>
      <c r="L38" s="593"/>
      <c r="N38" s="616">
        <f>'[1]Data-FW Catch Rates - new'!CF40</f>
        <v>10359.972690145158</v>
      </c>
      <c r="O38" s="616">
        <v>8505.6455913978498</v>
      </c>
      <c r="P38" s="617">
        <f t="shared" si="18"/>
        <v>1.3264222014311738E-2</v>
      </c>
      <c r="Q38" s="618">
        <f>O38/(1-P38)</f>
        <v>8619.9829591272992</v>
      </c>
      <c r="R38" s="628">
        <f>Q38-O38</f>
        <v>114.3373677294494</v>
      </c>
      <c r="S38" s="628">
        <f>R38/(1-X$31)-R38</f>
        <v>84.439942125393827</v>
      </c>
      <c r="T38" s="628">
        <f t="shared" si="20"/>
        <v>198.77730985484322</v>
      </c>
      <c r="U38" s="619">
        <f t="shared" si="6"/>
        <v>55</v>
      </c>
      <c r="W38" s="620">
        <f>AVERAGE(W$13:W$30)</f>
        <v>0.5752033157755484</v>
      </c>
      <c r="X38" s="620">
        <f t="shared" si="21"/>
        <v>0.42479668422445166</v>
      </c>
      <c r="Y38" s="620">
        <f>AVERAGE(Y19:Y36)</f>
        <v>1</v>
      </c>
      <c r="AG38" s="622">
        <f t="shared" si="16"/>
        <v>1.3264222014311858E-2</v>
      </c>
      <c r="AH38" s="623">
        <f t="shared" si="17"/>
        <v>0.42479668422445171</v>
      </c>
      <c r="AI38" s="136">
        <f t="shared" si="23"/>
        <v>2.3370043780789062E-2</v>
      </c>
    </row>
  </sheetData>
  <mergeCells count="1">
    <mergeCell ref="R11:T11"/>
  </mergeCells>
  <pageMargins left="0.7" right="0.7" top="0.75" bottom="0.75" header="0.3" footer="0.3"/>
  <pageSetup orientation="portrait" horizontalDpi="1200" verticalDpi="1200" r:id="rId1"/>
  <headerFooter>
    <oddHeader>&amp;R&amp;"Calibri"&amp;12&amp;K000000 Unclassified - Non-Classifié&amp;1#_x000D_</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99569-7B30-4028-BB70-2B48469A8947}">
  <sheetPr>
    <tabColor rgb="FFFFFF00"/>
  </sheetPr>
  <dimension ref="A1:AG40"/>
  <sheetViews>
    <sheetView zoomScale="80" zoomScaleNormal="80" workbookViewId="0">
      <pane ySplit="5" topLeftCell="A13" activePane="bottomLeft" state="frozen"/>
      <selection activeCell="C49" sqref="C49:E49"/>
      <selection pane="bottomLeft" activeCell="C49" sqref="C49:E49"/>
    </sheetView>
  </sheetViews>
  <sheetFormatPr defaultRowHeight="12.75" x14ac:dyDescent="0.2"/>
  <cols>
    <col min="7" max="7" width="5.42578125" customWidth="1"/>
    <col min="13" max="13" width="5.42578125" customWidth="1"/>
    <col min="19" max="19" width="2.5703125" customWidth="1"/>
  </cols>
  <sheetData>
    <row r="1" spans="1:33" ht="15.75" x14ac:dyDescent="0.25">
      <c r="A1" s="629"/>
      <c r="B1" s="629"/>
      <c r="C1" s="629"/>
      <c r="D1" s="629"/>
      <c r="E1" s="629"/>
      <c r="F1" s="629"/>
      <c r="G1" s="12" t="s">
        <v>427</v>
      </c>
      <c r="H1" s="630">
        <v>0.6</v>
      </c>
      <c r="I1" s="630">
        <v>0.6</v>
      </c>
      <c r="J1" s="630">
        <v>0.6</v>
      </c>
      <c r="K1" s="630">
        <v>0.6</v>
      </c>
      <c r="L1" s="630"/>
      <c r="M1" s="629"/>
      <c r="N1" s="629"/>
      <c r="O1" s="629"/>
      <c r="P1" s="629"/>
      <c r="Q1" s="629"/>
      <c r="R1" s="629"/>
      <c r="S1" s="629"/>
      <c r="T1" s="629"/>
      <c r="U1" s="629"/>
      <c r="V1" s="629"/>
      <c r="W1" s="629"/>
      <c r="X1" s="629"/>
      <c r="Y1" s="629"/>
      <c r="Z1" s="629"/>
      <c r="AA1" s="629"/>
      <c r="AB1" s="629"/>
      <c r="AC1" s="629"/>
      <c r="AD1" s="629"/>
      <c r="AE1" s="629"/>
      <c r="AF1" s="629"/>
      <c r="AG1" s="629"/>
    </row>
    <row r="2" spans="1:33" ht="15.75" x14ac:dyDescent="0.25">
      <c r="A2" s="12"/>
      <c r="B2" s="12" t="s">
        <v>51</v>
      </c>
      <c r="C2" s="12"/>
      <c r="D2" s="12"/>
      <c r="E2" s="12"/>
      <c r="F2" s="12"/>
      <c r="G2" s="12" t="s">
        <v>428</v>
      </c>
      <c r="H2" s="630">
        <v>1</v>
      </c>
      <c r="I2" s="630">
        <v>1</v>
      </c>
      <c r="J2" s="630">
        <v>1</v>
      </c>
      <c r="K2" s="630">
        <v>1</v>
      </c>
      <c r="L2" s="630"/>
      <c r="M2" s="12"/>
      <c r="N2" s="12"/>
      <c r="O2" s="12"/>
      <c r="P2" s="12"/>
      <c r="Q2" s="12"/>
      <c r="R2" s="12"/>
      <c r="S2" s="12"/>
      <c r="T2" s="631" t="s">
        <v>51</v>
      </c>
      <c r="U2" s="631"/>
      <c r="V2" s="631"/>
      <c r="W2" s="631"/>
      <c r="X2" s="631"/>
      <c r="Y2" s="629"/>
      <c r="Z2" s="629"/>
      <c r="AA2" s="629"/>
      <c r="AB2" s="629"/>
      <c r="AC2" s="629"/>
      <c r="AD2" s="629"/>
      <c r="AE2" s="629"/>
      <c r="AF2" s="629"/>
      <c r="AG2" s="629"/>
    </row>
    <row r="3" spans="1:33" ht="15.75" x14ac:dyDescent="0.25">
      <c r="A3" s="12"/>
      <c r="B3" s="12"/>
      <c r="C3" s="12"/>
      <c r="D3" s="12"/>
      <c r="E3" s="12"/>
      <c r="F3" s="12"/>
      <c r="G3" s="12"/>
      <c r="H3" s="12"/>
      <c r="I3" s="12"/>
      <c r="J3" s="12"/>
      <c r="K3" s="12"/>
      <c r="L3" s="12"/>
      <c r="M3" s="12"/>
      <c r="N3" s="12"/>
      <c r="O3" s="12"/>
      <c r="P3" s="12"/>
      <c r="Q3" s="12"/>
      <c r="R3" s="12"/>
      <c r="S3" s="12"/>
      <c r="T3" s="631"/>
      <c r="U3" s="631"/>
      <c r="V3" s="631"/>
      <c r="W3" s="631"/>
      <c r="X3" s="631"/>
      <c r="Y3" s="629"/>
      <c r="Z3" s="629"/>
      <c r="AA3" s="629"/>
      <c r="AB3" s="629"/>
      <c r="AC3" s="629"/>
      <c r="AD3" s="629"/>
      <c r="AE3" s="629"/>
      <c r="AF3" s="629"/>
      <c r="AG3" s="629"/>
    </row>
    <row r="4" spans="1:33" ht="15.75" x14ac:dyDescent="0.25">
      <c r="A4" s="12"/>
      <c r="B4" s="632" t="s">
        <v>429</v>
      </c>
      <c r="C4" s="632"/>
      <c r="D4" s="632"/>
      <c r="E4" s="632"/>
      <c r="F4" s="632"/>
      <c r="G4" s="12"/>
      <c r="H4" s="632" t="s">
        <v>29</v>
      </c>
      <c r="I4" s="632"/>
      <c r="J4" s="632"/>
      <c r="K4" s="632"/>
      <c r="L4" s="632"/>
      <c r="M4" s="12"/>
      <c r="N4" s="632" t="s">
        <v>43</v>
      </c>
      <c r="O4" s="632"/>
      <c r="P4" s="632"/>
      <c r="Q4" s="632"/>
      <c r="R4" s="632"/>
      <c r="S4" s="12"/>
      <c r="T4" s="633" t="s">
        <v>430</v>
      </c>
      <c r="U4" s="633"/>
      <c r="V4" s="633"/>
      <c r="W4" s="633"/>
      <c r="X4" s="633"/>
      <c r="Y4" s="629"/>
      <c r="Z4" s="629"/>
      <c r="AA4" s="629"/>
      <c r="AB4" s="629"/>
      <c r="AC4" s="629"/>
      <c r="AD4" s="629"/>
      <c r="AE4" s="629"/>
      <c r="AF4" s="629"/>
      <c r="AG4" s="629"/>
    </row>
    <row r="5" spans="1:33" ht="15.75" x14ac:dyDescent="0.25">
      <c r="A5" s="634" t="s">
        <v>36</v>
      </c>
      <c r="B5" s="634" t="s">
        <v>38</v>
      </c>
      <c r="C5" s="634" t="s">
        <v>39</v>
      </c>
      <c r="D5" s="634" t="s">
        <v>431</v>
      </c>
      <c r="E5" s="634" t="s">
        <v>249</v>
      </c>
      <c r="F5" s="634" t="s">
        <v>43</v>
      </c>
      <c r="G5" s="12"/>
      <c r="H5" s="634" t="s">
        <v>38</v>
      </c>
      <c r="I5" s="634" t="s">
        <v>39</v>
      </c>
      <c r="J5" s="634" t="s">
        <v>431</v>
      </c>
      <c r="K5" s="634" t="s">
        <v>249</v>
      </c>
      <c r="L5" s="634" t="s">
        <v>43</v>
      </c>
      <c r="M5" s="12"/>
      <c r="N5" s="634" t="s">
        <v>38</v>
      </c>
      <c r="O5" s="634" t="s">
        <v>39</v>
      </c>
      <c r="P5" s="634" t="s">
        <v>431</v>
      </c>
      <c r="Q5" s="634" t="s">
        <v>249</v>
      </c>
      <c r="R5" s="634" t="s">
        <v>43</v>
      </c>
      <c r="S5" s="12"/>
      <c r="T5" s="635" t="s">
        <v>38</v>
      </c>
      <c r="U5" s="635" t="s">
        <v>39</v>
      </c>
      <c r="V5" s="635" t="s">
        <v>431</v>
      </c>
      <c r="W5" s="635" t="s">
        <v>249</v>
      </c>
      <c r="X5" s="635" t="s">
        <v>43</v>
      </c>
      <c r="Y5" s="629"/>
      <c r="Z5" s="629"/>
      <c r="AA5" s="629"/>
      <c r="AB5" s="629"/>
      <c r="AC5" s="629"/>
      <c r="AD5" s="629"/>
      <c r="AE5" s="629"/>
      <c r="AF5" s="629"/>
      <c r="AG5" s="629"/>
    </row>
    <row r="6" spans="1:33" ht="15.75" x14ac:dyDescent="0.25">
      <c r="A6" s="636"/>
      <c r="B6" s="636"/>
      <c r="C6" s="636"/>
      <c r="D6" s="636"/>
      <c r="E6" s="636"/>
      <c r="F6" s="636"/>
      <c r="G6" s="12"/>
      <c r="H6" s="636"/>
      <c r="I6" s="636"/>
      <c r="J6" s="636"/>
      <c r="K6" s="636"/>
      <c r="L6" s="636"/>
      <c r="M6" s="12"/>
      <c r="N6" s="636"/>
      <c r="O6" s="636"/>
      <c r="P6" s="636"/>
      <c r="Q6" s="636"/>
      <c r="R6" s="636"/>
      <c r="S6" s="12"/>
      <c r="T6" s="637"/>
      <c r="U6" s="637"/>
      <c r="V6" s="637"/>
      <c r="W6" s="637"/>
      <c r="X6" s="637"/>
      <c r="Y6" s="629"/>
      <c r="Z6" s="629"/>
      <c r="AA6" s="629"/>
      <c r="AB6" s="629"/>
      <c r="AC6" s="629"/>
      <c r="AD6" s="629"/>
      <c r="AE6" s="629"/>
      <c r="AF6" s="629"/>
      <c r="AG6" s="629"/>
    </row>
    <row r="7" spans="1:33" ht="15.75" x14ac:dyDescent="0.25">
      <c r="A7" s="638">
        <v>1992</v>
      </c>
      <c r="B7" s="639">
        <f>'[1]Data-Nisgaa &amp; Other FN Catch'!AP5</f>
        <v>1308.1727757851456</v>
      </c>
      <c r="C7" s="639">
        <f>'[1]Data-Nisgaa &amp; Other FN Catch'!AQ5</f>
        <v>1314.8272242148544</v>
      </c>
      <c r="D7" s="639">
        <f>'[1]Data-Nisgaa &amp; Other FN Catch'!AR5</f>
        <v>3979</v>
      </c>
      <c r="E7" s="639">
        <f>'[1]Data-Nisgaa &amp; Other FN Catch'!AS5</f>
        <v>457</v>
      </c>
      <c r="F7" s="639">
        <f>SUM(B7:E7)</f>
        <v>7059</v>
      </c>
      <c r="G7" s="12"/>
      <c r="H7" s="639">
        <f>T7*H$2*H$1</f>
        <v>0</v>
      </c>
      <c r="I7" s="639">
        <f t="shared" ref="I7:K22" si="0">U7*I$2*I$1</f>
        <v>0</v>
      </c>
      <c r="J7" s="639">
        <f t="shared" si="0"/>
        <v>0</v>
      </c>
      <c r="K7" s="639">
        <f t="shared" si="0"/>
        <v>0</v>
      </c>
      <c r="L7" s="639">
        <f>SUM(H7:K7)</f>
        <v>0</v>
      </c>
      <c r="M7" s="12"/>
      <c r="N7" s="639">
        <f>B7+H7</f>
        <v>1308.1727757851456</v>
      </c>
      <c r="O7" s="639">
        <f>C7+I7</f>
        <v>1314.8272242148544</v>
      </c>
      <c r="P7" s="639">
        <f>D7+J7</f>
        <v>3979</v>
      </c>
      <c r="Q7" s="639">
        <f>E7+K7</f>
        <v>457</v>
      </c>
      <c r="R7" s="639">
        <f>F7+L7</f>
        <v>7059</v>
      </c>
      <c r="S7" s="12"/>
      <c r="T7" s="640"/>
      <c r="U7" s="640"/>
      <c r="V7" s="640"/>
      <c r="W7" s="640"/>
      <c r="X7" s="640"/>
      <c r="Y7" s="629"/>
      <c r="Z7" s="629"/>
      <c r="AA7" s="629"/>
      <c r="AB7" s="629"/>
      <c r="AC7" s="629"/>
      <c r="AD7" s="629"/>
      <c r="AE7" s="629"/>
      <c r="AF7" s="629"/>
      <c r="AG7" s="629"/>
    </row>
    <row r="8" spans="1:33" ht="15.75" x14ac:dyDescent="0.25">
      <c r="A8" s="638">
        <v>1993</v>
      </c>
      <c r="B8" s="639">
        <f>'[1]Data-Nisgaa &amp; Other FN Catch'!AP6</f>
        <v>1526.1184498294112</v>
      </c>
      <c r="C8" s="639">
        <f>'[1]Data-Nisgaa &amp; Other FN Catch'!AQ6</f>
        <v>1533.8815501705888</v>
      </c>
      <c r="D8" s="639">
        <f>'[1]Data-Nisgaa &amp; Other FN Catch'!AR6</f>
        <v>2148</v>
      </c>
      <c r="E8" s="639">
        <f>'[1]Data-Nisgaa &amp; Other FN Catch'!AS6</f>
        <v>378</v>
      </c>
      <c r="F8" s="639">
        <f t="shared" ref="F8:F40" si="1">SUM(B8:E8)</f>
        <v>5586</v>
      </c>
      <c r="G8" s="12"/>
      <c r="H8" s="639">
        <f t="shared" ref="H8:K33" si="2">T8*H$2*H$1</f>
        <v>0</v>
      </c>
      <c r="I8" s="639">
        <f t="shared" si="0"/>
        <v>0</v>
      </c>
      <c r="J8" s="639">
        <f t="shared" si="0"/>
        <v>0</v>
      </c>
      <c r="K8" s="639">
        <f t="shared" si="0"/>
        <v>0</v>
      </c>
      <c r="L8" s="639">
        <f t="shared" ref="L8:L40" si="3">SUM(H8:K8)</f>
        <v>0</v>
      </c>
      <c r="M8" s="12"/>
      <c r="N8" s="639">
        <f t="shared" ref="N8:R33" si="4">B8+H8</f>
        <v>1526.1184498294112</v>
      </c>
      <c r="O8" s="639">
        <f t="shared" si="4"/>
        <v>1533.8815501705888</v>
      </c>
      <c r="P8" s="639">
        <f t="shared" si="4"/>
        <v>2148</v>
      </c>
      <c r="Q8" s="639">
        <f t="shared" si="4"/>
        <v>378</v>
      </c>
      <c r="R8" s="639">
        <f t="shared" si="4"/>
        <v>5586</v>
      </c>
      <c r="S8" s="12"/>
      <c r="T8" s="640"/>
      <c r="U8" s="640"/>
      <c r="V8" s="640"/>
      <c r="W8" s="640"/>
      <c r="X8" s="640"/>
      <c r="Y8" s="629"/>
      <c r="Z8" s="629"/>
      <c r="AA8" s="629"/>
      <c r="AB8" s="629"/>
      <c r="AC8" s="629"/>
      <c r="AD8" s="629"/>
      <c r="AE8" s="629"/>
      <c r="AF8" s="629"/>
      <c r="AG8" s="629"/>
    </row>
    <row r="9" spans="1:33" ht="15.75" x14ac:dyDescent="0.25">
      <c r="A9" s="638">
        <v>1994</v>
      </c>
      <c r="B9" s="639">
        <f>'[1]Data-Nisgaa &amp; Other FN Catch'!AP7</f>
        <v>2097.6647712361123</v>
      </c>
      <c r="C9" s="639">
        <f>'[1]Data-Nisgaa &amp; Other FN Catch'!AQ7</f>
        <v>2108.3352287638877</v>
      </c>
      <c r="D9" s="639">
        <f>'[1]Data-Nisgaa &amp; Other FN Catch'!AR7</f>
        <v>1677</v>
      </c>
      <c r="E9" s="639">
        <f>'[1]Data-Nisgaa &amp; Other FN Catch'!AS7</f>
        <v>330</v>
      </c>
      <c r="F9" s="639">
        <f t="shared" si="1"/>
        <v>6213</v>
      </c>
      <c r="G9" s="12"/>
      <c r="H9" s="639">
        <f t="shared" si="2"/>
        <v>0</v>
      </c>
      <c r="I9" s="639">
        <f t="shared" si="0"/>
        <v>0</v>
      </c>
      <c r="J9" s="639">
        <f t="shared" si="0"/>
        <v>0</v>
      </c>
      <c r="K9" s="639">
        <f t="shared" si="0"/>
        <v>0</v>
      </c>
      <c r="L9" s="639">
        <f t="shared" si="3"/>
        <v>0</v>
      </c>
      <c r="M9" s="12"/>
      <c r="N9" s="639">
        <f t="shared" si="4"/>
        <v>2097.6647712361123</v>
      </c>
      <c r="O9" s="639">
        <f t="shared" si="4"/>
        <v>2108.3352287638877</v>
      </c>
      <c r="P9" s="639">
        <f t="shared" si="4"/>
        <v>1677</v>
      </c>
      <c r="Q9" s="639">
        <f t="shared" si="4"/>
        <v>330</v>
      </c>
      <c r="R9" s="639">
        <f t="shared" si="4"/>
        <v>6213</v>
      </c>
      <c r="S9" s="12"/>
      <c r="T9" s="640"/>
      <c r="U9" s="640"/>
      <c r="V9" s="640"/>
      <c r="W9" s="640"/>
      <c r="X9" s="640"/>
      <c r="Y9" s="629"/>
      <c r="Z9" s="629"/>
      <c r="AA9" s="629"/>
      <c r="AB9" s="629"/>
      <c r="AC9" s="629"/>
      <c r="AD9" s="629"/>
      <c r="AE9" s="629"/>
      <c r="AF9" s="629"/>
      <c r="AG9" s="629"/>
    </row>
    <row r="10" spans="1:33" ht="15.75" x14ac:dyDescent="0.25">
      <c r="A10" s="638">
        <v>1995</v>
      </c>
      <c r="B10" s="639">
        <f>'[1]Data-Nisgaa &amp; Other FN Catch'!AP8</f>
        <v>1812.3903420523138</v>
      </c>
      <c r="C10" s="639">
        <f>'[1]Data-Nisgaa &amp; Other FN Catch'!AQ8</f>
        <v>1821.6096579476862</v>
      </c>
      <c r="D10" s="639">
        <f>'[1]Data-Nisgaa &amp; Other FN Catch'!AR8</f>
        <v>2783</v>
      </c>
      <c r="E10" s="639">
        <f>'[1]Data-Nisgaa &amp; Other FN Catch'!AS8</f>
        <v>299</v>
      </c>
      <c r="F10" s="639">
        <f t="shared" si="1"/>
        <v>6716</v>
      </c>
      <c r="G10" s="12"/>
      <c r="H10" s="639">
        <f t="shared" si="2"/>
        <v>0</v>
      </c>
      <c r="I10" s="639">
        <f t="shared" si="0"/>
        <v>0</v>
      </c>
      <c r="J10" s="639">
        <f t="shared" si="0"/>
        <v>0</v>
      </c>
      <c r="K10" s="639">
        <f t="shared" si="0"/>
        <v>0</v>
      </c>
      <c r="L10" s="639">
        <f t="shared" si="3"/>
        <v>0</v>
      </c>
      <c r="M10" s="12"/>
      <c r="N10" s="639">
        <f t="shared" si="4"/>
        <v>1812.3903420523138</v>
      </c>
      <c r="O10" s="639">
        <f t="shared" si="4"/>
        <v>1821.6096579476862</v>
      </c>
      <c r="P10" s="639">
        <f t="shared" si="4"/>
        <v>2783</v>
      </c>
      <c r="Q10" s="639">
        <f t="shared" si="4"/>
        <v>299</v>
      </c>
      <c r="R10" s="639">
        <f t="shared" si="4"/>
        <v>6716</v>
      </c>
      <c r="S10" s="12"/>
      <c r="T10" s="640"/>
      <c r="U10" s="640"/>
      <c r="V10" s="640"/>
      <c r="W10" s="640"/>
      <c r="X10" s="640"/>
      <c r="Y10" s="629"/>
      <c r="Z10" s="629"/>
      <c r="AA10" s="629"/>
      <c r="AB10" s="629"/>
      <c r="AC10" s="629"/>
      <c r="AD10" s="629"/>
      <c r="AE10" s="629"/>
      <c r="AF10" s="629"/>
      <c r="AG10" s="629"/>
    </row>
    <row r="11" spans="1:33" ht="15.75" x14ac:dyDescent="0.25">
      <c r="A11" s="638">
        <v>1996</v>
      </c>
      <c r="B11" s="639">
        <f>'[1]Data-Nisgaa &amp; Other FN Catch'!AP9</f>
        <v>1834.3345289126059</v>
      </c>
      <c r="C11" s="639">
        <f>'[1]Data-Nisgaa &amp; Other FN Catch'!AQ9</f>
        <v>1843.6654710873941</v>
      </c>
      <c r="D11" s="639">
        <f>'[1]Data-Nisgaa &amp; Other FN Catch'!AR9</f>
        <v>3629</v>
      </c>
      <c r="E11" s="639">
        <f>'[1]Data-Nisgaa &amp; Other FN Catch'!AS9</f>
        <v>393</v>
      </c>
      <c r="F11" s="639">
        <f t="shared" si="1"/>
        <v>7700</v>
      </c>
      <c r="G11" s="12"/>
      <c r="H11" s="639">
        <f t="shared" si="2"/>
        <v>0</v>
      </c>
      <c r="I11" s="639">
        <f t="shared" si="0"/>
        <v>0</v>
      </c>
      <c r="J11" s="639">
        <f t="shared" si="0"/>
        <v>0</v>
      </c>
      <c r="K11" s="639">
        <f t="shared" si="0"/>
        <v>0</v>
      </c>
      <c r="L11" s="639">
        <f t="shared" si="3"/>
        <v>0</v>
      </c>
      <c r="M11" s="12"/>
      <c r="N11" s="639">
        <f t="shared" si="4"/>
        <v>1834.3345289126059</v>
      </c>
      <c r="O11" s="639">
        <f t="shared" si="4"/>
        <v>1843.6654710873941</v>
      </c>
      <c r="P11" s="639">
        <f t="shared" si="4"/>
        <v>3629</v>
      </c>
      <c r="Q11" s="639">
        <f t="shared" si="4"/>
        <v>393</v>
      </c>
      <c r="R11" s="639">
        <f t="shared" si="4"/>
        <v>7700</v>
      </c>
      <c r="S11" s="12"/>
      <c r="T11" s="640"/>
      <c r="U11" s="640"/>
      <c r="V11" s="640"/>
      <c r="W11" s="640"/>
      <c r="X11" s="640"/>
      <c r="Y11" s="629"/>
      <c r="Z11" s="629"/>
      <c r="AA11" s="629"/>
      <c r="AB11" s="629"/>
      <c r="AC11" s="629"/>
      <c r="AD11" s="629"/>
      <c r="AE11" s="629"/>
      <c r="AF11" s="629"/>
      <c r="AG11" s="629"/>
    </row>
    <row r="12" spans="1:33" ht="15.75" x14ac:dyDescent="0.25">
      <c r="A12" s="638">
        <v>1997</v>
      </c>
      <c r="B12" s="639">
        <f>'[1]Data-Nisgaa &amp; Other FN Catch'!AP10</f>
        <v>1876.7267080745341</v>
      </c>
      <c r="C12" s="639">
        <f>'[1]Data-Nisgaa &amp; Other FN Catch'!AQ10</f>
        <v>1886.2732919254659</v>
      </c>
      <c r="D12" s="639">
        <f>'[1]Data-Nisgaa &amp; Other FN Catch'!AR10</f>
        <v>1979</v>
      </c>
      <c r="E12" s="639">
        <f>'[1]Data-Nisgaa &amp; Other FN Catch'!AS10</f>
        <v>963</v>
      </c>
      <c r="F12" s="639">
        <f t="shared" si="1"/>
        <v>6705</v>
      </c>
      <c r="G12" s="12"/>
      <c r="H12" s="639">
        <f t="shared" si="2"/>
        <v>0</v>
      </c>
      <c r="I12" s="639">
        <f t="shared" si="0"/>
        <v>0</v>
      </c>
      <c r="J12" s="639">
        <f t="shared" si="0"/>
        <v>0</v>
      </c>
      <c r="K12" s="639">
        <f t="shared" si="0"/>
        <v>0</v>
      </c>
      <c r="L12" s="639">
        <f t="shared" si="3"/>
        <v>0</v>
      </c>
      <c r="M12" s="12"/>
      <c r="N12" s="639">
        <f t="shared" si="4"/>
        <v>1876.7267080745341</v>
      </c>
      <c r="O12" s="639">
        <f t="shared" si="4"/>
        <v>1886.2732919254659</v>
      </c>
      <c r="P12" s="639">
        <f t="shared" si="4"/>
        <v>1979</v>
      </c>
      <c r="Q12" s="639">
        <f t="shared" si="4"/>
        <v>963</v>
      </c>
      <c r="R12" s="639">
        <f t="shared" si="4"/>
        <v>6705</v>
      </c>
      <c r="S12" s="12"/>
      <c r="T12" s="640"/>
      <c r="U12" s="640"/>
      <c r="V12" s="640"/>
      <c r="W12" s="640"/>
      <c r="X12" s="640"/>
      <c r="Y12" s="629"/>
      <c r="Z12" s="629"/>
      <c r="AA12" s="629"/>
      <c r="AB12" s="629"/>
      <c r="AC12" s="629"/>
      <c r="AD12" s="629"/>
      <c r="AE12" s="629"/>
      <c r="AF12" s="629"/>
      <c r="AG12" s="629"/>
    </row>
    <row r="13" spans="1:33" ht="15.75" x14ac:dyDescent="0.25">
      <c r="A13" s="638">
        <v>1998</v>
      </c>
      <c r="B13" s="639">
        <f>'[1]Data-Nisgaa &amp; Other FN Catch'!AP11</f>
        <v>1595</v>
      </c>
      <c r="C13" s="639">
        <f>'[1]Data-Nisgaa &amp; Other FN Catch'!AQ11</f>
        <v>1540</v>
      </c>
      <c r="D13" s="639">
        <f>'[1]Data-Nisgaa &amp; Other FN Catch'!AR11</f>
        <v>5285</v>
      </c>
      <c r="E13" s="639">
        <f>'[1]Data-Nisgaa &amp; Other FN Catch'!AS11</f>
        <v>645</v>
      </c>
      <c r="F13" s="639">
        <f t="shared" si="1"/>
        <v>9065</v>
      </c>
      <c r="G13" s="12"/>
      <c r="H13" s="639">
        <f t="shared" si="2"/>
        <v>0</v>
      </c>
      <c r="I13" s="639">
        <f t="shared" si="0"/>
        <v>0</v>
      </c>
      <c r="J13" s="639">
        <f t="shared" si="0"/>
        <v>0</v>
      </c>
      <c r="K13" s="639">
        <f t="shared" si="0"/>
        <v>0</v>
      </c>
      <c r="L13" s="639">
        <f t="shared" si="3"/>
        <v>0</v>
      </c>
      <c r="M13" s="12"/>
      <c r="N13" s="639">
        <f t="shared" si="4"/>
        <v>1595</v>
      </c>
      <c r="O13" s="639">
        <f t="shared" si="4"/>
        <v>1540</v>
      </c>
      <c r="P13" s="639">
        <f t="shared" si="4"/>
        <v>5285</v>
      </c>
      <c r="Q13" s="639">
        <f t="shared" si="4"/>
        <v>645</v>
      </c>
      <c r="R13" s="639">
        <f t="shared" si="4"/>
        <v>9065</v>
      </c>
      <c r="S13" s="12"/>
      <c r="T13" s="640"/>
      <c r="U13" s="640"/>
      <c r="V13" s="640"/>
      <c r="W13" s="640"/>
      <c r="X13" s="640"/>
      <c r="Y13" s="629"/>
      <c r="Z13" s="629"/>
      <c r="AA13" s="629"/>
      <c r="AB13" s="629"/>
      <c r="AC13" s="629"/>
      <c r="AD13" s="629"/>
      <c r="AE13" s="629"/>
      <c r="AF13" s="629"/>
      <c r="AG13" s="629"/>
    </row>
    <row r="14" spans="1:33" ht="15.75" x14ac:dyDescent="0.25">
      <c r="A14" s="638">
        <v>1999</v>
      </c>
      <c r="B14" s="639">
        <f>'[1]Data-Nisgaa &amp; Other FN Catch'!AP12</f>
        <v>1608</v>
      </c>
      <c r="C14" s="639">
        <f>'[1]Data-Nisgaa &amp; Other FN Catch'!AQ12</f>
        <v>1448</v>
      </c>
      <c r="D14" s="639">
        <f>'[1]Data-Nisgaa &amp; Other FN Catch'!AR12</f>
        <v>5530</v>
      </c>
      <c r="E14" s="639">
        <f>'[1]Data-Nisgaa &amp; Other FN Catch'!AS12</f>
        <v>331</v>
      </c>
      <c r="F14" s="639">
        <f t="shared" si="1"/>
        <v>8917</v>
      </c>
      <c r="G14" s="12"/>
      <c r="H14" s="639">
        <f t="shared" si="2"/>
        <v>0</v>
      </c>
      <c r="I14" s="639">
        <f t="shared" si="0"/>
        <v>0</v>
      </c>
      <c r="J14" s="639">
        <f t="shared" si="0"/>
        <v>0</v>
      </c>
      <c r="K14" s="639">
        <f t="shared" si="0"/>
        <v>0</v>
      </c>
      <c r="L14" s="639">
        <f t="shared" si="3"/>
        <v>0</v>
      </c>
      <c r="M14" s="12"/>
      <c r="N14" s="639">
        <f t="shared" si="4"/>
        <v>1608</v>
      </c>
      <c r="O14" s="639">
        <f t="shared" si="4"/>
        <v>1448</v>
      </c>
      <c r="P14" s="639">
        <f t="shared" si="4"/>
        <v>5530</v>
      </c>
      <c r="Q14" s="639">
        <f t="shared" si="4"/>
        <v>331</v>
      </c>
      <c r="R14" s="639">
        <f t="shared" si="4"/>
        <v>8917</v>
      </c>
      <c r="S14" s="12"/>
      <c r="T14" s="640"/>
      <c r="U14" s="640"/>
      <c r="V14" s="640"/>
      <c r="W14" s="640"/>
      <c r="X14" s="640"/>
      <c r="Y14" s="629"/>
      <c r="Z14" s="629"/>
      <c r="AA14" s="629"/>
      <c r="AB14" s="629"/>
      <c r="AC14" s="629"/>
      <c r="AD14" s="629"/>
      <c r="AE14" s="629"/>
      <c r="AF14" s="629"/>
      <c r="AG14" s="629"/>
    </row>
    <row r="15" spans="1:33" ht="15.75" x14ac:dyDescent="0.25">
      <c r="A15" s="638">
        <v>2000</v>
      </c>
      <c r="B15" s="639">
        <f>'[1]Data-Nisgaa &amp; Other FN Catch'!AP13</f>
        <v>2498</v>
      </c>
      <c r="C15" s="639">
        <f>'[1]Data-Nisgaa &amp; Other FN Catch'!AQ13</f>
        <v>2742</v>
      </c>
      <c r="D15" s="639">
        <f>'[1]Data-Nisgaa &amp; Other FN Catch'!AR13</f>
        <v>3263</v>
      </c>
      <c r="E15" s="639">
        <f>'[1]Data-Nisgaa &amp; Other FN Catch'!AS13</f>
        <v>823</v>
      </c>
      <c r="F15" s="639">
        <f t="shared" si="1"/>
        <v>9326</v>
      </c>
      <c r="G15" s="12"/>
      <c r="H15" s="639">
        <f t="shared" si="2"/>
        <v>0</v>
      </c>
      <c r="I15" s="639">
        <f t="shared" si="0"/>
        <v>0</v>
      </c>
      <c r="J15" s="639">
        <f t="shared" si="0"/>
        <v>0</v>
      </c>
      <c r="K15" s="639">
        <f t="shared" si="0"/>
        <v>0</v>
      </c>
      <c r="L15" s="639">
        <f t="shared" si="3"/>
        <v>0</v>
      </c>
      <c r="M15" s="12"/>
      <c r="N15" s="639">
        <f t="shared" si="4"/>
        <v>2498</v>
      </c>
      <c r="O15" s="639">
        <f t="shared" si="4"/>
        <v>2742</v>
      </c>
      <c r="P15" s="639">
        <f t="shared" si="4"/>
        <v>3263</v>
      </c>
      <c r="Q15" s="639">
        <f t="shared" si="4"/>
        <v>823</v>
      </c>
      <c r="R15" s="639">
        <f t="shared" si="4"/>
        <v>9326</v>
      </c>
      <c r="S15" s="12"/>
      <c r="T15" s="640"/>
      <c r="U15" s="640"/>
      <c r="V15" s="640"/>
      <c r="W15" s="640"/>
      <c r="X15" s="640"/>
      <c r="Y15" s="629"/>
      <c r="Z15" s="629"/>
      <c r="AA15" s="629"/>
      <c r="AB15" s="629"/>
      <c r="AC15" s="629"/>
      <c r="AD15" s="629"/>
      <c r="AE15" s="629"/>
      <c r="AF15" s="629"/>
      <c r="AG15" s="629"/>
    </row>
    <row r="16" spans="1:33" ht="15.75" x14ac:dyDescent="0.25">
      <c r="A16" s="638">
        <v>2001</v>
      </c>
      <c r="B16" s="639">
        <f>'[1]Data-Nisgaa &amp; Other FN Catch'!AP14</f>
        <v>5457</v>
      </c>
      <c r="C16" s="639">
        <f>'[1]Data-Nisgaa &amp; Other FN Catch'!AQ14</f>
        <v>2093</v>
      </c>
      <c r="D16" s="639">
        <f>'[1]Data-Nisgaa &amp; Other FN Catch'!AR14</f>
        <v>2905</v>
      </c>
      <c r="E16" s="639">
        <f>'[1]Data-Nisgaa &amp; Other FN Catch'!AS14</f>
        <v>1309</v>
      </c>
      <c r="F16" s="639">
        <f t="shared" si="1"/>
        <v>11764</v>
      </c>
      <c r="G16" s="12"/>
      <c r="H16" s="639">
        <f t="shared" si="2"/>
        <v>0</v>
      </c>
      <c r="I16" s="639">
        <f t="shared" si="0"/>
        <v>0</v>
      </c>
      <c r="J16" s="639">
        <f t="shared" si="0"/>
        <v>0</v>
      </c>
      <c r="K16" s="639">
        <f t="shared" si="0"/>
        <v>0</v>
      </c>
      <c r="L16" s="639">
        <f t="shared" si="3"/>
        <v>0</v>
      </c>
      <c r="M16" s="12"/>
      <c r="N16" s="639">
        <f t="shared" si="4"/>
        <v>5457</v>
      </c>
      <c r="O16" s="639">
        <f t="shared" si="4"/>
        <v>2093</v>
      </c>
      <c r="P16" s="639">
        <f t="shared" si="4"/>
        <v>2905</v>
      </c>
      <c r="Q16" s="639">
        <f t="shared" si="4"/>
        <v>1309</v>
      </c>
      <c r="R16" s="639">
        <f t="shared" si="4"/>
        <v>11764</v>
      </c>
      <c r="S16" s="12"/>
      <c r="T16" s="640"/>
      <c r="U16" s="640"/>
      <c r="V16" s="640"/>
      <c r="W16" s="640"/>
      <c r="X16" s="640"/>
      <c r="Y16" s="629"/>
      <c r="Z16" s="629"/>
      <c r="AA16" s="629"/>
      <c r="AB16" s="629"/>
      <c r="AC16" s="629"/>
      <c r="AD16" s="629"/>
      <c r="AE16" s="629"/>
      <c r="AF16" s="629"/>
      <c r="AG16" s="629"/>
    </row>
    <row r="17" spans="1:33" ht="15.75" x14ac:dyDescent="0.25">
      <c r="A17" s="638">
        <v>2002</v>
      </c>
      <c r="B17" s="639">
        <f>'[1]Data-Nisgaa &amp; Other FN Catch'!AP15</f>
        <v>1875</v>
      </c>
      <c r="C17" s="639">
        <f>'[1]Data-Nisgaa &amp; Other FN Catch'!AQ15</f>
        <v>1746</v>
      </c>
      <c r="D17" s="639">
        <f>'[1]Data-Nisgaa &amp; Other FN Catch'!AR15</f>
        <v>1046</v>
      </c>
      <c r="E17" s="639">
        <f>'[1]Data-Nisgaa &amp; Other FN Catch'!AS15</f>
        <v>763.8882595702994</v>
      </c>
      <c r="F17" s="639">
        <f t="shared" si="1"/>
        <v>5430.8882595702999</v>
      </c>
      <c r="G17" s="12"/>
      <c r="H17" s="639">
        <f t="shared" si="2"/>
        <v>0</v>
      </c>
      <c r="I17" s="639">
        <f t="shared" si="0"/>
        <v>0</v>
      </c>
      <c r="J17" s="639">
        <f t="shared" si="0"/>
        <v>0</v>
      </c>
      <c r="K17" s="639">
        <f t="shared" si="0"/>
        <v>0</v>
      </c>
      <c r="L17" s="639">
        <f t="shared" si="3"/>
        <v>0</v>
      </c>
      <c r="M17" s="12"/>
      <c r="N17" s="639">
        <f t="shared" si="4"/>
        <v>1875</v>
      </c>
      <c r="O17" s="639">
        <f t="shared" si="4"/>
        <v>1746</v>
      </c>
      <c r="P17" s="639">
        <f t="shared" si="4"/>
        <v>1046</v>
      </c>
      <c r="Q17" s="639">
        <f t="shared" si="4"/>
        <v>763.8882595702994</v>
      </c>
      <c r="R17" s="639">
        <f t="shared" si="4"/>
        <v>5430.8882595702999</v>
      </c>
      <c r="S17" s="12"/>
      <c r="T17" s="640"/>
      <c r="U17" s="640"/>
      <c r="V17" s="640"/>
      <c r="W17" s="640"/>
      <c r="X17" s="640"/>
      <c r="Y17" s="629"/>
      <c r="Z17" s="629"/>
      <c r="AA17" s="629"/>
      <c r="AB17" s="629"/>
      <c r="AC17" s="629"/>
      <c r="AD17" s="629"/>
      <c r="AE17" s="629"/>
      <c r="AF17" s="629"/>
      <c r="AG17" s="629"/>
    </row>
    <row r="18" spans="1:33" ht="15.75" x14ac:dyDescent="0.25">
      <c r="A18" s="638">
        <v>2003</v>
      </c>
      <c r="B18" s="639">
        <f>'[1]Data-Nisgaa &amp; Other FN Catch'!AP16</f>
        <v>2403</v>
      </c>
      <c r="C18" s="639">
        <f>'[1]Data-Nisgaa &amp; Other FN Catch'!AQ16</f>
        <v>1710</v>
      </c>
      <c r="D18" s="639">
        <f>'[1]Data-Nisgaa &amp; Other FN Catch'!AR16</f>
        <v>1700</v>
      </c>
      <c r="E18" s="639">
        <f>'[1]Data-Nisgaa &amp; Other FN Catch'!AS16</f>
        <v>896</v>
      </c>
      <c r="F18" s="639">
        <f t="shared" si="1"/>
        <v>6709</v>
      </c>
      <c r="G18" s="12"/>
      <c r="H18" s="639">
        <f t="shared" si="2"/>
        <v>0</v>
      </c>
      <c r="I18" s="639">
        <f t="shared" si="0"/>
        <v>0</v>
      </c>
      <c r="J18" s="639">
        <f t="shared" si="0"/>
        <v>0</v>
      </c>
      <c r="K18" s="639">
        <f t="shared" si="0"/>
        <v>0</v>
      </c>
      <c r="L18" s="639">
        <f t="shared" si="3"/>
        <v>0</v>
      </c>
      <c r="M18" s="12"/>
      <c r="N18" s="639">
        <f t="shared" si="4"/>
        <v>2403</v>
      </c>
      <c r="O18" s="639">
        <f t="shared" si="4"/>
        <v>1710</v>
      </c>
      <c r="P18" s="639">
        <f t="shared" si="4"/>
        <v>1700</v>
      </c>
      <c r="Q18" s="639">
        <f t="shared" si="4"/>
        <v>896</v>
      </c>
      <c r="R18" s="639">
        <f t="shared" si="4"/>
        <v>6709</v>
      </c>
      <c r="S18" s="12"/>
      <c r="T18" s="640"/>
      <c r="U18" s="640"/>
      <c r="V18" s="640"/>
      <c r="W18" s="640"/>
      <c r="X18" s="640"/>
      <c r="Y18" s="629"/>
      <c r="Z18" s="629"/>
      <c r="AA18" s="629"/>
      <c r="AB18" s="629"/>
      <c r="AC18" s="629"/>
      <c r="AD18" s="629"/>
      <c r="AE18" s="629"/>
      <c r="AF18" s="629"/>
      <c r="AG18" s="629"/>
    </row>
    <row r="19" spans="1:33" ht="15.75" x14ac:dyDescent="0.25">
      <c r="A19" s="638">
        <v>2004</v>
      </c>
      <c r="B19" s="639">
        <f>'[1]Data-Nisgaa &amp; Other FN Catch'!AP17</f>
        <v>1926</v>
      </c>
      <c r="C19" s="639">
        <f>'[1]Data-Nisgaa &amp; Other FN Catch'!AQ17</f>
        <v>1250</v>
      </c>
      <c r="D19" s="639">
        <f>'[1]Data-Nisgaa &amp; Other FN Catch'!AR17</f>
        <v>1026</v>
      </c>
      <c r="E19" s="639">
        <f>'[1]Data-Nisgaa &amp; Other FN Catch'!AS17</f>
        <v>1674</v>
      </c>
      <c r="F19" s="639">
        <f t="shared" si="1"/>
        <v>5876</v>
      </c>
      <c r="G19" s="12"/>
      <c r="H19" s="639">
        <f t="shared" si="2"/>
        <v>68.399999999999991</v>
      </c>
      <c r="I19" s="639">
        <f t="shared" si="0"/>
        <v>22.8</v>
      </c>
      <c r="J19" s="639">
        <f t="shared" si="0"/>
        <v>10.199999999999999</v>
      </c>
      <c r="K19" s="639">
        <f t="shared" si="0"/>
        <v>7.1999999999999993</v>
      </c>
      <c r="L19" s="639">
        <f t="shared" si="3"/>
        <v>108.6</v>
      </c>
      <c r="M19" s="12"/>
      <c r="N19" s="639">
        <f t="shared" si="4"/>
        <v>1994.4</v>
      </c>
      <c r="O19" s="639">
        <f t="shared" si="4"/>
        <v>1272.8</v>
      </c>
      <c r="P19" s="639">
        <f t="shared" si="4"/>
        <v>1036.2</v>
      </c>
      <c r="Q19" s="639">
        <f t="shared" si="4"/>
        <v>1681.2</v>
      </c>
      <c r="R19" s="639">
        <f t="shared" si="4"/>
        <v>5984.6</v>
      </c>
      <c r="S19" s="12"/>
      <c r="T19" s="640">
        <f>'[1]Data-Nisgaa RM'!B6</f>
        <v>114</v>
      </c>
      <c r="U19" s="640">
        <f>'[1]Data-Nisgaa RM'!C6</f>
        <v>38</v>
      </c>
      <c r="V19" s="640">
        <f>'[1]Data-Nisgaa RM'!D6</f>
        <v>17</v>
      </c>
      <c r="W19" s="640">
        <f>'[1]Data-Nisgaa RM'!E6</f>
        <v>12</v>
      </c>
      <c r="X19" s="640">
        <f>SUM(T19:W19)</f>
        <v>181</v>
      </c>
      <c r="Y19" s="629"/>
      <c r="Z19" s="629"/>
      <c r="AA19" s="629"/>
      <c r="AB19" s="629"/>
      <c r="AC19" s="629"/>
      <c r="AD19" s="629"/>
      <c r="AE19" s="629"/>
      <c r="AF19" s="629"/>
      <c r="AG19" s="629"/>
    </row>
    <row r="20" spans="1:33" ht="15.75" x14ac:dyDescent="0.25">
      <c r="A20" s="638">
        <v>2005</v>
      </c>
      <c r="B20" s="639">
        <f>'[1]Data-Nisgaa &amp; Other FN Catch'!AP18</f>
        <v>2262</v>
      </c>
      <c r="C20" s="639">
        <f>'[1]Data-Nisgaa &amp; Other FN Catch'!AQ18</f>
        <v>1775</v>
      </c>
      <c r="D20" s="639">
        <f>'[1]Data-Nisgaa &amp; Other FN Catch'!AR18</f>
        <v>1246</v>
      </c>
      <c r="E20" s="639">
        <f>'[1]Data-Nisgaa &amp; Other FN Catch'!AS18</f>
        <v>1262</v>
      </c>
      <c r="F20" s="639">
        <f t="shared" si="1"/>
        <v>6545</v>
      </c>
      <c r="G20" s="12"/>
      <c r="H20" s="639">
        <f t="shared" si="2"/>
        <v>28.2</v>
      </c>
      <c r="I20" s="639">
        <f t="shared" si="0"/>
        <v>5.3999999999999995</v>
      </c>
      <c r="J20" s="639">
        <f t="shared" si="0"/>
        <v>22.2</v>
      </c>
      <c r="K20" s="639">
        <f t="shared" si="0"/>
        <v>0.6</v>
      </c>
      <c r="L20" s="639">
        <f t="shared" si="3"/>
        <v>56.4</v>
      </c>
      <c r="M20" s="12"/>
      <c r="N20" s="639">
        <f t="shared" si="4"/>
        <v>2290.1999999999998</v>
      </c>
      <c r="O20" s="639">
        <f t="shared" si="4"/>
        <v>1780.4</v>
      </c>
      <c r="P20" s="639">
        <f t="shared" si="4"/>
        <v>1268.2</v>
      </c>
      <c r="Q20" s="639">
        <f t="shared" si="4"/>
        <v>1262.5999999999999</v>
      </c>
      <c r="R20" s="639">
        <f t="shared" si="4"/>
        <v>6601.4</v>
      </c>
      <c r="S20" s="12"/>
      <c r="T20" s="640">
        <f>'[1]Data-Nisgaa RM'!B7</f>
        <v>47</v>
      </c>
      <c r="U20" s="640">
        <f>'[1]Data-Nisgaa RM'!C7</f>
        <v>9</v>
      </c>
      <c r="V20" s="640">
        <f>'[1]Data-Nisgaa RM'!D7</f>
        <v>37</v>
      </c>
      <c r="W20" s="640">
        <f>'[1]Data-Nisgaa RM'!E7</f>
        <v>1</v>
      </c>
      <c r="X20" s="640">
        <f t="shared" ref="X20:X40" si="5">SUM(T20:W20)</f>
        <v>94</v>
      </c>
      <c r="Y20" s="629"/>
      <c r="Z20" s="629"/>
      <c r="AA20" s="629"/>
      <c r="AB20" s="629"/>
      <c r="AC20" s="629"/>
      <c r="AD20" s="629"/>
      <c r="AE20" s="629"/>
      <c r="AF20" s="629"/>
      <c r="AG20" s="629"/>
    </row>
    <row r="21" spans="1:33" ht="15.75" x14ac:dyDescent="0.25">
      <c r="A21" s="638">
        <v>2006</v>
      </c>
      <c r="B21" s="639">
        <f>'[1]Data-Nisgaa &amp; Other FN Catch'!AP19</f>
        <v>3525</v>
      </c>
      <c r="C21" s="639">
        <f>'[1]Data-Nisgaa &amp; Other FN Catch'!AQ19</f>
        <v>1486</v>
      </c>
      <c r="D21" s="639">
        <f>'[1]Data-Nisgaa &amp; Other FN Catch'!AR19</f>
        <v>983</v>
      </c>
      <c r="E21" s="639">
        <f>'[1]Data-Nisgaa &amp; Other FN Catch'!AS19</f>
        <v>1712</v>
      </c>
      <c r="F21" s="639">
        <f t="shared" si="1"/>
        <v>7706</v>
      </c>
      <c r="G21" s="12"/>
      <c r="H21" s="639">
        <f t="shared" si="2"/>
        <v>59.4</v>
      </c>
      <c r="I21" s="639">
        <f t="shared" si="0"/>
        <v>17.399999999999999</v>
      </c>
      <c r="J21" s="639">
        <f t="shared" si="0"/>
        <v>10.199999999999999</v>
      </c>
      <c r="K21" s="639">
        <f t="shared" si="0"/>
        <v>16.8</v>
      </c>
      <c r="L21" s="639">
        <f t="shared" si="3"/>
        <v>103.8</v>
      </c>
      <c r="M21" s="12"/>
      <c r="N21" s="639">
        <f t="shared" si="4"/>
        <v>3584.4</v>
      </c>
      <c r="O21" s="639">
        <f t="shared" si="4"/>
        <v>1503.4</v>
      </c>
      <c r="P21" s="639">
        <f t="shared" si="4"/>
        <v>993.2</v>
      </c>
      <c r="Q21" s="639">
        <f t="shared" si="4"/>
        <v>1728.8</v>
      </c>
      <c r="R21" s="639">
        <f t="shared" si="4"/>
        <v>7809.8</v>
      </c>
      <c r="S21" s="12"/>
      <c r="T21" s="640">
        <f>'[1]Data-Nisgaa RM'!B8</f>
        <v>99</v>
      </c>
      <c r="U21" s="640">
        <f>'[1]Data-Nisgaa RM'!C8</f>
        <v>29</v>
      </c>
      <c r="V21" s="640">
        <f>'[1]Data-Nisgaa RM'!D8</f>
        <v>17</v>
      </c>
      <c r="W21" s="640">
        <f>'[1]Data-Nisgaa RM'!E8</f>
        <v>28</v>
      </c>
      <c r="X21" s="640">
        <f t="shared" si="5"/>
        <v>173</v>
      </c>
      <c r="Y21" s="629"/>
      <c r="Z21" s="629"/>
      <c r="AA21" s="629"/>
      <c r="AB21" s="629"/>
      <c r="AC21" s="629"/>
      <c r="AD21" s="629"/>
      <c r="AE21" s="629"/>
      <c r="AF21" s="629"/>
      <c r="AG21" s="629"/>
    </row>
    <row r="22" spans="1:33" ht="15.75" x14ac:dyDescent="0.25">
      <c r="A22" s="638">
        <v>2007</v>
      </c>
      <c r="B22" s="639">
        <f>'[1]Data-Nisgaa &amp; Other FN Catch'!AP20</f>
        <v>4020</v>
      </c>
      <c r="C22" s="639">
        <f>'[1]Data-Nisgaa &amp; Other FN Catch'!AQ20</f>
        <v>930</v>
      </c>
      <c r="D22" s="639">
        <f>'[1]Data-Nisgaa &amp; Other FN Catch'!AR20</f>
        <v>979</v>
      </c>
      <c r="E22" s="639">
        <f>'[1]Data-Nisgaa &amp; Other FN Catch'!AS20</f>
        <v>795</v>
      </c>
      <c r="F22" s="639">
        <f t="shared" si="1"/>
        <v>6724</v>
      </c>
      <c r="G22" s="12"/>
      <c r="H22" s="639">
        <f t="shared" si="2"/>
        <v>72.599999999999994</v>
      </c>
      <c r="I22" s="639">
        <f t="shared" si="0"/>
        <v>4.2</v>
      </c>
      <c r="J22" s="639">
        <f t="shared" si="0"/>
        <v>13.2</v>
      </c>
      <c r="K22" s="639">
        <f t="shared" si="0"/>
        <v>0</v>
      </c>
      <c r="L22" s="639">
        <f t="shared" si="3"/>
        <v>90</v>
      </c>
      <c r="M22" s="12"/>
      <c r="N22" s="639">
        <f t="shared" si="4"/>
        <v>4092.6</v>
      </c>
      <c r="O22" s="639">
        <f t="shared" si="4"/>
        <v>934.2</v>
      </c>
      <c r="P22" s="639">
        <f t="shared" si="4"/>
        <v>992.2</v>
      </c>
      <c r="Q22" s="639">
        <f t="shared" si="4"/>
        <v>795</v>
      </c>
      <c r="R22" s="639">
        <f t="shared" si="4"/>
        <v>6814</v>
      </c>
      <c r="S22" s="12"/>
      <c r="T22" s="640">
        <f>'[1]Data-Nisgaa RM'!B9</f>
        <v>121</v>
      </c>
      <c r="U22" s="640">
        <f>'[1]Data-Nisgaa RM'!C9</f>
        <v>7</v>
      </c>
      <c r="V22" s="640">
        <f>'[1]Data-Nisgaa RM'!D9</f>
        <v>22</v>
      </c>
      <c r="W22" s="640">
        <f>'[1]Data-Nisgaa RM'!E9</f>
        <v>0</v>
      </c>
      <c r="X22" s="640">
        <f t="shared" si="5"/>
        <v>150</v>
      </c>
      <c r="Y22" s="629"/>
      <c r="Z22" s="629"/>
      <c r="AA22" s="629"/>
      <c r="AB22" s="629"/>
      <c r="AC22" s="629"/>
      <c r="AD22" s="629"/>
      <c r="AE22" s="629"/>
      <c r="AF22" s="629"/>
      <c r="AG22" s="629"/>
    </row>
    <row r="23" spans="1:33" ht="15.75" x14ac:dyDescent="0.25">
      <c r="A23" s="638">
        <v>2008</v>
      </c>
      <c r="B23" s="639">
        <f>'[1]Data-Nisgaa &amp; Other FN Catch'!AP21</f>
        <v>1085</v>
      </c>
      <c r="C23" s="639">
        <f>'[1]Data-Nisgaa &amp; Other FN Catch'!AQ21</f>
        <v>1289</v>
      </c>
      <c r="D23" s="639">
        <f>'[1]Data-Nisgaa &amp; Other FN Catch'!AR21</f>
        <v>1093</v>
      </c>
      <c r="E23" s="639">
        <f>'[1]Data-Nisgaa &amp; Other FN Catch'!AS21</f>
        <v>983</v>
      </c>
      <c r="F23" s="639">
        <f t="shared" si="1"/>
        <v>4450</v>
      </c>
      <c r="G23" s="12"/>
      <c r="H23" s="639">
        <f t="shared" si="2"/>
        <v>7.1999999999999993</v>
      </c>
      <c r="I23" s="639">
        <f t="shared" si="2"/>
        <v>0.6</v>
      </c>
      <c r="J23" s="639">
        <f t="shared" si="2"/>
        <v>9.6</v>
      </c>
      <c r="K23" s="639">
        <f t="shared" si="2"/>
        <v>7.8</v>
      </c>
      <c r="L23" s="639">
        <f t="shared" si="3"/>
        <v>25.2</v>
      </c>
      <c r="M23" s="12"/>
      <c r="N23" s="639">
        <f t="shared" si="4"/>
        <v>1092.2</v>
      </c>
      <c r="O23" s="639">
        <f t="shared" si="4"/>
        <v>1289.5999999999999</v>
      </c>
      <c r="P23" s="639">
        <f t="shared" si="4"/>
        <v>1102.5999999999999</v>
      </c>
      <c r="Q23" s="639">
        <f t="shared" si="4"/>
        <v>990.8</v>
      </c>
      <c r="R23" s="639">
        <f t="shared" si="4"/>
        <v>4475.2</v>
      </c>
      <c r="S23" s="12"/>
      <c r="T23" s="640">
        <f>'[1]Data-Nisgaa RM'!B10</f>
        <v>12</v>
      </c>
      <c r="U23" s="640">
        <f>'[1]Data-Nisgaa RM'!C10</f>
        <v>1</v>
      </c>
      <c r="V23" s="640">
        <f>'[1]Data-Nisgaa RM'!D10</f>
        <v>16</v>
      </c>
      <c r="W23" s="640">
        <f>'[1]Data-Nisgaa RM'!E10</f>
        <v>13</v>
      </c>
      <c r="X23" s="640">
        <f t="shared" si="5"/>
        <v>42</v>
      </c>
      <c r="Y23" s="629"/>
      <c r="Z23" s="629"/>
      <c r="AA23" s="629"/>
      <c r="AB23" s="629"/>
      <c r="AC23" s="629"/>
      <c r="AD23" s="629"/>
      <c r="AE23" s="629"/>
      <c r="AF23" s="629"/>
      <c r="AG23" s="629"/>
    </row>
    <row r="24" spans="1:33" ht="15.75" x14ac:dyDescent="0.25">
      <c r="A24" s="638">
        <v>2009</v>
      </c>
      <c r="B24" s="639">
        <f>'[1]Data-Nisgaa &amp; Other FN Catch'!AP22</f>
        <v>2785</v>
      </c>
      <c r="C24" s="639">
        <f>'[1]Data-Nisgaa &amp; Other FN Catch'!AQ22</f>
        <v>993</v>
      </c>
      <c r="D24" s="639">
        <f>'[1]Data-Nisgaa &amp; Other FN Catch'!AR22</f>
        <v>679</v>
      </c>
      <c r="E24" s="639">
        <f>'[1]Data-Nisgaa &amp; Other FN Catch'!AS22</f>
        <v>978</v>
      </c>
      <c r="F24" s="639">
        <f t="shared" si="1"/>
        <v>5435</v>
      </c>
      <c r="G24" s="12"/>
      <c r="H24" s="639">
        <f t="shared" si="2"/>
        <v>18.599999999999998</v>
      </c>
      <c r="I24" s="639">
        <f t="shared" si="2"/>
        <v>3</v>
      </c>
      <c r="J24" s="639">
        <f t="shared" si="2"/>
        <v>0</v>
      </c>
      <c r="K24" s="639">
        <f t="shared" si="2"/>
        <v>61.8</v>
      </c>
      <c r="L24" s="639">
        <f t="shared" si="3"/>
        <v>83.399999999999991</v>
      </c>
      <c r="M24" s="12"/>
      <c r="N24" s="639">
        <f t="shared" si="4"/>
        <v>2803.6</v>
      </c>
      <c r="O24" s="639">
        <f t="shared" si="4"/>
        <v>996</v>
      </c>
      <c r="P24" s="639">
        <f t="shared" si="4"/>
        <v>679</v>
      </c>
      <c r="Q24" s="639">
        <f t="shared" si="4"/>
        <v>1039.8</v>
      </c>
      <c r="R24" s="639">
        <f t="shared" si="4"/>
        <v>5518.4</v>
      </c>
      <c r="S24" s="12"/>
      <c r="T24" s="640">
        <f>'[1]Data-Nisgaa RM'!B11</f>
        <v>31</v>
      </c>
      <c r="U24" s="640">
        <f>'[1]Data-Nisgaa RM'!C11</f>
        <v>5</v>
      </c>
      <c r="V24" s="640">
        <f>'[1]Data-Nisgaa RM'!D11</f>
        <v>0</v>
      </c>
      <c r="W24" s="640">
        <f>'[1]Data-Nisgaa RM'!E11</f>
        <v>103</v>
      </c>
      <c r="X24" s="640">
        <f t="shared" si="5"/>
        <v>139</v>
      </c>
      <c r="Y24" s="629"/>
      <c r="Z24" s="629"/>
      <c r="AA24" s="629"/>
      <c r="AB24" s="629"/>
      <c r="AC24" s="629"/>
      <c r="AD24" s="629"/>
      <c r="AE24" s="629"/>
      <c r="AF24" s="629"/>
      <c r="AG24" s="629"/>
    </row>
    <row r="25" spans="1:33" ht="15.75" x14ac:dyDescent="0.25">
      <c r="A25" s="638">
        <v>2010</v>
      </c>
      <c r="B25" s="639">
        <f>'[1]Data-Nisgaa &amp; Other FN Catch'!AP23</f>
        <v>1703</v>
      </c>
      <c r="C25" s="639">
        <f>'[1]Data-Nisgaa &amp; Other FN Catch'!AQ23</f>
        <v>1612</v>
      </c>
      <c r="D25" s="639">
        <f>'[1]Data-Nisgaa &amp; Other FN Catch'!AR23</f>
        <v>714</v>
      </c>
      <c r="E25" s="639">
        <f>'[1]Data-Nisgaa &amp; Other FN Catch'!AS23</f>
        <v>552</v>
      </c>
      <c r="F25" s="639">
        <f t="shared" si="1"/>
        <v>4581</v>
      </c>
      <c r="G25" s="12"/>
      <c r="H25" s="639">
        <f t="shared" si="2"/>
        <v>16.8</v>
      </c>
      <c r="I25" s="639">
        <f t="shared" si="2"/>
        <v>11.4</v>
      </c>
      <c r="J25" s="639">
        <f t="shared" si="2"/>
        <v>21.599999999999998</v>
      </c>
      <c r="K25" s="639">
        <f t="shared" si="2"/>
        <v>12</v>
      </c>
      <c r="L25" s="639">
        <f t="shared" si="3"/>
        <v>61.8</v>
      </c>
      <c r="M25" s="12"/>
      <c r="N25" s="639">
        <f t="shared" si="4"/>
        <v>1719.8</v>
      </c>
      <c r="O25" s="639">
        <f t="shared" si="4"/>
        <v>1623.4</v>
      </c>
      <c r="P25" s="639">
        <f t="shared" si="4"/>
        <v>735.6</v>
      </c>
      <c r="Q25" s="639">
        <f t="shared" si="4"/>
        <v>564</v>
      </c>
      <c r="R25" s="639">
        <f t="shared" si="4"/>
        <v>4642.8</v>
      </c>
      <c r="S25" s="12"/>
      <c r="T25" s="640">
        <f>'[1]Data-Nisgaa RM'!B12</f>
        <v>28</v>
      </c>
      <c r="U25" s="640">
        <f>'[1]Data-Nisgaa RM'!C12</f>
        <v>19</v>
      </c>
      <c r="V25" s="640">
        <f>'[1]Data-Nisgaa RM'!D12</f>
        <v>36</v>
      </c>
      <c r="W25" s="640">
        <f>'[1]Data-Nisgaa RM'!E12</f>
        <v>20</v>
      </c>
      <c r="X25" s="640">
        <f t="shared" si="5"/>
        <v>103</v>
      </c>
      <c r="Y25" s="629"/>
      <c r="Z25" s="629"/>
      <c r="AA25" s="629"/>
      <c r="AB25" s="629"/>
      <c r="AC25" s="629"/>
      <c r="AD25" s="629"/>
      <c r="AE25" s="629"/>
      <c r="AF25" s="629"/>
      <c r="AG25" s="629"/>
    </row>
    <row r="26" spans="1:33" ht="15.75" x14ac:dyDescent="0.25">
      <c r="A26" s="638">
        <v>2011</v>
      </c>
      <c r="B26" s="639">
        <f>'[1]Data-Nisgaa &amp; Other FN Catch'!AP24</f>
        <v>1232</v>
      </c>
      <c r="C26" s="639">
        <f>'[1]Data-Nisgaa &amp; Other FN Catch'!AQ24</f>
        <v>1567</v>
      </c>
      <c r="D26" s="639">
        <f>'[1]Data-Nisgaa &amp; Other FN Catch'!AR24</f>
        <v>1116</v>
      </c>
      <c r="E26" s="639">
        <f>'[1]Data-Nisgaa &amp; Other FN Catch'!AS24</f>
        <v>669</v>
      </c>
      <c r="F26" s="639">
        <f t="shared" si="1"/>
        <v>4584</v>
      </c>
      <c r="G26" s="12"/>
      <c r="H26" s="639">
        <f t="shared" si="2"/>
        <v>4.8</v>
      </c>
      <c r="I26" s="639">
        <f t="shared" si="2"/>
        <v>1.7999999999999998</v>
      </c>
      <c r="J26" s="639">
        <f t="shared" si="2"/>
        <v>6</v>
      </c>
      <c r="K26" s="639">
        <f t="shared" si="2"/>
        <v>8.4</v>
      </c>
      <c r="L26" s="639">
        <f t="shared" si="3"/>
        <v>21</v>
      </c>
      <c r="M26" s="12"/>
      <c r="N26" s="639">
        <f t="shared" si="4"/>
        <v>1236.8</v>
      </c>
      <c r="O26" s="639">
        <f t="shared" si="4"/>
        <v>1568.8</v>
      </c>
      <c r="P26" s="639">
        <f t="shared" si="4"/>
        <v>1122</v>
      </c>
      <c r="Q26" s="639">
        <f t="shared" si="4"/>
        <v>677.4</v>
      </c>
      <c r="R26" s="639">
        <f t="shared" si="4"/>
        <v>4605</v>
      </c>
      <c r="S26" s="12"/>
      <c r="T26" s="640">
        <f>'[1]Data-Nisgaa RM'!B13</f>
        <v>8</v>
      </c>
      <c r="U26" s="640">
        <f>'[1]Data-Nisgaa RM'!C13</f>
        <v>3</v>
      </c>
      <c r="V26" s="640">
        <f>'[1]Data-Nisgaa RM'!D13</f>
        <v>10</v>
      </c>
      <c r="W26" s="640">
        <f>'[1]Data-Nisgaa RM'!E13</f>
        <v>14</v>
      </c>
      <c r="X26" s="640">
        <f t="shared" si="5"/>
        <v>35</v>
      </c>
      <c r="Y26" s="629"/>
      <c r="Z26" s="629"/>
      <c r="AA26" s="629"/>
      <c r="AB26" s="629"/>
      <c r="AC26" s="629"/>
      <c r="AD26" s="629"/>
      <c r="AE26" s="629"/>
      <c r="AF26" s="629"/>
      <c r="AG26" s="629"/>
    </row>
    <row r="27" spans="1:33" ht="15.75" x14ac:dyDescent="0.25">
      <c r="A27" s="638">
        <v>2012</v>
      </c>
      <c r="B27" s="639">
        <f>'[1]Data-Nisgaa &amp; Other FN Catch'!AP25</f>
        <v>1460</v>
      </c>
      <c r="C27" s="639">
        <f>'[1]Data-Nisgaa &amp; Other FN Catch'!AQ25</f>
        <v>853</v>
      </c>
      <c r="D27" s="639">
        <f>'[1]Data-Nisgaa &amp; Other FN Catch'!AR25</f>
        <v>538</v>
      </c>
      <c r="E27" s="639">
        <f>'[1]Data-Nisgaa &amp; Other FN Catch'!AS25</f>
        <v>696</v>
      </c>
      <c r="F27" s="639">
        <f t="shared" si="1"/>
        <v>3547</v>
      </c>
      <c r="G27" s="12"/>
      <c r="H27" s="639">
        <f t="shared" si="2"/>
        <v>7.1999999999999993</v>
      </c>
      <c r="I27" s="639">
        <f t="shared" si="2"/>
        <v>26.4</v>
      </c>
      <c r="J27" s="639">
        <f t="shared" si="2"/>
        <v>0</v>
      </c>
      <c r="K27" s="639">
        <f t="shared" si="2"/>
        <v>33</v>
      </c>
      <c r="L27" s="639">
        <f t="shared" si="3"/>
        <v>66.599999999999994</v>
      </c>
      <c r="M27" s="12"/>
      <c r="N27" s="639">
        <f t="shared" si="4"/>
        <v>1467.2</v>
      </c>
      <c r="O27" s="639">
        <f t="shared" si="4"/>
        <v>879.4</v>
      </c>
      <c r="P27" s="639">
        <f t="shared" si="4"/>
        <v>538</v>
      </c>
      <c r="Q27" s="639">
        <f t="shared" si="4"/>
        <v>729</v>
      </c>
      <c r="R27" s="639">
        <f t="shared" si="4"/>
        <v>3613.6</v>
      </c>
      <c r="S27" s="12"/>
      <c r="T27" s="640">
        <f>'[1]Data-Nisgaa RM'!B14</f>
        <v>12</v>
      </c>
      <c r="U27" s="640">
        <f>'[1]Data-Nisgaa RM'!C14</f>
        <v>44</v>
      </c>
      <c r="V27" s="640">
        <f>'[1]Data-Nisgaa RM'!D14</f>
        <v>0</v>
      </c>
      <c r="W27" s="640">
        <f>'[1]Data-Nisgaa RM'!E14</f>
        <v>55</v>
      </c>
      <c r="X27" s="640">
        <f t="shared" si="5"/>
        <v>111</v>
      </c>
      <c r="Y27" s="629"/>
      <c r="Z27" s="629"/>
      <c r="AA27" s="629"/>
      <c r="AB27" s="629"/>
      <c r="AC27" s="629"/>
      <c r="AD27" s="629"/>
      <c r="AE27" s="629"/>
      <c r="AF27" s="629"/>
      <c r="AG27" s="629"/>
    </row>
    <row r="28" spans="1:33" ht="15.75" x14ac:dyDescent="0.25">
      <c r="A28" s="638">
        <v>2013</v>
      </c>
      <c r="B28" s="639">
        <f>'[1]Data-Nisgaa &amp; Other FN Catch'!AP26</f>
        <v>1711</v>
      </c>
      <c r="C28" s="639">
        <f>'[1]Data-Nisgaa &amp; Other FN Catch'!AQ26</f>
        <v>1113</v>
      </c>
      <c r="D28" s="639">
        <f>'[1]Data-Nisgaa &amp; Other FN Catch'!AR26</f>
        <v>445</v>
      </c>
      <c r="E28" s="639">
        <f>'[1]Data-Nisgaa &amp; Other FN Catch'!AS26</f>
        <v>1083</v>
      </c>
      <c r="F28" s="639">
        <f t="shared" si="1"/>
        <v>4352</v>
      </c>
      <c r="G28" s="12"/>
      <c r="H28" s="639">
        <f t="shared" si="2"/>
        <v>24.599999999999998</v>
      </c>
      <c r="I28" s="639">
        <f t="shared" si="2"/>
        <v>24</v>
      </c>
      <c r="J28" s="639">
        <f t="shared" si="2"/>
        <v>13.2</v>
      </c>
      <c r="K28" s="639">
        <f t="shared" si="2"/>
        <v>45</v>
      </c>
      <c r="L28" s="639">
        <f t="shared" si="3"/>
        <v>106.8</v>
      </c>
      <c r="M28" s="12"/>
      <c r="N28" s="639">
        <f t="shared" si="4"/>
        <v>1735.6</v>
      </c>
      <c r="O28" s="639">
        <f t="shared" si="4"/>
        <v>1137</v>
      </c>
      <c r="P28" s="639">
        <f t="shared" si="4"/>
        <v>458.2</v>
      </c>
      <c r="Q28" s="639">
        <f t="shared" si="4"/>
        <v>1128</v>
      </c>
      <c r="R28" s="639">
        <f t="shared" si="4"/>
        <v>4458.8</v>
      </c>
      <c r="S28" s="12"/>
      <c r="T28" s="640">
        <f>'[1]Data-Nisgaa RM'!B15</f>
        <v>41</v>
      </c>
      <c r="U28" s="640">
        <f>'[1]Data-Nisgaa RM'!C15</f>
        <v>40</v>
      </c>
      <c r="V28" s="640">
        <f>'[1]Data-Nisgaa RM'!D15</f>
        <v>22</v>
      </c>
      <c r="W28" s="640">
        <f>'[1]Data-Nisgaa RM'!E15</f>
        <v>75</v>
      </c>
      <c r="X28" s="640">
        <f t="shared" si="5"/>
        <v>178</v>
      </c>
      <c r="Y28" s="629"/>
      <c r="Z28" s="629"/>
      <c r="AA28" s="629"/>
      <c r="AB28" s="629"/>
      <c r="AC28" s="629"/>
      <c r="AD28" s="629"/>
      <c r="AE28" s="629"/>
      <c r="AF28" s="629"/>
      <c r="AG28" s="629"/>
    </row>
    <row r="29" spans="1:33" ht="15.75" x14ac:dyDescent="0.25">
      <c r="A29" s="638">
        <v>2014</v>
      </c>
      <c r="B29" s="639">
        <f>'[1]Data-Nisgaa &amp; Other FN Catch'!AP27</f>
        <v>1941</v>
      </c>
      <c r="C29" s="639">
        <f>'[1]Data-Nisgaa &amp; Other FN Catch'!AQ27</f>
        <v>1152</v>
      </c>
      <c r="D29" s="639">
        <f>'[1]Data-Nisgaa &amp; Other FN Catch'!AR27</f>
        <v>577</v>
      </c>
      <c r="E29" s="639">
        <f>'[1]Data-Nisgaa &amp; Other FN Catch'!AS27</f>
        <v>2244</v>
      </c>
      <c r="F29" s="639">
        <f t="shared" si="1"/>
        <v>5914</v>
      </c>
      <c r="G29" s="12"/>
      <c r="H29" s="639">
        <f t="shared" si="2"/>
        <v>4.8</v>
      </c>
      <c r="I29" s="639">
        <f t="shared" si="2"/>
        <v>43.8</v>
      </c>
      <c r="J29" s="639">
        <f t="shared" si="2"/>
        <v>4.8</v>
      </c>
      <c r="K29" s="639">
        <f t="shared" si="2"/>
        <v>61.8</v>
      </c>
      <c r="L29" s="639">
        <f t="shared" si="3"/>
        <v>115.19999999999999</v>
      </c>
      <c r="M29" s="12"/>
      <c r="N29" s="639">
        <f t="shared" si="4"/>
        <v>1945.8</v>
      </c>
      <c r="O29" s="639">
        <f t="shared" si="4"/>
        <v>1195.8</v>
      </c>
      <c r="P29" s="639">
        <f t="shared" si="4"/>
        <v>581.79999999999995</v>
      </c>
      <c r="Q29" s="639">
        <f t="shared" si="4"/>
        <v>2305.8000000000002</v>
      </c>
      <c r="R29" s="639">
        <f t="shared" si="4"/>
        <v>6029.2</v>
      </c>
      <c r="S29" s="12"/>
      <c r="T29" s="640">
        <f>'[1]Data-Nisgaa RM'!B16</f>
        <v>8</v>
      </c>
      <c r="U29" s="640">
        <f>'[1]Data-Nisgaa RM'!C16</f>
        <v>73</v>
      </c>
      <c r="V29" s="640">
        <f>'[1]Data-Nisgaa RM'!D16</f>
        <v>8</v>
      </c>
      <c r="W29" s="640">
        <f>'[1]Data-Nisgaa RM'!E16</f>
        <v>103</v>
      </c>
      <c r="X29" s="640">
        <f t="shared" si="5"/>
        <v>192</v>
      </c>
      <c r="Y29" s="629"/>
      <c r="Z29" s="629"/>
      <c r="AA29" s="629"/>
      <c r="AB29" s="629"/>
      <c r="AC29" s="629"/>
      <c r="AD29" s="629"/>
      <c r="AE29" s="629"/>
      <c r="AF29" s="629"/>
      <c r="AG29" s="629"/>
    </row>
    <row r="30" spans="1:33" ht="15.75" x14ac:dyDescent="0.25">
      <c r="A30" s="638">
        <v>2015</v>
      </c>
      <c r="B30" s="639">
        <f>'[1]Data-Nisgaa &amp; Other FN Catch'!AP28</f>
        <v>3175</v>
      </c>
      <c r="C30" s="639">
        <f>'[1]Data-Nisgaa &amp; Other FN Catch'!AQ28</f>
        <v>1949</v>
      </c>
      <c r="D30" s="639">
        <f>'[1]Data-Nisgaa &amp; Other FN Catch'!AR28</f>
        <v>1324</v>
      </c>
      <c r="E30" s="639">
        <f>'[1]Data-Nisgaa &amp; Other FN Catch'!AS28</f>
        <v>1803.2281482767471</v>
      </c>
      <c r="F30" s="639">
        <f t="shared" si="1"/>
        <v>8251.2281482767467</v>
      </c>
      <c r="G30" s="12"/>
      <c r="H30" s="639">
        <f t="shared" si="2"/>
        <v>22.8</v>
      </c>
      <c r="I30" s="639">
        <f t="shared" si="2"/>
        <v>27.599999999999998</v>
      </c>
      <c r="J30" s="639">
        <f t="shared" si="2"/>
        <v>2.4</v>
      </c>
      <c r="K30" s="639">
        <f t="shared" si="2"/>
        <v>30.599999999999998</v>
      </c>
      <c r="L30" s="639">
        <f t="shared" si="3"/>
        <v>83.399999999999991</v>
      </c>
      <c r="M30" s="12"/>
      <c r="N30" s="639">
        <f t="shared" si="4"/>
        <v>3197.8</v>
      </c>
      <c r="O30" s="639">
        <f t="shared" si="4"/>
        <v>1976.6</v>
      </c>
      <c r="P30" s="639">
        <f t="shared" si="4"/>
        <v>1326.4</v>
      </c>
      <c r="Q30" s="639">
        <f t="shared" si="4"/>
        <v>1833.828148276747</v>
      </c>
      <c r="R30" s="639">
        <f t="shared" si="4"/>
        <v>8334.6281482767463</v>
      </c>
      <c r="S30" s="12"/>
      <c r="T30" s="640">
        <f>'[1]Data-Nisgaa RM'!B17</f>
        <v>38</v>
      </c>
      <c r="U30" s="640">
        <f>'[1]Data-Nisgaa RM'!C17</f>
        <v>46</v>
      </c>
      <c r="V30" s="640">
        <f>'[1]Data-Nisgaa RM'!D17</f>
        <v>4</v>
      </c>
      <c r="W30" s="640">
        <f>'[1]Data-Nisgaa RM'!E17</f>
        <v>51</v>
      </c>
      <c r="X30" s="640">
        <f t="shared" si="5"/>
        <v>139</v>
      </c>
      <c r="Y30" s="629"/>
      <c r="Z30" s="629"/>
      <c r="AA30" s="629"/>
      <c r="AB30" s="629"/>
      <c r="AC30" s="629"/>
      <c r="AD30" s="629"/>
      <c r="AE30" s="629"/>
      <c r="AF30" s="629"/>
      <c r="AG30" s="629"/>
    </row>
    <row r="31" spans="1:33" ht="15.75" x14ac:dyDescent="0.25">
      <c r="A31" s="638">
        <v>2016</v>
      </c>
      <c r="B31" s="639">
        <f>'[1]Data-Nisgaa &amp; Other FN Catch'!AP29</f>
        <v>1519</v>
      </c>
      <c r="C31" s="639">
        <f>'[1]Data-Nisgaa &amp; Other FN Catch'!AQ29</f>
        <v>1412</v>
      </c>
      <c r="D31" s="639">
        <f>'[1]Data-Nisgaa &amp; Other FN Catch'!AR29</f>
        <v>1257</v>
      </c>
      <c r="E31" s="639">
        <f>'[1]Data-Nisgaa &amp; Other FN Catch'!AS29</f>
        <v>1208</v>
      </c>
      <c r="F31" s="639">
        <f t="shared" si="1"/>
        <v>5396</v>
      </c>
      <c r="G31" s="12"/>
      <c r="H31" s="639">
        <f t="shared" si="2"/>
        <v>5.3999999999999995</v>
      </c>
      <c r="I31" s="639">
        <f t="shared" si="2"/>
        <v>9.6</v>
      </c>
      <c r="J31" s="639">
        <f t="shared" si="2"/>
        <v>0</v>
      </c>
      <c r="K31" s="639">
        <f t="shared" si="2"/>
        <v>6.6</v>
      </c>
      <c r="L31" s="639">
        <f t="shared" si="3"/>
        <v>21.6</v>
      </c>
      <c r="M31" s="12"/>
      <c r="N31" s="639">
        <f t="shared" si="4"/>
        <v>1524.4</v>
      </c>
      <c r="O31" s="639">
        <f t="shared" si="4"/>
        <v>1421.6</v>
      </c>
      <c r="P31" s="639">
        <f t="shared" si="4"/>
        <v>1257</v>
      </c>
      <c r="Q31" s="639">
        <f t="shared" si="4"/>
        <v>1214.5999999999999</v>
      </c>
      <c r="R31" s="639">
        <f t="shared" si="4"/>
        <v>5417.6</v>
      </c>
      <c r="S31" s="12"/>
      <c r="T31" s="640">
        <f>'[1]Data-Nisgaa RM'!B18</f>
        <v>9</v>
      </c>
      <c r="U31" s="640">
        <f>'[1]Data-Nisgaa RM'!C18</f>
        <v>16</v>
      </c>
      <c r="V31" s="640">
        <f>'[1]Data-Nisgaa RM'!D18</f>
        <v>0</v>
      </c>
      <c r="W31" s="640">
        <f>'[1]Data-Nisgaa RM'!E18</f>
        <v>11</v>
      </c>
      <c r="X31" s="640">
        <f t="shared" si="5"/>
        <v>36</v>
      </c>
      <c r="Y31" s="629"/>
      <c r="Z31" s="629"/>
      <c r="AA31" s="629"/>
      <c r="AB31" s="629"/>
      <c r="AC31" s="629"/>
      <c r="AD31" s="629"/>
      <c r="AE31" s="629"/>
      <c r="AF31" s="629"/>
      <c r="AG31" s="629"/>
    </row>
    <row r="32" spans="1:33" ht="15.75" x14ac:dyDescent="0.25">
      <c r="A32" s="638">
        <v>2017</v>
      </c>
      <c r="B32" s="639">
        <f>'[1]Data-Nisgaa &amp; Other FN Catch'!AP30</f>
        <v>1047</v>
      </c>
      <c r="C32" s="639">
        <f>'[1]Data-Nisgaa &amp; Other FN Catch'!AQ30</f>
        <v>739</v>
      </c>
      <c r="D32" s="639">
        <f>'[1]Data-Nisgaa &amp; Other FN Catch'!AR30</f>
        <v>748</v>
      </c>
      <c r="E32" s="639">
        <f>'[1]Data-Nisgaa &amp; Other FN Catch'!AS30</f>
        <v>1109</v>
      </c>
      <c r="F32" s="639">
        <f t="shared" si="1"/>
        <v>3643</v>
      </c>
      <c r="G32" s="12"/>
      <c r="H32" s="639">
        <f t="shared" si="2"/>
        <v>7.1999999999999993</v>
      </c>
      <c r="I32" s="639">
        <f t="shared" si="2"/>
        <v>1.7999999999999998</v>
      </c>
      <c r="J32" s="639">
        <f t="shared" si="2"/>
        <v>16.2</v>
      </c>
      <c r="K32" s="639">
        <f t="shared" si="2"/>
        <v>19.8</v>
      </c>
      <c r="L32" s="639">
        <f t="shared" si="3"/>
        <v>45</v>
      </c>
      <c r="M32" s="12"/>
      <c r="N32" s="639">
        <f t="shared" si="4"/>
        <v>1054.2</v>
      </c>
      <c r="O32" s="639">
        <f t="shared" si="4"/>
        <v>740.8</v>
      </c>
      <c r="P32" s="639">
        <f t="shared" si="4"/>
        <v>764.2</v>
      </c>
      <c r="Q32" s="639">
        <f t="shared" si="4"/>
        <v>1128.8</v>
      </c>
      <c r="R32" s="639">
        <f t="shared" si="4"/>
        <v>3688</v>
      </c>
      <c r="S32" s="12"/>
      <c r="T32" s="640">
        <f>'[1]Data-Nisgaa RM'!B19</f>
        <v>12</v>
      </c>
      <c r="U32" s="640">
        <f>'[1]Data-Nisgaa RM'!C19</f>
        <v>3</v>
      </c>
      <c r="V32" s="640">
        <f>'[1]Data-Nisgaa RM'!D19</f>
        <v>27</v>
      </c>
      <c r="W32" s="640">
        <f>'[1]Data-Nisgaa RM'!E19</f>
        <v>33</v>
      </c>
      <c r="X32" s="640">
        <f t="shared" si="5"/>
        <v>75</v>
      </c>
      <c r="Y32" s="629"/>
      <c r="Z32" s="629"/>
      <c r="AA32" s="629"/>
      <c r="AB32" s="629"/>
      <c r="AC32" s="629"/>
      <c r="AD32" s="629"/>
      <c r="AE32" s="629"/>
      <c r="AF32" s="629"/>
      <c r="AG32" s="629"/>
    </row>
    <row r="33" spans="1:33" ht="15.75" x14ac:dyDescent="0.25">
      <c r="A33" s="638">
        <v>2018</v>
      </c>
      <c r="B33" s="639">
        <f>'[1]Data-Nisgaa &amp; Other FN Catch'!AP31</f>
        <v>1779</v>
      </c>
      <c r="C33" s="639">
        <f>'[1]Data-Nisgaa &amp; Other FN Catch'!AQ31</f>
        <v>1367</v>
      </c>
      <c r="D33" s="639">
        <f>'[1]Data-Nisgaa &amp; Other FN Catch'!AR31</f>
        <v>616</v>
      </c>
      <c r="E33" s="639">
        <f>'[1]Data-Nisgaa &amp; Other FN Catch'!AS31</f>
        <v>979.57345682856453</v>
      </c>
      <c r="F33" s="639">
        <f t="shared" si="1"/>
        <v>4741.5734568285643</v>
      </c>
      <c r="G33" s="12"/>
      <c r="H33" s="639">
        <f t="shared" si="2"/>
        <v>38.4</v>
      </c>
      <c r="I33" s="639">
        <f t="shared" si="2"/>
        <v>74.399999999999991</v>
      </c>
      <c r="J33" s="639">
        <f t="shared" si="2"/>
        <v>16.8</v>
      </c>
      <c r="K33" s="639">
        <f t="shared" si="2"/>
        <v>632.4</v>
      </c>
      <c r="L33" s="639">
        <f t="shared" si="3"/>
        <v>762</v>
      </c>
      <c r="M33" s="12"/>
      <c r="N33" s="639">
        <f t="shared" si="4"/>
        <v>1817.4</v>
      </c>
      <c r="O33" s="639">
        <f t="shared" si="4"/>
        <v>1441.4</v>
      </c>
      <c r="P33" s="639">
        <f t="shared" si="4"/>
        <v>632.79999999999995</v>
      </c>
      <c r="Q33" s="639">
        <f t="shared" si="4"/>
        <v>1611.9734568285644</v>
      </c>
      <c r="R33" s="639">
        <f t="shared" si="4"/>
        <v>5503.5734568285643</v>
      </c>
      <c r="S33" s="12"/>
      <c r="T33" s="640">
        <f>'[1]Data-Nisgaa RM'!B20</f>
        <v>64</v>
      </c>
      <c r="U33" s="640">
        <f>'[1]Data-Nisgaa RM'!C20</f>
        <v>124</v>
      </c>
      <c r="V33" s="640">
        <f>'[1]Data-Nisgaa RM'!D20</f>
        <v>28</v>
      </c>
      <c r="W33" s="640">
        <f>'[1]Data-Nisgaa RM'!E20</f>
        <v>1054</v>
      </c>
      <c r="X33" s="640">
        <f t="shared" si="5"/>
        <v>1270</v>
      </c>
      <c r="Y33" s="629"/>
      <c r="Z33" s="629"/>
      <c r="AA33" s="629"/>
      <c r="AB33" s="629"/>
      <c r="AC33" s="629"/>
      <c r="AD33" s="629"/>
      <c r="AE33" s="629"/>
      <c r="AF33" s="629"/>
      <c r="AG33" s="629"/>
    </row>
    <row r="34" spans="1:33" ht="15.75" x14ac:dyDescent="0.25">
      <c r="A34" s="638">
        <v>2019</v>
      </c>
      <c r="B34" s="639">
        <f>'[1]Data-Nisgaa &amp; Other FN Catch'!AP32</f>
        <v>2223</v>
      </c>
      <c r="C34" s="639">
        <f>'[1]Data-Nisgaa &amp; Other FN Catch'!AQ32</f>
        <v>1826</v>
      </c>
      <c r="D34" s="639">
        <f>'[1]Data-Nisgaa &amp; Other FN Catch'!AR32</f>
        <v>1720.8357523615989</v>
      </c>
      <c r="E34" s="639">
        <f>'[1]Data-Nisgaa &amp; Other FN Catch'!AS32</f>
        <v>676.14863441476632</v>
      </c>
      <c r="F34" s="639">
        <f t="shared" si="1"/>
        <v>6445.9843867763648</v>
      </c>
      <c r="G34" s="12"/>
      <c r="H34" s="639">
        <f t="shared" ref="H34:K40" si="6">T34*H$2*H$1</f>
        <v>19.2</v>
      </c>
      <c r="I34" s="639">
        <f t="shared" si="6"/>
        <v>71.399999999999991</v>
      </c>
      <c r="J34" s="639">
        <f t="shared" si="6"/>
        <v>37.799999999999997</v>
      </c>
      <c r="K34" s="639">
        <f t="shared" si="6"/>
        <v>107.39999999999999</v>
      </c>
      <c r="L34" s="639">
        <f t="shared" si="3"/>
        <v>235.79999999999995</v>
      </c>
      <c r="M34" s="12"/>
      <c r="N34" s="639">
        <f t="shared" ref="N34:R40" si="7">B34+H34</f>
        <v>2242.1999999999998</v>
      </c>
      <c r="O34" s="639">
        <f t="shared" si="7"/>
        <v>1897.4</v>
      </c>
      <c r="P34" s="639">
        <f t="shared" si="7"/>
        <v>1758.6357523615989</v>
      </c>
      <c r="Q34" s="639">
        <f t="shared" si="7"/>
        <v>783.5486344147663</v>
      </c>
      <c r="R34" s="639">
        <f t="shared" si="7"/>
        <v>6681.784386776365</v>
      </c>
      <c r="S34" s="12"/>
      <c r="T34" s="640">
        <f>'[1]Data-Nisgaa RM'!B21</f>
        <v>32</v>
      </c>
      <c r="U34" s="640">
        <f>'[1]Data-Nisgaa RM'!C21</f>
        <v>119</v>
      </c>
      <c r="V34" s="640">
        <f>'[1]Data-Nisgaa RM'!D21</f>
        <v>63</v>
      </c>
      <c r="W34" s="640">
        <f>'[1]Data-Nisgaa RM'!E21</f>
        <v>179</v>
      </c>
      <c r="X34" s="640">
        <f t="shared" si="5"/>
        <v>393</v>
      </c>
      <c r="Y34" s="629"/>
      <c r="Z34" s="629"/>
      <c r="AA34" s="629"/>
      <c r="AB34" s="629"/>
      <c r="AC34" s="629"/>
      <c r="AD34" s="629"/>
      <c r="AE34" s="629"/>
      <c r="AF34" s="629"/>
      <c r="AG34" s="629"/>
    </row>
    <row r="35" spans="1:33" ht="15.75" x14ac:dyDescent="0.25">
      <c r="A35" s="638">
        <v>2020</v>
      </c>
      <c r="B35" s="639">
        <f>'[1]Data-Nisgaa &amp; Other FN Catch'!AP33</f>
        <v>1773</v>
      </c>
      <c r="C35" s="639">
        <f>'[1]Data-Nisgaa &amp; Other FN Catch'!AQ33</f>
        <v>1511</v>
      </c>
      <c r="D35" s="639">
        <f>'[1]Data-Nisgaa &amp; Other FN Catch'!AR33</f>
        <v>1243</v>
      </c>
      <c r="E35" s="639">
        <f>'[1]Data-Nisgaa &amp; Other FN Catch'!AS33</f>
        <v>718</v>
      </c>
      <c r="F35" s="639">
        <f t="shared" si="1"/>
        <v>5245</v>
      </c>
      <c r="G35" s="12"/>
      <c r="H35" s="639">
        <f t="shared" si="6"/>
        <v>211.79999999999998</v>
      </c>
      <c r="I35" s="639">
        <f t="shared" si="6"/>
        <v>96.6</v>
      </c>
      <c r="J35" s="639">
        <f t="shared" si="6"/>
        <v>9.6</v>
      </c>
      <c r="K35" s="639">
        <f t="shared" si="6"/>
        <v>14.399999999999999</v>
      </c>
      <c r="L35" s="639">
        <f t="shared" si="3"/>
        <v>332.4</v>
      </c>
      <c r="M35" s="12"/>
      <c r="N35" s="639">
        <f t="shared" si="7"/>
        <v>1984.8</v>
      </c>
      <c r="O35" s="639">
        <f t="shared" si="7"/>
        <v>1607.6</v>
      </c>
      <c r="P35" s="639">
        <f t="shared" si="7"/>
        <v>1252.5999999999999</v>
      </c>
      <c r="Q35" s="639">
        <f t="shared" si="7"/>
        <v>732.4</v>
      </c>
      <c r="R35" s="639">
        <f t="shared" si="7"/>
        <v>5577.4</v>
      </c>
      <c r="S35" s="12"/>
      <c r="T35" s="640">
        <f>'[1]Data-Nisgaa RM'!B22</f>
        <v>353</v>
      </c>
      <c r="U35" s="640">
        <f>'[1]Data-Nisgaa RM'!C22</f>
        <v>161</v>
      </c>
      <c r="V35" s="640">
        <f>'[1]Data-Nisgaa RM'!D22</f>
        <v>16</v>
      </c>
      <c r="W35" s="640">
        <f>'[1]Data-Nisgaa RM'!E22</f>
        <v>24</v>
      </c>
      <c r="X35" s="640">
        <f t="shared" si="5"/>
        <v>554</v>
      </c>
      <c r="Y35" s="629"/>
      <c r="Z35" s="629"/>
      <c r="AA35" s="629"/>
      <c r="AB35" s="629"/>
      <c r="AC35" s="629"/>
      <c r="AD35" s="629"/>
      <c r="AE35" s="629"/>
      <c r="AF35" s="629"/>
      <c r="AG35" s="629"/>
    </row>
    <row r="36" spans="1:33" ht="17.45" customHeight="1" x14ac:dyDescent="0.2">
      <c r="A36" s="638">
        <v>2021</v>
      </c>
      <c r="B36" s="639">
        <f>'[1]Data-Nisgaa &amp; Other FN Catch'!AP34</f>
        <v>1016</v>
      </c>
      <c r="C36" s="639">
        <f>'[1]Data-Nisgaa &amp; Other FN Catch'!AQ34</f>
        <v>1371</v>
      </c>
      <c r="D36" s="639">
        <f>'[1]Data-Nisgaa &amp; Other FN Catch'!AR34</f>
        <v>2531</v>
      </c>
      <c r="E36" s="639">
        <f>'[1]Data-Nisgaa &amp; Other FN Catch'!AS34</f>
        <v>549</v>
      </c>
      <c r="F36" s="639">
        <f t="shared" si="1"/>
        <v>5467</v>
      </c>
      <c r="G36" s="12"/>
      <c r="H36" s="639">
        <f t="shared" si="6"/>
        <v>48</v>
      </c>
      <c r="I36" s="639">
        <f t="shared" si="6"/>
        <v>56.4</v>
      </c>
      <c r="J36" s="639">
        <f t="shared" si="6"/>
        <v>3</v>
      </c>
      <c r="K36" s="639">
        <f t="shared" si="6"/>
        <v>1.7999999999999998</v>
      </c>
      <c r="L36" s="639">
        <f t="shared" si="3"/>
        <v>109.2</v>
      </c>
      <c r="M36" s="12"/>
      <c r="N36" s="639">
        <f t="shared" si="7"/>
        <v>1064</v>
      </c>
      <c r="O36" s="639">
        <f t="shared" si="7"/>
        <v>1427.4</v>
      </c>
      <c r="P36" s="639">
        <f t="shared" si="7"/>
        <v>2534</v>
      </c>
      <c r="Q36" s="639">
        <f t="shared" si="7"/>
        <v>550.79999999999995</v>
      </c>
      <c r="R36" s="639">
        <f t="shared" si="7"/>
        <v>5576.2</v>
      </c>
      <c r="S36" s="12"/>
      <c r="T36" s="640">
        <f>'[1]Data-Nisgaa RM'!B23</f>
        <v>80</v>
      </c>
      <c r="U36" s="640">
        <f>'[1]Data-Nisgaa RM'!C23</f>
        <v>94</v>
      </c>
      <c r="V36" s="640">
        <f>'[1]Data-Nisgaa RM'!D23</f>
        <v>5</v>
      </c>
      <c r="W36" s="640">
        <f>'[1]Data-Nisgaa RM'!E23</f>
        <v>3</v>
      </c>
      <c r="X36" s="640">
        <f t="shared" si="5"/>
        <v>182</v>
      </c>
    </row>
    <row r="37" spans="1:33" x14ac:dyDescent="0.2">
      <c r="A37" s="638">
        <v>2022</v>
      </c>
      <c r="B37" s="639">
        <f>'[1]Data-Nisgaa &amp; Other FN Catch'!AP35</f>
        <v>1340</v>
      </c>
      <c r="C37" s="639">
        <f>'[1]Data-Nisgaa &amp; Other FN Catch'!AQ35</f>
        <v>447.00000000000006</v>
      </c>
      <c r="D37" s="639">
        <f>'[1]Data-Nisgaa &amp; Other FN Catch'!AR35</f>
        <v>1561.9999999999995</v>
      </c>
      <c r="E37" s="639">
        <f>'[1]Data-Nisgaa &amp; Other FN Catch'!AS35</f>
        <v>492.99999999999994</v>
      </c>
      <c r="F37" s="639">
        <f t="shared" si="1"/>
        <v>3841.9999999999995</v>
      </c>
      <c r="G37" s="12"/>
      <c r="H37" s="639">
        <f t="shared" si="6"/>
        <v>7.8</v>
      </c>
      <c r="I37" s="639">
        <f t="shared" si="6"/>
        <v>4.8</v>
      </c>
      <c r="J37" s="639">
        <f t="shared" si="6"/>
        <v>3.5999999999999996</v>
      </c>
      <c r="K37" s="639">
        <f t="shared" si="6"/>
        <v>6</v>
      </c>
      <c r="L37" s="639">
        <f t="shared" si="3"/>
        <v>22.2</v>
      </c>
      <c r="M37" s="12"/>
      <c r="N37" s="639">
        <f t="shared" si="7"/>
        <v>1347.8</v>
      </c>
      <c r="O37" s="639">
        <f t="shared" si="7"/>
        <v>451.80000000000007</v>
      </c>
      <c r="P37" s="639">
        <f t="shared" si="7"/>
        <v>1565.5999999999995</v>
      </c>
      <c r="Q37" s="639">
        <f t="shared" si="7"/>
        <v>498.99999999999994</v>
      </c>
      <c r="R37" s="639">
        <f t="shared" si="7"/>
        <v>3864.1999999999994</v>
      </c>
      <c r="S37" s="12"/>
      <c r="T37" s="640">
        <f>'[1]Data-Nisgaa RM'!B24</f>
        <v>13</v>
      </c>
      <c r="U37" s="640">
        <f>'[1]Data-Nisgaa RM'!C24</f>
        <v>8</v>
      </c>
      <c r="V37" s="640">
        <f>'[1]Data-Nisgaa RM'!D24</f>
        <v>6</v>
      </c>
      <c r="W37" s="640">
        <f>'[1]Data-Nisgaa RM'!E24</f>
        <v>10</v>
      </c>
      <c r="X37" s="640">
        <f t="shared" si="5"/>
        <v>37</v>
      </c>
    </row>
    <row r="38" spans="1:33" x14ac:dyDescent="0.2">
      <c r="A38" s="638">
        <v>2023</v>
      </c>
      <c r="B38" s="639">
        <f>'[1]Data-Nisgaa &amp; Other FN Catch'!AP36</f>
        <v>1586</v>
      </c>
      <c r="C38" s="639">
        <f>'[1]Data-Nisgaa &amp; Other FN Catch'!AQ36</f>
        <v>767.99999999999989</v>
      </c>
      <c r="D38" s="639">
        <f>'[1]Data-Nisgaa &amp; Other FN Catch'!AR36</f>
        <v>637</v>
      </c>
      <c r="E38" s="639">
        <f>'[1]Data-Nisgaa &amp; Other FN Catch'!AS36</f>
        <v>225</v>
      </c>
      <c r="F38" s="639">
        <f t="shared" si="1"/>
        <v>3216</v>
      </c>
      <c r="G38" s="12"/>
      <c r="H38" s="639">
        <f t="shared" si="6"/>
        <v>1.7999999999999998</v>
      </c>
      <c r="I38" s="639">
        <f t="shared" si="6"/>
        <v>0.6</v>
      </c>
      <c r="J38" s="639">
        <f t="shared" si="6"/>
        <v>0</v>
      </c>
      <c r="K38" s="639">
        <f t="shared" si="6"/>
        <v>0.6</v>
      </c>
      <c r="L38" s="639">
        <f t="shared" si="3"/>
        <v>3</v>
      </c>
      <c r="M38" s="12"/>
      <c r="N38" s="639">
        <f t="shared" si="7"/>
        <v>1587.8</v>
      </c>
      <c r="O38" s="639">
        <f t="shared" si="7"/>
        <v>768.59999999999991</v>
      </c>
      <c r="P38" s="639">
        <f t="shared" si="7"/>
        <v>637</v>
      </c>
      <c r="Q38" s="639">
        <f t="shared" si="7"/>
        <v>225.6</v>
      </c>
      <c r="R38" s="639">
        <f t="shared" si="7"/>
        <v>3219</v>
      </c>
      <c r="S38" s="12"/>
      <c r="T38" s="640">
        <f>'[1]Data-Nisgaa RM'!B25</f>
        <v>3</v>
      </c>
      <c r="U38" s="640">
        <f>'[1]Data-Nisgaa RM'!C25</f>
        <v>1</v>
      </c>
      <c r="V38" s="640">
        <f>'[1]Data-Nisgaa RM'!D25</f>
        <v>0</v>
      </c>
      <c r="W38" s="640">
        <f>'[1]Data-Nisgaa RM'!E25</f>
        <v>1</v>
      </c>
      <c r="X38" s="640">
        <f t="shared" si="5"/>
        <v>5</v>
      </c>
    </row>
    <row r="39" spans="1:33" x14ac:dyDescent="0.2">
      <c r="A39" s="638">
        <v>2024</v>
      </c>
      <c r="B39" s="639">
        <f>'[1]Data-Nisgaa &amp; Other FN Catch'!AP37</f>
        <v>2339.3500000000004</v>
      </c>
      <c r="C39" s="639">
        <f>'[1]Data-Nisgaa &amp; Other FN Catch'!AQ37</f>
        <v>1290.9523809523807</v>
      </c>
      <c r="D39" s="639">
        <f>'[1]Data-Nisgaa &amp; Other FN Catch'!AR37</f>
        <v>1009.8408190930294</v>
      </c>
      <c r="E39" s="639">
        <f>'[1]Data-Nisgaa &amp; Other FN Catch'!AS37</f>
        <v>1191.6843313807087</v>
      </c>
      <c r="F39" s="639">
        <f t="shared" si="1"/>
        <v>5831.8275314261191</v>
      </c>
      <c r="G39" s="12"/>
      <c r="H39" s="639">
        <f t="shared" si="6"/>
        <v>42.6</v>
      </c>
      <c r="I39" s="639">
        <f t="shared" si="6"/>
        <v>10.799999999999999</v>
      </c>
      <c r="J39" s="639">
        <f t="shared" si="6"/>
        <v>0</v>
      </c>
      <c r="K39" s="639">
        <f t="shared" si="6"/>
        <v>55.8</v>
      </c>
      <c r="L39" s="639">
        <f t="shared" si="3"/>
        <v>109.19999999999999</v>
      </c>
      <c r="M39" s="12"/>
      <c r="N39" s="639">
        <f t="shared" si="7"/>
        <v>2381.9500000000003</v>
      </c>
      <c r="O39" s="639">
        <f t="shared" si="7"/>
        <v>1301.7523809523807</v>
      </c>
      <c r="P39" s="639">
        <f t="shared" si="7"/>
        <v>1009.8408190930294</v>
      </c>
      <c r="Q39" s="639">
        <f t="shared" si="7"/>
        <v>1247.4843313807087</v>
      </c>
      <c r="R39" s="639">
        <f t="shared" si="7"/>
        <v>5941.0275314261189</v>
      </c>
      <c r="S39" s="12"/>
      <c r="T39" s="640">
        <f>'[1]Data-Nisgaa RM'!B26</f>
        <v>71</v>
      </c>
      <c r="U39" s="640">
        <f>'[1]Data-Nisgaa RM'!C26</f>
        <v>18</v>
      </c>
      <c r="V39" s="640">
        <f>'[1]Data-Nisgaa RM'!D26</f>
        <v>0</v>
      </c>
      <c r="W39" s="640">
        <f>'[1]Data-Nisgaa RM'!E26</f>
        <v>93</v>
      </c>
      <c r="X39" s="640">
        <f t="shared" si="5"/>
        <v>182</v>
      </c>
    </row>
    <row r="40" spans="1:33" x14ac:dyDescent="0.2">
      <c r="A40" s="638">
        <v>2025</v>
      </c>
      <c r="B40" s="639">
        <f>'[1]Data-Nisgaa &amp; Other FN Catch'!AP38-H40</f>
        <v>1676.25</v>
      </c>
      <c r="C40" s="639">
        <f>'[1]Data-Nisgaa &amp; Other FN Catch'!AQ38-I40</f>
        <v>1278.3809523809523</v>
      </c>
      <c r="D40" s="639">
        <f>'[1]Data-Nisgaa &amp; Other FN Catch'!AR38-J40</f>
        <v>1615.8990632784248</v>
      </c>
      <c r="E40" s="639">
        <f>'[1]Data-Nisgaa &amp; Other FN Catch'!AS38-K40</f>
        <v>279.06101013742989</v>
      </c>
      <c r="F40" s="639">
        <f t="shared" si="1"/>
        <v>4849.5910257968062</v>
      </c>
      <c r="G40" s="12"/>
      <c r="H40" s="639">
        <f t="shared" si="6"/>
        <v>36</v>
      </c>
      <c r="I40" s="639">
        <f t="shared" si="6"/>
        <v>49.199999999999996</v>
      </c>
      <c r="J40" s="639">
        <f t="shared" si="6"/>
        <v>36.6</v>
      </c>
      <c r="K40" s="639">
        <f t="shared" si="6"/>
        <v>1.7999999999999998</v>
      </c>
      <c r="L40" s="639">
        <f t="shared" si="3"/>
        <v>123.59999999999998</v>
      </c>
      <c r="M40" s="12"/>
      <c r="N40" s="639">
        <f t="shared" si="7"/>
        <v>1712.25</v>
      </c>
      <c r="O40" s="639">
        <f t="shared" si="7"/>
        <v>1327.5809523809523</v>
      </c>
      <c r="P40" s="639">
        <f t="shared" si="7"/>
        <v>1652.4990632784247</v>
      </c>
      <c r="Q40" s="639">
        <f t="shared" si="7"/>
        <v>280.8610101374299</v>
      </c>
      <c r="R40" s="639">
        <f t="shared" si="7"/>
        <v>4973.1910257968066</v>
      </c>
      <c r="S40" s="12"/>
      <c r="T40" s="640">
        <f>'[1]Data-Nisgaa RM'!B27</f>
        <v>60</v>
      </c>
      <c r="U40" s="640">
        <f>'[1]Data-Nisgaa RM'!C27</f>
        <v>82</v>
      </c>
      <c r="V40" s="640">
        <f>'[1]Data-Nisgaa RM'!D27</f>
        <v>61</v>
      </c>
      <c r="W40" s="640">
        <f>'[1]Data-Nisgaa RM'!E27</f>
        <v>3</v>
      </c>
      <c r="X40" s="640">
        <f t="shared" si="5"/>
        <v>206</v>
      </c>
    </row>
  </sheetData>
  <pageMargins left="0.7" right="0.7" top="0.75" bottom="0.75" header="0.3" footer="0.3"/>
  <headerFooter>
    <oddHeader>&amp;R&amp;"Calibri"&amp;12&amp;K000000 Unclassified - Non-Classifié&amp;1#_x000D_</oddHead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AC07F-A41D-4252-8060-C0698CB3150C}">
  <sheetPr>
    <tabColor rgb="FF00FF00"/>
  </sheetPr>
  <dimension ref="A1:BE230"/>
  <sheetViews>
    <sheetView zoomScale="90" zoomScaleNormal="90" zoomScaleSheetLayoutView="75" workbookViewId="0">
      <pane xSplit="5" ySplit="5" topLeftCell="F68" activePane="bottomRight" state="frozen"/>
      <selection activeCell="C49" sqref="C49:E49"/>
      <selection pane="topRight" activeCell="C49" sqref="C49:E49"/>
      <selection pane="bottomLeft" activeCell="C49" sqref="C49:E49"/>
      <selection pane="bottomRight" activeCell="C49" sqref="C49:E49"/>
    </sheetView>
  </sheetViews>
  <sheetFormatPr defaultColWidth="9.140625" defaultRowHeight="12.75" x14ac:dyDescent="0.2"/>
  <cols>
    <col min="1" max="2" width="1.5703125" style="12" customWidth="1"/>
    <col min="3" max="3" width="5.42578125" style="655" customWidth="1"/>
    <col min="4" max="4" width="5.5703125" style="655" customWidth="1"/>
    <col min="5" max="5" width="0.5703125" style="12" customWidth="1"/>
    <col min="6" max="6" width="8.85546875" style="657" customWidth="1"/>
    <col min="7" max="7" width="10.42578125" style="657" customWidth="1"/>
    <col min="8" max="9" width="8.140625" style="657" customWidth="1"/>
    <col min="10" max="10" width="0.5703125" style="12" customWidth="1"/>
    <col min="11" max="11" width="7" style="662" customWidth="1"/>
    <col min="12" max="12" width="6.85546875" style="662" customWidth="1"/>
    <col min="13" max="13" width="8.5703125" style="662" bestFit="1" customWidth="1"/>
    <col min="14" max="14" width="0.5703125" style="12" customWidth="1"/>
    <col min="15" max="15" width="5.42578125" style="657" bestFit="1" customWidth="1"/>
    <col min="16" max="16" width="6" style="657" bestFit="1" customWidth="1"/>
    <col min="17" max="17" width="6.140625" style="657" bestFit="1" customWidth="1"/>
    <col min="18" max="18" width="6.42578125" style="657" bestFit="1" customWidth="1"/>
    <col min="19" max="19" width="6" style="657" customWidth="1"/>
    <col min="20" max="20" width="1.5703125" style="12" customWidth="1"/>
    <col min="21" max="21" width="4.5703125" style="12" bestFit="1" customWidth="1"/>
    <col min="22" max="23" width="6" style="12" bestFit="1" customWidth="1"/>
    <col min="24" max="24" width="1.42578125" style="12" customWidth="1"/>
    <col min="25" max="25" width="9.5703125" style="657" customWidth="1"/>
    <col min="26" max="26" width="11.42578125" style="662" bestFit="1" customWidth="1"/>
    <col min="27" max="27" width="5.42578125" style="657" bestFit="1" customWidth="1"/>
    <col min="28" max="28" width="1" style="12" customWidth="1"/>
    <col min="29" max="29" width="5.85546875" style="657" bestFit="1" customWidth="1"/>
    <col min="30" max="30" width="7.42578125" style="12" customWidth="1"/>
    <col min="31" max="31" width="76.42578125" style="12" customWidth="1"/>
    <col min="32" max="32" width="5.42578125" style="12" customWidth="1"/>
    <col min="33" max="33" width="6" style="12" customWidth="1"/>
    <col min="34" max="36" width="9.42578125" style="12" bestFit="1" customWidth="1"/>
    <col min="37" max="37" width="19.5703125" style="12" customWidth="1"/>
    <col min="38" max="38" width="9.140625" style="12"/>
    <col min="39" max="39" width="6.42578125" style="12" customWidth="1"/>
    <col min="40" max="42" width="9.140625" style="12"/>
    <col min="43" max="43" width="1.85546875" style="12" customWidth="1"/>
    <col min="44" max="16384" width="9.140625" style="12"/>
  </cols>
  <sheetData>
    <row r="1" spans="1:56" s="641" customFormat="1" ht="15.75" x14ac:dyDescent="0.25">
      <c r="A1" s="641" t="s">
        <v>432</v>
      </c>
      <c r="C1" s="642"/>
      <c r="D1" s="642"/>
      <c r="F1" s="643" t="s">
        <v>433</v>
      </c>
      <c r="G1" s="644"/>
      <c r="H1" s="644"/>
      <c r="I1" s="644"/>
      <c r="K1" s="645"/>
      <c r="L1" s="645"/>
      <c r="M1" s="645"/>
      <c r="O1" s="644"/>
      <c r="P1" s="644"/>
      <c r="Q1" s="644"/>
      <c r="R1" s="644"/>
      <c r="S1" s="644"/>
      <c r="Y1" s="644"/>
      <c r="Z1" s="645"/>
      <c r="AA1" s="644"/>
      <c r="AC1" s="644"/>
      <c r="AH1" s="641">
        <v>407</v>
      </c>
      <c r="AI1" s="646">
        <f>AH1-AH47</f>
        <v>384</v>
      </c>
    </row>
    <row r="2" spans="1:56" s="641" customFormat="1" ht="6" customHeight="1" x14ac:dyDescent="0.25">
      <c r="A2" s="647"/>
      <c r="B2" s="647"/>
      <c r="C2" s="648"/>
      <c r="D2" s="648"/>
      <c r="E2" s="647"/>
      <c r="F2" s="649"/>
      <c r="G2" s="644"/>
      <c r="H2" s="644"/>
      <c r="I2" s="644"/>
      <c r="K2" s="645"/>
      <c r="L2" s="645"/>
      <c r="M2" s="645"/>
      <c r="O2" s="644"/>
      <c r="P2" s="644"/>
      <c r="Q2" s="644"/>
      <c r="R2" s="644"/>
      <c r="S2" s="644"/>
      <c r="Y2" s="644"/>
      <c r="Z2" s="645"/>
      <c r="AA2" s="644"/>
      <c r="AC2" s="644"/>
    </row>
    <row r="3" spans="1:56" x14ac:dyDescent="0.2">
      <c r="A3" s="12" t="s">
        <v>434</v>
      </c>
      <c r="B3" s="650"/>
      <c r="C3" s="650"/>
      <c r="D3" s="650"/>
      <c r="E3" s="650"/>
      <c r="F3" s="1039" t="s">
        <v>435</v>
      </c>
      <c r="G3" s="1040"/>
      <c r="H3" s="1040"/>
      <c r="I3" s="1040"/>
      <c r="J3" s="1040"/>
      <c r="K3" s="1040"/>
      <c r="L3" s="1040"/>
      <c r="M3" s="1040"/>
      <c r="N3" s="1040"/>
      <c r="O3" s="1040"/>
      <c r="P3" s="1040"/>
      <c r="Q3" s="1040"/>
      <c r="R3" s="1040"/>
      <c r="S3" s="652"/>
      <c r="T3" s="650"/>
      <c r="U3" s="1040" t="s">
        <v>436</v>
      </c>
      <c r="V3" s="1040"/>
      <c r="W3" s="1040"/>
      <c r="X3" s="650"/>
      <c r="Y3" s="1040" t="s">
        <v>437</v>
      </c>
      <c r="Z3" s="1040"/>
      <c r="AA3" s="1040"/>
      <c r="AB3" s="650"/>
      <c r="AC3" s="653"/>
      <c r="AD3" s="654" t="s">
        <v>438</v>
      </c>
    </row>
    <row r="4" spans="1:56" x14ac:dyDescent="0.2">
      <c r="B4" s="12" t="s">
        <v>439</v>
      </c>
      <c r="F4" s="1041" t="s">
        <v>218</v>
      </c>
      <c r="G4" s="1041"/>
      <c r="H4" s="1041"/>
      <c r="I4" s="1041"/>
      <c r="K4" s="1040" t="s">
        <v>440</v>
      </c>
      <c r="L4" s="1040"/>
      <c r="M4" s="1040"/>
      <c r="O4" s="1041" t="s">
        <v>441</v>
      </c>
      <c r="P4" s="1041"/>
      <c r="Q4" s="1041"/>
      <c r="R4" s="1041"/>
      <c r="S4" s="656" t="s">
        <v>284</v>
      </c>
      <c r="U4" s="1041" t="s">
        <v>441</v>
      </c>
      <c r="V4" s="1041"/>
      <c r="W4" s="1041"/>
      <c r="Y4" s="657" t="s">
        <v>43</v>
      </c>
      <c r="Z4" s="12"/>
      <c r="AA4" s="657" t="s">
        <v>428</v>
      </c>
      <c r="AC4" s="657" t="s">
        <v>43</v>
      </c>
      <c r="AD4" s="654" t="s">
        <v>225</v>
      </c>
      <c r="AY4" s="12" t="s">
        <v>442</v>
      </c>
      <c r="BC4" s="12" t="s">
        <v>443</v>
      </c>
    </row>
    <row r="5" spans="1:56" x14ac:dyDescent="0.2">
      <c r="A5" s="658"/>
      <c r="B5" s="658"/>
      <c r="C5" s="651" t="s">
        <v>36</v>
      </c>
      <c r="D5" s="651" t="s">
        <v>444</v>
      </c>
      <c r="E5" s="658"/>
      <c r="F5" s="659" t="s">
        <v>445</v>
      </c>
      <c r="G5" s="659" t="s">
        <v>446</v>
      </c>
      <c r="H5" s="659" t="s">
        <v>447</v>
      </c>
      <c r="I5" s="659" t="s">
        <v>43</v>
      </c>
      <c r="J5" s="658"/>
      <c r="K5" s="659" t="s">
        <v>445</v>
      </c>
      <c r="L5" s="659" t="s">
        <v>446</v>
      </c>
      <c r="M5" s="659" t="s">
        <v>447</v>
      </c>
      <c r="N5" s="658"/>
      <c r="O5" s="659" t="s">
        <v>445</v>
      </c>
      <c r="P5" s="659" t="s">
        <v>446</v>
      </c>
      <c r="Q5" s="659" t="s">
        <v>447</v>
      </c>
      <c r="R5" s="659" t="s">
        <v>43</v>
      </c>
      <c r="S5" s="659" t="s">
        <v>428</v>
      </c>
      <c r="T5" s="658"/>
      <c r="U5" s="659" t="s">
        <v>448</v>
      </c>
      <c r="V5" s="659" t="s">
        <v>449</v>
      </c>
      <c r="W5" s="659" t="s">
        <v>43</v>
      </c>
      <c r="X5" s="658"/>
      <c r="Y5" s="659" t="s">
        <v>450</v>
      </c>
      <c r="Z5" s="660" t="s">
        <v>440</v>
      </c>
      <c r="AA5" s="659" t="s">
        <v>451</v>
      </c>
      <c r="AB5" s="658"/>
      <c r="AC5" s="659" t="s">
        <v>428</v>
      </c>
      <c r="AD5" s="661"/>
      <c r="AE5" s="634" t="s">
        <v>417</v>
      </c>
      <c r="AL5" s="12" t="s">
        <v>452</v>
      </c>
      <c r="AO5" s="12" t="s">
        <v>453</v>
      </c>
      <c r="AY5" s="12" t="s">
        <v>454</v>
      </c>
      <c r="AZ5" s="12" t="s">
        <v>447</v>
      </c>
      <c r="BC5" s="12" t="s">
        <v>454</v>
      </c>
      <c r="BD5" s="12" t="s">
        <v>447</v>
      </c>
    </row>
    <row r="6" spans="1:56" ht="3" customHeight="1" x14ac:dyDescent="0.2">
      <c r="AE6" s="634"/>
    </row>
    <row r="7" spans="1:56" x14ac:dyDescent="0.2">
      <c r="A7" s="663" t="s">
        <v>407</v>
      </c>
      <c r="B7" s="663"/>
      <c r="AE7" s="634"/>
      <c r="AL7" s="12" t="s">
        <v>455</v>
      </c>
      <c r="AO7" s="12" t="s">
        <v>452</v>
      </c>
      <c r="AP7" s="12" t="s">
        <v>456</v>
      </c>
      <c r="AT7" s="12" t="s">
        <v>457</v>
      </c>
    </row>
    <row r="8" spans="1:56" ht="3" customHeight="1" x14ac:dyDescent="0.2">
      <c r="A8" s="663"/>
      <c r="B8" s="663"/>
      <c r="AE8" s="634"/>
    </row>
    <row r="9" spans="1:56" ht="15.75" x14ac:dyDescent="0.2">
      <c r="B9" s="664" t="s">
        <v>458</v>
      </c>
      <c r="AE9" s="634"/>
      <c r="AK9" s="12" t="s">
        <v>459</v>
      </c>
      <c r="AL9" s="12">
        <v>2189</v>
      </c>
      <c r="AN9" s="12">
        <v>2000</v>
      </c>
      <c r="AO9" s="12">
        <v>1082</v>
      </c>
      <c r="AP9" s="12">
        <v>250</v>
      </c>
      <c r="AS9" s="634" t="s">
        <v>460</v>
      </c>
      <c r="AT9" s="39" t="s">
        <v>461</v>
      </c>
      <c r="AU9" s="39" t="s">
        <v>462</v>
      </c>
      <c r="AV9" s="39" t="s">
        <v>43</v>
      </c>
    </row>
    <row r="10" spans="1:56" x14ac:dyDescent="0.2">
      <c r="C10" s="655">
        <v>2000</v>
      </c>
      <c r="D10" s="655" t="s">
        <v>463</v>
      </c>
      <c r="F10" s="665"/>
      <c r="G10" s="665"/>
      <c r="H10" s="665"/>
      <c r="I10" s="666">
        <v>4000</v>
      </c>
      <c r="K10" s="667">
        <v>0.16</v>
      </c>
      <c r="L10" s="667">
        <v>0.8</v>
      </c>
      <c r="M10" s="667"/>
      <c r="R10" s="668">
        <f>I10*((R12/I12+R11/I11)/2)</f>
        <v>860.65118994231329</v>
      </c>
      <c r="S10" s="667">
        <f>R10/I10</f>
        <v>0.21516279748557832</v>
      </c>
      <c r="Y10" s="665">
        <v>22100</v>
      </c>
      <c r="Z10" s="669">
        <f>AA10/Y10</f>
        <v>5.6561085972850677E-3</v>
      </c>
      <c r="AA10" s="670">
        <v>125</v>
      </c>
      <c r="AB10" s="11"/>
      <c r="AC10" s="671">
        <f>ROUND(R10+AA10,0)</f>
        <v>986</v>
      </c>
      <c r="AD10" s="672">
        <v>986</v>
      </c>
      <c r="AE10" s="634" t="s">
        <v>464</v>
      </c>
      <c r="AJ10" s="66">
        <f>R10/I10</f>
        <v>0.21516279748557832</v>
      </c>
      <c r="AK10" s="12" t="s">
        <v>465</v>
      </c>
      <c r="AL10" s="12">
        <v>808</v>
      </c>
      <c r="AN10" s="12">
        <v>2001</v>
      </c>
      <c r="AO10" s="12">
        <v>722</v>
      </c>
      <c r="AP10" s="12">
        <v>99</v>
      </c>
      <c r="AS10" s="634"/>
      <c r="AT10" s="79"/>
      <c r="AU10" s="79"/>
      <c r="AV10" s="634"/>
    </row>
    <row r="11" spans="1:56" x14ac:dyDescent="0.2">
      <c r="C11" s="655">
        <v>2001</v>
      </c>
      <c r="D11" s="655" t="s">
        <v>463</v>
      </c>
      <c r="F11" s="673">
        <v>6129</v>
      </c>
      <c r="G11" s="673">
        <v>690</v>
      </c>
      <c r="H11" s="673"/>
      <c r="I11" s="665">
        <f t="shared" ref="I11:I29" si="0">SUM(F11:H11)</f>
        <v>6819</v>
      </c>
      <c r="K11" s="667">
        <v>0.16</v>
      </c>
      <c r="L11" s="667">
        <v>0.8</v>
      </c>
      <c r="M11" s="667"/>
      <c r="O11" s="657">
        <f t="shared" ref="O11:P17" si="1">ROUND(F11*K11,0)</f>
        <v>981</v>
      </c>
      <c r="P11" s="657">
        <f t="shared" si="1"/>
        <v>552</v>
      </c>
      <c r="R11" s="674">
        <f t="shared" ref="R11:R32" si="2">SUM(O11:Q11)</f>
        <v>1533</v>
      </c>
      <c r="S11" s="667">
        <f t="shared" ref="S11:S30" si="3">R11/I11</f>
        <v>0.22481302243730752</v>
      </c>
      <c r="Y11" s="665">
        <v>30400</v>
      </c>
      <c r="Z11" s="669">
        <f t="shared" ref="Z11:Z17" si="4">AA11/Y11</f>
        <v>5.6578947368421057E-3</v>
      </c>
      <c r="AA11" s="670">
        <v>172</v>
      </c>
      <c r="AB11" s="11"/>
      <c r="AC11" s="671">
        <f t="shared" ref="AC11:AC32" si="5">ROUND(R11+AA11,0)</f>
        <v>1705</v>
      </c>
      <c r="AD11" s="672">
        <v>1705</v>
      </c>
      <c r="AE11" s="634"/>
      <c r="AJ11" s="66">
        <f t="shared" ref="AJ11:AJ35" si="6">R11/I11</f>
        <v>0.22481302243730752</v>
      </c>
      <c r="AK11" s="12" t="s">
        <v>466</v>
      </c>
      <c r="AL11" s="12">
        <v>653</v>
      </c>
      <c r="AN11" s="12">
        <v>2002</v>
      </c>
      <c r="AO11" s="12">
        <v>565</v>
      </c>
      <c r="AP11" s="12">
        <v>36</v>
      </c>
      <c r="AS11" s="675">
        <f>I11</f>
        <v>6819</v>
      </c>
      <c r="AT11" s="79">
        <f>F11/$I11</f>
        <v>0.89881214254289488</v>
      </c>
      <c r="AU11" s="79">
        <f>G11/$I11</f>
        <v>0.10118785745710515</v>
      </c>
      <c r="AV11" s="676">
        <f>SUM(AT11:AU11)</f>
        <v>1</v>
      </c>
    </row>
    <row r="12" spans="1:56" ht="13.5" thickBot="1" x14ac:dyDescent="0.25">
      <c r="C12" s="655">
        <v>2002</v>
      </c>
      <c r="D12" s="655" t="s">
        <v>463</v>
      </c>
      <c r="F12" s="673">
        <v>3842</v>
      </c>
      <c r="G12" s="673">
        <v>294</v>
      </c>
      <c r="H12" s="673"/>
      <c r="I12" s="665">
        <f t="shared" si="0"/>
        <v>4136</v>
      </c>
      <c r="K12" s="667">
        <v>0.16</v>
      </c>
      <c r="L12" s="667">
        <v>0.8</v>
      </c>
      <c r="M12" s="667"/>
      <c r="O12" s="657">
        <f t="shared" si="1"/>
        <v>615</v>
      </c>
      <c r="P12" s="657">
        <f t="shared" si="1"/>
        <v>235</v>
      </c>
      <c r="R12" s="674">
        <f>SUM(O12:Q12)</f>
        <v>850</v>
      </c>
      <c r="S12" s="667">
        <f t="shared" si="3"/>
        <v>0.20551257253384914</v>
      </c>
      <c r="Y12" s="665">
        <v>47100</v>
      </c>
      <c r="Z12" s="669">
        <f t="shared" si="4"/>
        <v>5.6475583864118899E-3</v>
      </c>
      <c r="AA12" s="670">
        <v>266</v>
      </c>
      <c r="AB12" s="11"/>
      <c r="AC12" s="671">
        <f t="shared" si="5"/>
        <v>1116</v>
      </c>
      <c r="AD12" s="672">
        <v>1116</v>
      </c>
      <c r="AE12" s="634" t="s">
        <v>467</v>
      </c>
      <c r="AJ12" s="66">
        <f t="shared" si="6"/>
        <v>0.20551257253384914</v>
      </c>
      <c r="AK12" s="12" t="s">
        <v>468</v>
      </c>
      <c r="AL12" s="12">
        <v>422</v>
      </c>
      <c r="AN12" s="12">
        <v>2003</v>
      </c>
      <c r="AS12" s="675">
        <f>I12</f>
        <v>4136</v>
      </c>
      <c r="AT12" s="79">
        <f>F12/$I12</f>
        <v>0.92891682785299812</v>
      </c>
      <c r="AU12" s="79">
        <f>G12/$I12</f>
        <v>7.1083172147001938E-2</v>
      </c>
      <c r="AV12" s="676">
        <f>SUM(AT12:AU12)</f>
        <v>1</v>
      </c>
    </row>
    <row r="13" spans="1:56" ht="13.5" thickBot="1" x14ac:dyDescent="0.25">
      <c r="C13" s="655">
        <v>2003</v>
      </c>
      <c r="D13" s="655" t="s">
        <v>463</v>
      </c>
      <c r="F13" s="665">
        <f>(F12*0.1)+F12</f>
        <v>4226.2</v>
      </c>
      <c r="G13" s="665">
        <f>(G12*0.1)+G12</f>
        <v>323.39999999999998</v>
      </c>
      <c r="H13" s="665"/>
      <c r="I13" s="665">
        <f t="shared" si="0"/>
        <v>4549.5999999999995</v>
      </c>
      <c r="K13" s="667">
        <v>0.16</v>
      </c>
      <c r="L13" s="667">
        <v>0.8</v>
      </c>
      <c r="M13" s="667"/>
      <c r="O13" s="657">
        <f t="shared" si="1"/>
        <v>676</v>
      </c>
      <c r="P13" s="657">
        <f t="shared" si="1"/>
        <v>259</v>
      </c>
      <c r="R13" s="674">
        <f>SUM(O13:Q13)</f>
        <v>935</v>
      </c>
      <c r="S13" s="667">
        <f t="shared" si="3"/>
        <v>0.20551257253384916</v>
      </c>
      <c r="Y13" s="665">
        <v>54300</v>
      </c>
      <c r="Z13" s="669">
        <f>AA13/Y13</f>
        <v>4.2725598526703497E-3</v>
      </c>
      <c r="AA13" s="670">
        <v>232</v>
      </c>
      <c r="AB13" s="11"/>
      <c r="AC13" s="671">
        <f t="shared" si="5"/>
        <v>1167</v>
      </c>
      <c r="AD13" s="672">
        <v>1167</v>
      </c>
      <c r="AE13" s="634" t="s">
        <v>469</v>
      </c>
      <c r="AJ13" s="66">
        <f t="shared" si="6"/>
        <v>0.20551257253384916</v>
      </c>
      <c r="AL13" s="677">
        <f>SUM(AL8:AL11)</f>
        <v>3650</v>
      </c>
      <c r="AN13" s="12" t="s">
        <v>470</v>
      </c>
      <c r="AO13" s="12">
        <f>AVERAGE(AO8:AO10)</f>
        <v>902</v>
      </c>
      <c r="AP13" s="12">
        <f>AVERAGE(AP8:AP10)</f>
        <v>174.5</v>
      </c>
      <c r="AS13" s="634"/>
      <c r="AT13" s="79"/>
      <c r="AU13" s="79"/>
      <c r="AV13" s="676"/>
    </row>
    <row r="14" spans="1:56" ht="13.5" thickBot="1" x14ac:dyDescent="0.25">
      <c r="C14" s="655">
        <v>2004</v>
      </c>
      <c r="D14" s="655" t="s">
        <v>463</v>
      </c>
      <c r="F14" s="665">
        <f>(F$12*0.1)+F$12</f>
        <v>4226.2</v>
      </c>
      <c r="G14" s="665">
        <f>(G$12*0.1)+G$12</f>
        <v>323.39999999999998</v>
      </c>
      <c r="H14" s="665"/>
      <c r="I14" s="665">
        <f t="shared" si="0"/>
        <v>4549.5999999999995</v>
      </c>
      <c r="K14" s="667">
        <v>0.16</v>
      </c>
      <c r="L14" s="667">
        <v>0.8</v>
      </c>
      <c r="M14" s="667"/>
      <c r="O14" s="657">
        <f t="shared" si="1"/>
        <v>676</v>
      </c>
      <c r="P14" s="657">
        <f t="shared" si="1"/>
        <v>259</v>
      </c>
      <c r="R14" s="674">
        <f t="shared" si="2"/>
        <v>935</v>
      </c>
      <c r="S14" s="667">
        <f t="shared" si="3"/>
        <v>0.20551257253384916</v>
      </c>
      <c r="Y14" s="665">
        <v>74000</v>
      </c>
      <c r="Z14" s="669">
        <f t="shared" si="4"/>
        <v>1.3378378378378379E-2</v>
      </c>
      <c r="AA14" s="670">
        <v>990</v>
      </c>
      <c r="AB14" s="11"/>
      <c r="AC14" s="671">
        <f t="shared" si="5"/>
        <v>1925</v>
      </c>
      <c r="AD14" s="672">
        <v>1925</v>
      </c>
      <c r="AE14" s="634" t="s">
        <v>471</v>
      </c>
      <c r="AJ14" s="66">
        <f t="shared" si="6"/>
        <v>0.20551257253384916</v>
      </c>
      <c r="AL14" s="677">
        <f>SUM(AL9:AL12)</f>
        <v>4072</v>
      </c>
      <c r="AN14" s="12" t="s">
        <v>470</v>
      </c>
      <c r="AO14" s="12">
        <f>AVERAGE(AO9:AO11)</f>
        <v>789.66666666666663</v>
      </c>
      <c r="AP14" s="12">
        <f>AVERAGE(AP9:AP11)</f>
        <v>128.33333333333334</v>
      </c>
      <c r="AS14" s="634"/>
      <c r="AT14" s="79"/>
      <c r="AU14" s="79"/>
      <c r="AV14" s="676"/>
    </row>
    <row r="15" spans="1:56" x14ac:dyDescent="0.2">
      <c r="C15" s="655">
        <v>2005</v>
      </c>
      <c r="D15" s="655" t="s">
        <v>463</v>
      </c>
      <c r="F15" s="665">
        <f>F12</f>
        <v>3842</v>
      </c>
      <c r="G15" s="665">
        <f>G12</f>
        <v>294</v>
      </c>
      <c r="H15" s="665"/>
      <c r="I15" s="665">
        <f t="shared" si="0"/>
        <v>4136</v>
      </c>
      <c r="K15" s="667">
        <v>0.16</v>
      </c>
      <c r="L15" s="667">
        <v>0.8</v>
      </c>
      <c r="M15" s="667"/>
      <c r="O15" s="657">
        <f t="shared" si="1"/>
        <v>615</v>
      </c>
      <c r="P15" s="657">
        <f t="shared" si="1"/>
        <v>235</v>
      </c>
      <c r="R15" s="674">
        <f t="shared" si="2"/>
        <v>850</v>
      </c>
      <c r="S15" s="667">
        <f t="shared" si="3"/>
        <v>0.20551257253384914</v>
      </c>
      <c r="Y15" s="665">
        <v>68800</v>
      </c>
      <c r="Z15" s="669">
        <f t="shared" si="4"/>
        <v>1.0058139534883721E-2</v>
      </c>
      <c r="AA15" s="670">
        <v>692</v>
      </c>
      <c r="AB15" s="11"/>
      <c r="AC15" s="671">
        <f t="shared" si="5"/>
        <v>1542</v>
      </c>
      <c r="AD15" s="672">
        <v>1542</v>
      </c>
      <c r="AE15" s="634" t="s">
        <v>472</v>
      </c>
      <c r="AH15" s="655"/>
      <c r="AI15" s="655"/>
      <c r="AJ15" s="66">
        <f t="shared" si="6"/>
        <v>0.20551257253384914</v>
      </c>
      <c r="AS15" s="634"/>
      <c r="AT15" s="79"/>
      <c r="AU15" s="79"/>
      <c r="AV15" s="676"/>
    </row>
    <row r="16" spans="1:56" x14ac:dyDescent="0.2">
      <c r="C16" s="655">
        <v>2006</v>
      </c>
      <c r="D16" s="655" t="s">
        <v>463</v>
      </c>
      <c r="F16" s="665">
        <f>F15</f>
        <v>3842</v>
      </c>
      <c r="G16" s="665">
        <f>G15</f>
        <v>294</v>
      </c>
      <c r="H16" s="665"/>
      <c r="I16" s="665">
        <f t="shared" si="0"/>
        <v>4136</v>
      </c>
      <c r="K16" s="667">
        <v>0.16</v>
      </c>
      <c r="L16" s="667">
        <v>0.8</v>
      </c>
      <c r="M16" s="667"/>
      <c r="O16" s="657">
        <f t="shared" si="1"/>
        <v>615</v>
      </c>
      <c r="P16" s="657">
        <f t="shared" si="1"/>
        <v>235</v>
      </c>
      <c r="R16" s="674">
        <f t="shared" si="2"/>
        <v>850</v>
      </c>
      <c r="S16" s="667">
        <f t="shared" si="3"/>
        <v>0.20551257253384914</v>
      </c>
      <c r="Y16" s="665">
        <v>64500</v>
      </c>
      <c r="Z16" s="669">
        <f t="shared" si="4"/>
        <v>2.0620155038759691E-3</v>
      </c>
      <c r="AA16" s="670">
        <v>133</v>
      </c>
      <c r="AB16" s="11"/>
      <c r="AC16" s="671">
        <f t="shared" si="5"/>
        <v>983</v>
      </c>
      <c r="AD16" s="672">
        <v>983</v>
      </c>
      <c r="AE16" s="634" t="s">
        <v>473</v>
      </c>
      <c r="AH16" s="1038" t="s">
        <v>474</v>
      </c>
      <c r="AI16" s="1038"/>
      <c r="AJ16" s="66">
        <f t="shared" si="6"/>
        <v>0.20551257253384914</v>
      </c>
      <c r="AS16" s="634"/>
      <c r="AT16" s="79"/>
      <c r="AU16" s="79"/>
      <c r="AV16" s="676"/>
    </row>
    <row r="17" spans="3:57" x14ac:dyDescent="0.2">
      <c r="C17" s="655">
        <v>2007</v>
      </c>
      <c r="D17" s="655" t="s">
        <v>463</v>
      </c>
      <c r="F17" s="678">
        <f>F15</f>
        <v>3842</v>
      </c>
      <c r="G17" s="678">
        <f>G15</f>
        <v>294</v>
      </c>
      <c r="H17" s="678"/>
      <c r="I17" s="665">
        <f t="shared" si="0"/>
        <v>4136</v>
      </c>
      <c r="K17" s="667">
        <v>0.16</v>
      </c>
      <c r="L17" s="667">
        <v>0.8</v>
      </c>
      <c r="M17" s="667"/>
      <c r="O17" s="657">
        <f t="shared" si="1"/>
        <v>615</v>
      </c>
      <c r="P17" s="657">
        <f t="shared" si="1"/>
        <v>235</v>
      </c>
      <c r="R17" s="674">
        <f t="shared" si="2"/>
        <v>850</v>
      </c>
      <c r="S17" s="667">
        <f t="shared" si="3"/>
        <v>0.20551257253384914</v>
      </c>
      <c r="Y17" s="665">
        <v>61000</v>
      </c>
      <c r="Z17" s="669">
        <f t="shared" si="4"/>
        <v>1.5737704918032787E-2</v>
      </c>
      <c r="AA17" s="670">
        <v>960</v>
      </c>
      <c r="AB17" s="679"/>
      <c r="AC17" s="671">
        <f t="shared" si="5"/>
        <v>1810</v>
      </c>
      <c r="AD17" s="672">
        <v>1810</v>
      </c>
      <c r="AE17" s="634" t="s">
        <v>475</v>
      </c>
      <c r="AH17" s="1038"/>
      <c r="AI17" s="1038"/>
      <c r="AJ17" s="66">
        <f t="shared" si="6"/>
        <v>0.20551257253384914</v>
      </c>
      <c r="AL17" s="12" t="s">
        <v>476</v>
      </c>
      <c r="AM17" s="12" t="s">
        <v>477</v>
      </c>
      <c r="AS17" s="634"/>
      <c r="AT17" s="79"/>
      <c r="AU17" s="79"/>
      <c r="AV17" s="676"/>
    </row>
    <row r="18" spans="3:57" x14ac:dyDescent="0.2">
      <c r="C18" s="655">
        <v>2008</v>
      </c>
      <c r="D18" s="655" t="s">
        <v>463</v>
      </c>
      <c r="F18" s="666">
        <v>6076</v>
      </c>
      <c r="G18" s="680"/>
      <c r="H18" s="666">
        <v>5894</v>
      </c>
      <c r="I18" s="666">
        <f t="shared" si="0"/>
        <v>11970</v>
      </c>
      <c r="K18" s="681">
        <f>O18/F18</f>
        <v>0.11076366030283082</v>
      </c>
      <c r="L18" s="667">
        <v>0.8</v>
      </c>
      <c r="M18" s="681">
        <f>Q18/H18</f>
        <v>9.2975907702748564E-2</v>
      </c>
      <c r="O18" s="666">
        <v>673</v>
      </c>
      <c r="Q18" s="666">
        <v>548</v>
      </c>
      <c r="R18" s="682">
        <f t="shared" si="2"/>
        <v>1221</v>
      </c>
      <c r="S18" s="667">
        <f t="shared" si="3"/>
        <v>0.10200501253132832</v>
      </c>
      <c r="Y18" s="666">
        <v>43500</v>
      </c>
      <c r="Z18" s="683">
        <f>AA18/Y18</f>
        <v>9.1724137931034483E-3</v>
      </c>
      <c r="AA18" s="684">
        <v>399</v>
      </c>
      <c r="AB18" s="685"/>
      <c r="AC18" s="686">
        <f t="shared" si="5"/>
        <v>1620</v>
      </c>
      <c r="AD18" s="672">
        <v>1620</v>
      </c>
      <c r="AE18" s="687" t="s">
        <v>478</v>
      </c>
      <c r="AF18" s="688"/>
      <c r="AH18" s="623">
        <f>F18/I18</f>
        <v>0.5076023391812865</v>
      </c>
      <c r="AI18" s="655"/>
      <c r="AJ18" s="66">
        <f t="shared" si="6"/>
        <v>0.10200501253132832</v>
      </c>
      <c r="AL18" s="66">
        <f>F18/$I18</f>
        <v>0.5076023391812865</v>
      </c>
      <c r="AM18" s="66">
        <f>H18/$I18</f>
        <v>0.49239766081871345</v>
      </c>
      <c r="AS18" s="675">
        <f>I18</f>
        <v>11970</v>
      </c>
      <c r="AT18" s="79">
        <f t="shared" ref="AT18:AU32" si="7">F18/$I18</f>
        <v>0.5076023391812865</v>
      </c>
      <c r="AU18" s="79">
        <f t="shared" si="7"/>
        <v>0</v>
      </c>
      <c r="AV18" s="676">
        <f t="shared" ref="AV18:AV29" si="8">SUM(AT18:AU18)</f>
        <v>0.5076023391812865</v>
      </c>
      <c r="AY18" s="12">
        <v>673</v>
      </c>
      <c r="AZ18" s="12">
        <v>548</v>
      </c>
      <c r="BA18" s="12">
        <f>SUM(AY18:AZ18)</f>
        <v>1221</v>
      </c>
      <c r="BC18" s="12">
        <v>6076</v>
      </c>
      <c r="BD18" s="12">
        <v>5894</v>
      </c>
      <c r="BE18" s="12">
        <f>SUM(BC18:BD18)</f>
        <v>11970</v>
      </c>
    </row>
    <row r="19" spans="3:57" x14ac:dyDescent="0.2">
      <c r="C19" s="655">
        <v>2009</v>
      </c>
      <c r="D19" s="655" t="s">
        <v>463</v>
      </c>
      <c r="F19" s="689">
        <v>5178</v>
      </c>
      <c r="G19" s="690"/>
      <c r="H19" s="689">
        <v>3998</v>
      </c>
      <c r="I19" s="689">
        <f t="shared" si="0"/>
        <v>9176</v>
      </c>
      <c r="K19" s="681">
        <f>O19/F19</f>
        <v>0.1809578988026265</v>
      </c>
      <c r="L19" s="667">
        <v>0.8</v>
      </c>
      <c r="M19" s="681">
        <f>Q19/H19</f>
        <v>2.5012506253126562E-2</v>
      </c>
      <c r="O19" s="689">
        <v>937</v>
      </c>
      <c r="Q19" s="689">
        <v>100</v>
      </c>
      <c r="R19" s="691">
        <f t="shared" si="2"/>
        <v>1037</v>
      </c>
      <c r="S19" s="667">
        <f t="shared" si="3"/>
        <v>0.11301220575414124</v>
      </c>
      <c r="Y19" s="689">
        <v>34000</v>
      </c>
      <c r="Z19" s="692">
        <v>8.4176763234113522E-3</v>
      </c>
      <c r="AA19" s="693">
        <v>279</v>
      </c>
      <c r="AB19" s="685"/>
      <c r="AC19" s="686">
        <f t="shared" si="5"/>
        <v>1316</v>
      </c>
      <c r="AD19" s="672">
        <v>1316</v>
      </c>
      <c r="AE19" s="694" t="s">
        <v>478</v>
      </c>
      <c r="AF19" s="695"/>
      <c r="AH19" s="623">
        <f>F19/I19</f>
        <v>0.5642981691368788</v>
      </c>
      <c r="AI19" s="655"/>
      <c r="AJ19" s="66">
        <f t="shared" si="6"/>
        <v>0.11301220575414124</v>
      </c>
      <c r="AL19" s="66">
        <f>F19/$I19</f>
        <v>0.5642981691368788</v>
      </c>
      <c r="AM19" s="66">
        <f>H19/$I19</f>
        <v>0.4357018308631212</v>
      </c>
      <c r="AS19" s="696">
        <v>9304</v>
      </c>
      <c r="AT19" s="79">
        <f t="shared" si="7"/>
        <v>0.5642981691368788</v>
      </c>
      <c r="AU19" s="79">
        <f t="shared" si="7"/>
        <v>0</v>
      </c>
      <c r="AV19" s="676">
        <f t="shared" si="8"/>
        <v>0.5642981691368788</v>
      </c>
      <c r="AY19" s="12">
        <v>937</v>
      </c>
      <c r="AZ19" s="12">
        <v>100</v>
      </c>
      <c r="BA19" s="12">
        <f>SUM(AY19:AZ19)</f>
        <v>1037</v>
      </c>
      <c r="BC19" s="12">
        <v>5178</v>
      </c>
      <c r="BD19" s="12">
        <v>3998</v>
      </c>
      <c r="BE19" s="12">
        <f>SUM(BC19:BD19)</f>
        <v>9176</v>
      </c>
    </row>
    <row r="20" spans="3:57" ht="13.5" x14ac:dyDescent="0.25">
      <c r="C20" s="655">
        <v>2010</v>
      </c>
      <c r="D20" s="655" t="s">
        <v>463</v>
      </c>
      <c r="F20" s="666">
        <v>3429</v>
      </c>
      <c r="G20" s="680"/>
      <c r="H20" s="666">
        <v>4141</v>
      </c>
      <c r="I20" s="666">
        <f t="shared" si="0"/>
        <v>7570</v>
      </c>
      <c r="J20" s="697"/>
      <c r="K20" s="681">
        <f>O20/F20</f>
        <v>1.6914552347623214E-2</v>
      </c>
      <c r="L20" s="667">
        <v>0.8</v>
      </c>
      <c r="M20" s="681">
        <f>Q20/H20</f>
        <v>2.4148756339048539E-3</v>
      </c>
      <c r="O20" s="666">
        <v>58</v>
      </c>
      <c r="Q20" s="666">
        <v>10</v>
      </c>
      <c r="R20" s="682">
        <f t="shared" si="2"/>
        <v>68</v>
      </c>
      <c r="S20" s="667">
        <f t="shared" si="3"/>
        <v>8.9828269484808453E-3</v>
      </c>
      <c r="T20" s="697"/>
      <c r="U20" s="697"/>
      <c r="V20" s="697"/>
      <c r="W20" s="697"/>
      <c r="X20" s="697"/>
      <c r="Y20" s="666">
        <v>43400</v>
      </c>
      <c r="Z20" s="698">
        <v>7.6267281105990787E-3</v>
      </c>
      <c r="AA20" s="699">
        <f>Z20*Y20</f>
        <v>331</v>
      </c>
      <c r="AB20" s="700"/>
      <c r="AC20" s="701">
        <f t="shared" si="5"/>
        <v>399</v>
      </c>
      <c r="AD20" s="672">
        <v>399</v>
      </c>
      <c r="AE20" s="702" t="s">
        <v>479</v>
      </c>
      <c r="AF20" s="703"/>
      <c r="AH20" s="623">
        <f>F20/I20</f>
        <v>0.45297225891677673</v>
      </c>
      <c r="AI20" s="655"/>
      <c r="AJ20" s="66">
        <f t="shared" si="6"/>
        <v>8.9828269484808453E-3</v>
      </c>
      <c r="AL20" s="66">
        <f>F20/$I20</f>
        <v>0.45297225891677673</v>
      </c>
      <c r="AM20" s="66">
        <f>H20/$I20</f>
        <v>0.54702774108322327</v>
      </c>
      <c r="AS20" s="696">
        <v>9304</v>
      </c>
      <c r="AT20" s="79">
        <f t="shared" si="7"/>
        <v>0.45297225891677673</v>
      </c>
      <c r="AU20" s="79">
        <f t="shared" si="7"/>
        <v>0</v>
      </c>
      <c r="AV20" s="676">
        <f t="shared" si="8"/>
        <v>0.45297225891677673</v>
      </c>
    </row>
    <row r="21" spans="3:57" ht="13.5" x14ac:dyDescent="0.25">
      <c r="C21" s="655">
        <v>2011</v>
      </c>
      <c r="D21" s="655" t="s">
        <v>463</v>
      </c>
      <c r="F21" s="704">
        <v>10174</v>
      </c>
      <c r="G21" s="680"/>
      <c r="H21" s="704">
        <v>4503</v>
      </c>
      <c r="I21" s="704">
        <f t="shared" si="0"/>
        <v>14677</v>
      </c>
      <c r="J21" s="697"/>
      <c r="K21" s="681">
        <f>O21/F21</f>
        <v>5.9367013957145665E-2</v>
      </c>
      <c r="L21" s="667">
        <v>0.8</v>
      </c>
      <c r="M21" s="681">
        <f>Q21/H21</f>
        <v>2.4428159005107706E-3</v>
      </c>
      <c r="O21" s="705">
        <v>604</v>
      </c>
      <c r="Q21" s="705">
        <v>11</v>
      </c>
      <c r="R21" s="706">
        <f t="shared" si="2"/>
        <v>615</v>
      </c>
      <c r="S21" s="667">
        <f t="shared" si="3"/>
        <v>4.1902296109559173E-2</v>
      </c>
      <c r="T21" s="697"/>
      <c r="U21" s="697"/>
      <c r="V21" s="697"/>
      <c r="W21" s="697"/>
      <c r="X21" s="697"/>
      <c r="Y21" s="705">
        <v>48000</v>
      </c>
      <c r="Z21" s="707">
        <f>AA21/Y21</f>
        <v>5.8958333333333337E-3</v>
      </c>
      <c r="AA21" s="699">
        <v>283</v>
      </c>
      <c r="AB21" s="700"/>
      <c r="AC21" s="701">
        <f t="shared" si="5"/>
        <v>898</v>
      </c>
      <c r="AD21" s="672">
        <v>898</v>
      </c>
      <c r="AE21" s="702" t="s">
        <v>479</v>
      </c>
      <c r="AF21" s="703"/>
      <c r="AH21" s="623">
        <f>F21/I21</f>
        <v>0.69319343190025207</v>
      </c>
      <c r="AI21" s="655"/>
      <c r="AJ21" s="66">
        <f t="shared" si="6"/>
        <v>4.1902296109559173E-2</v>
      </c>
      <c r="AL21" s="66">
        <f>F21/$I21</f>
        <v>0.69319343190025207</v>
      </c>
      <c r="AM21" s="66">
        <f>H21/$I21</f>
        <v>0.30680656809974788</v>
      </c>
      <c r="AS21" s="696">
        <v>9304</v>
      </c>
      <c r="AT21" s="79">
        <f t="shared" si="7"/>
        <v>0.69319343190025207</v>
      </c>
      <c r="AU21" s="79">
        <f t="shared" si="7"/>
        <v>0</v>
      </c>
      <c r="AV21" s="676">
        <f t="shared" si="8"/>
        <v>0.69319343190025207</v>
      </c>
    </row>
    <row r="22" spans="3:57" ht="13.5" x14ac:dyDescent="0.25">
      <c r="C22" s="655">
        <v>2012</v>
      </c>
      <c r="D22" s="655" t="s">
        <v>463</v>
      </c>
      <c r="F22" s="708">
        <v>4223</v>
      </c>
      <c r="G22" s="680"/>
      <c r="H22" s="708">
        <v>2794</v>
      </c>
      <c r="I22" s="708">
        <f t="shared" si="0"/>
        <v>7017</v>
      </c>
      <c r="J22" s="697"/>
      <c r="K22" s="709">
        <f>K21</f>
        <v>5.9367013957145665E-2</v>
      </c>
      <c r="L22" s="667">
        <v>0.8</v>
      </c>
      <c r="M22" s="709">
        <f>M21</f>
        <v>2.4428159005107706E-3</v>
      </c>
      <c r="O22" s="708">
        <f>K22*F22</f>
        <v>250.70689994102614</v>
      </c>
      <c r="P22" s="710"/>
      <c r="Q22" s="708">
        <f>M22*H22</f>
        <v>6.8252276260270932</v>
      </c>
      <c r="R22" s="711">
        <f t="shared" si="2"/>
        <v>257.53212756705324</v>
      </c>
      <c r="S22" s="667">
        <f t="shared" si="3"/>
        <v>3.6701172519175325E-2</v>
      </c>
      <c r="T22" s="697"/>
      <c r="U22" s="697"/>
      <c r="V22" s="697"/>
      <c r="W22" s="697"/>
      <c r="X22" s="697"/>
      <c r="Y22" s="712">
        <v>40050</v>
      </c>
      <c r="Z22" s="713">
        <f>Z21</f>
        <v>5.8958333333333337E-3</v>
      </c>
      <c r="AA22" s="714">
        <f>Z22*Y22</f>
        <v>236.12812500000001</v>
      </c>
      <c r="AB22" s="700"/>
      <c r="AC22" s="701">
        <f t="shared" si="5"/>
        <v>494</v>
      </c>
      <c r="AD22" s="672"/>
      <c r="AE22" s="715" t="s">
        <v>480</v>
      </c>
      <c r="AF22" s="716"/>
      <c r="AG22" s="655">
        <v>7000</v>
      </c>
      <c r="AH22" s="717">
        <f>AVERAGE(AH18:AH21)</f>
        <v>0.5545165497837985</v>
      </c>
      <c r="AI22" s="630">
        <f>1-AH22</f>
        <v>0.4454834502162015</v>
      </c>
      <c r="AJ22" s="66">
        <f t="shared" si="6"/>
        <v>3.6701172519175325E-2</v>
      </c>
      <c r="AL22" s="66">
        <f>F22/$I22</f>
        <v>0.6018241413709563</v>
      </c>
      <c r="AM22" s="66">
        <f>H22/$I22</f>
        <v>0.39817585862904376</v>
      </c>
      <c r="AS22" s="696">
        <v>9304</v>
      </c>
      <c r="AT22" s="79">
        <f t="shared" si="7"/>
        <v>0.6018241413709563</v>
      </c>
      <c r="AU22" s="79">
        <f t="shared" si="7"/>
        <v>0</v>
      </c>
      <c r="AV22" s="676">
        <f t="shared" si="8"/>
        <v>0.6018241413709563</v>
      </c>
    </row>
    <row r="23" spans="3:57" ht="13.5" x14ac:dyDescent="0.25">
      <c r="C23" s="655">
        <v>2013</v>
      </c>
      <c r="D23" s="655" t="s">
        <v>463</v>
      </c>
      <c r="F23" s="718">
        <v>3825</v>
      </c>
      <c r="G23" s="719"/>
      <c r="H23" s="718">
        <v>6434</v>
      </c>
      <c r="I23" s="718">
        <f t="shared" si="0"/>
        <v>10259</v>
      </c>
      <c r="J23" s="697"/>
      <c r="K23" s="720">
        <f>K22</f>
        <v>5.9367013957145665E-2</v>
      </c>
      <c r="L23" s="667">
        <v>0.8</v>
      </c>
      <c r="M23" s="720">
        <f>M22</f>
        <v>2.4428159005107706E-3</v>
      </c>
      <c r="O23" s="718">
        <f>K23*F23</f>
        <v>227.07882838608217</v>
      </c>
      <c r="P23" s="721"/>
      <c r="Q23" s="718">
        <f>M23*H23</f>
        <v>15.717077503886298</v>
      </c>
      <c r="R23" s="722">
        <f t="shared" si="2"/>
        <v>242.79590588996845</v>
      </c>
      <c r="S23" s="667">
        <f t="shared" si="3"/>
        <v>2.3666625001459055E-2</v>
      </c>
      <c r="T23" s="697"/>
      <c r="U23" s="697"/>
      <c r="V23" s="697"/>
      <c r="W23" s="697"/>
      <c r="X23" s="697"/>
      <c r="Y23" s="723">
        <v>46650</v>
      </c>
      <c r="Z23" s="724">
        <f>Z22</f>
        <v>5.8958333333333337E-3</v>
      </c>
      <c r="AA23" s="725">
        <f>Z23*Y23</f>
        <v>275.04062500000003</v>
      </c>
      <c r="AB23" s="700"/>
      <c r="AC23" s="701">
        <f t="shared" si="5"/>
        <v>518</v>
      </c>
      <c r="AD23" s="672"/>
      <c r="AE23" s="726" t="s">
        <v>481</v>
      </c>
      <c r="AF23" s="727"/>
      <c r="AG23" s="655"/>
      <c r="AH23" s="717"/>
      <c r="AI23" s="630"/>
      <c r="AJ23" s="66">
        <f t="shared" si="6"/>
        <v>2.3666625001459055E-2</v>
      </c>
      <c r="AS23" s="696"/>
      <c r="AT23" s="79">
        <f t="shared" si="7"/>
        <v>0.37284335705234428</v>
      </c>
      <c r="AU23" s="79">
        <f t="shared" si="7"/>
        <v>0</v>
      </c>
      <c r="AV23" s="676">
        <f t="shared" si="8"/>
        <v>0.37284335705234428</v>
      </c>
    </row>
    <row r="24" spans="3:57" ht="13.5" x14ac:dyDescent="0.25">
      <c r="C24" s="655">
        <v>2014</v>
      </c>
      <c r="D24" s="655" t="s">
        <v>463</v>
      </c>
      <c r="F24" s="728">
        <v>7681</v>
      </c>
      <c r="G24" s="719"/>
      <c r="H24" s="728">
        <v>5286</v>
      </c>
      <c r="I24" s="728">
        <f t="shared" si="0"/>
        <v>12967</v>
      </c>
      <c r="J24" s="729"/>
      <c r="K24" s="730">
        <f>K23</f>
        <v>5.9367013957145665E-2</v>
      </c>
      <c r="L24" s="667">
        <v>0.8</v>
      </c>
      <c r="M24" s="730">
        <f>M23</f>
        <v>2.4428159005107706E-3</v>
      </c>
      <c r="O24" s="728">
        <f>K24*F24</f>
        <v>455.99803420483585</v>
      </c>
      <c r="P24" s="731"/>
      <c r="Q24" s="728">
        <f>M24*H24</f>
        <v>12.912724850099934</v>
      </c>
      <c r="R24" s="722">
        <f t="shared" si="2"/>
        <v>468.9107590549358</v>
      </c>
      <c r="S24" s="667">
        <f t="shared" si="3"/>
        <v>3.6161853864034532E-2</v>
      </c>
      <c r="T24" s="697"/>
      <c r="U24" s="697"/>
      <c r="V24" s="697"/>
      <c r="W24" s="697"/>
      <c r="X24" s="697"/>
      <c r="Y24" s="732">
        <v>44900</v>
      </c>
      <c r="Z24" s="733">
        <f>Z23</f>
        <v>5.8958333333333337E-3</v>
      </c>
      <c r="AA24" s="725">
        <f>Z24*Y24</f>
        <v>264.72291666666666</v>
      </c>
      <c r="AB24" s="700"/>
      <c r="AC24" s="734">
        <f>ROUND(R24+AA24,0)</f>
        <v>734</v>
      </c>
      <c r="AD24" s="672"/>
      <c r="AE24" s="735" t="s">
        <v>482</v>
      </c>
      <c r="AF24" s="736"/>
      <c r="AG24" s="655"/>
      <c r="AH24" s="717"/>
      <c r="AI24" s="630"/>
      <c r="AJ24" s="66">
        <f t="shared" si="6"/>
        <v>3.6161853864034532E-2</v>
      </c>
      <c r="AL24" s="630">
        <f t="shared" ref="AL24:AM26" si="9">AVERAGE(AL18:AL23)</f>
        <v>0.56397806810123008</v>
      </c>
      <c r="AM24" s="630">
        <f t="shared" si="9"/>
        <v>0.43602193189876992</v>
      </c>
      <c r="AN24" s="634"/>
      <c r="AS24" s="696"/>
      <c r="AT24" s="79">
        <f t="shared" si="7"/>
        <v>0.59234981105884166</v>
      </c>
      <c r="AU24" s="79">
        <f t="shared" si="7"/>
        <v>0</v>
      </c>
      <c r="AV24" s="676">
        <f t="shared" si="8"/>
        <v>0.59234981105884166</v>
      </c>
    </row>
    <row r="25" spans="3:57" ht="13.5" x14ac:dyDescent="0.25">
      <c r="C25" s="655">
        <v>2015</v>
      </c>
      <c r="D25" s="655" t="s">
        <v>463</v>
      </c>
      <c r="F25" s="737">
        <v>6335</v>
      </c>
      <c r="G25" s="738"/>
      <c r="H25" s="737">
        <v>6421</v>
      </c>
      <c r="I25" s="737">
        <f t="shared" si="0"/>
        <v>12756</v>
      </c>
      <c r="J25" s="729"/>
      <c r="K25" s="739">
        <f>O25/F25</f>
        <v>6.7561168113654299E-2</v>
      </c>
      <c r="L25" s="667">
        <v>0.8</v>
      </c>
      <c r="M25" s="730">
        <f>Q25/H25</f>
        <v>1.1213206665628406E-2</v>
      </c>
      <c r="O25" s="737">
        <v>428</v>
      </c>
      <c r="P25" s="731"/>
      <c r="Q25" s="737">
        <v>72</v>
      </c>
      <c r="R25" s="740">
        <f t="shared" si="2"/>
        <v>500</v>
      </c>
      <c r="S25" s="667">
        <f t="shared" si="3"/>
        <v>3.9197240514267796E-2</v>
      </c>
      <c r="T25" s="697"/>
      <c r="U25" s="697"/>
      <c r="V25" s="697"/>
      <c r="W25" s="697"/>
      <c r="X25" s="697"/>
      <c r="Y25" s="741">
        <v>31800</v>
      </c>
      <c r="Z25" s="707">
        <f>AA25/Y25</f>
        <v>5.849056603773585E-3</v>
      </c>
      <c r="AA25" s="742">
        <v>186</v>
      </c>
      <c r="AB25" s="700"/>
      <c r="AC25" s="701">
        <f t="shared" si="5"/>
        <v>686</v>
      </c>
      <c r="AD25" s="672"/>
      <c r="AE25" s="743" t="s">
        <v>483</v>
      </c>
      <c r="AF25" s="736"/>
      <c r="AG25" s="655"/>
      <c r="AH25" s="717"/>
      <c r="AI25" s="630"/>
      <c r="AJ25" s="66">
        <f t="shared" si="6"/>
        <v>3.9197240514267796E-2</v>
      </c>
      <c r="AL25" s="630">
        <f t="shared" si="9"/>
        <v>0.57525321388521877</v>
      </c>
      <c r="AM25" s="630">
        <f t="shared" si="9"/>
        <v>0.42474678611478123</v>
      </c>
      <c r="AN25" s="634"/>
      <c r="AS25" s="696"/>
      <c r="AT25" s="79">
        <f t="shared" si="7"/>
        <v>0.49662903731577296</v>
      </c>
      <c r="AU25" s="79">
        <f t="shared" si="7"/>
        <v>0</v>
      </c>
      <c r="AV25" s="676">
        <f t="shared" si="8"/>
        <v>0.49662903731577296</v>
      </c>
      <c r="AX25" s="12">
        <f>1-0.59</f>
        <v>0.41000000000000003</v>
      </c>
    </row>
    <row r="26" spans="3:57" ht="13.5" x14ac:dyDescent="0.25">
      <c r="C26" s="655">
        <v>2016</v>
      </c>
      <c r="D26" s="655" t="s">
        <v>463</v>
      </c>
      <c r="F26" s="744">
        <v>5916</v>
      </c>
      <c r="G26" s="745"/>
      <c r="H26" s="744">
        <v>4127</v>
      </c>
      <c r="I26" s="744">
        <f t="shared" si="0"/>
        <v>10043</v>
      </c>
      <c r="J26" s="746"/>
      <c r="K26" s="747">
        <f>O26/F26</f>
        <v>5.8654496281271132E-2</v>
      </c>
      <c r="L26" s="667">
        <v>0.8</v>
      </c>
      <c r="M26" s="747">
        <f>Q26/H26</f>
        <v>2.9561424763750909E-2</v>
      </c>
      <c r="N26" s="748"/>
      <c r="O26" s="744">
        <v>347</v>
      </c>
      <c r="P26" s="749"/>
      <c r="Q26" s="744">
        <v>122</v>
      </c>
      <c r="R26" s="750">
        <f t="shared" si="2"/>
        <v>469</v>
      </c>
      <c r="S26" s="751">
        <f t="shared" si="3"/>
        <v>4.6699193468087222E-2</v>
      </c>
      <c r="T26" s="746"/>
      <c r="U26" s="746"/>
      <c r="V26" s="746"/>
      <c r="W26" s="746"/>
      <c r="X26" s="746"/>
      <c r="Y26" s="744">
        <f>26100</f>
        <v>26100</v>
      </c>
      <c r="Z26" s="707">
        <f>AA26/Y26</f>
        <v>1.1302681992337164E-2</v>
      </c>
      <c r="AA26" s="752">
        <v>295</v>
      </c>
      <c r="AB26" s="753"/>
      <c r="AC26" s="744">
        <f t="shared" si="5"/>
        <v>764</v>
      </c>
      <c r="AD26" s="672"/>
      <c r="AE26" s="735" t="s">
        <v>484</v>
      </c>
      <c r="AF26" s="736"/>
      <c r="AG26" s="655"/>
      <c r="AH26" s="717"/>
      <c r="AI26" s="630"/>
      <c r="AJ26" s="66">
        <f t="shared" si="6"/>
        <v>4.6699193468087222E-2</v>
      </c>
      <c r="AL26" s="630">
        <f t="shared" si="9"/>
        <v>0.57744422283488683</v>
      </c>
      <c r="AM26" s="630">
        <f t="shared" si="9"/>
        <v>0.42255577716511328</v>
      </c>
      <c r="AN26" s="634"/>
      <c r="AS26" s="696"/>
      <c r="AT26" s="79">
        <f t="shared" si="7"/>
        <v>0.58906701184904908</v>
      </c>
      <c r="AU26" s="79">
        <f t="shared" si="7"/>
        <v>0</v>
      </c>
      <c r="AV26" s="676">
        <f t="shared" si="8"/>
        <v>0.58906701184904908</v>
      </c>
    </row>
    <row r="27" spans="3:57" ht="13.5" x14ac:dyDescent="0.25">
      <c r="C27" s="655">
        <v>2017</v>
      </c>
      <c r="D27" s="655" t="s">
        <v>463</v>
      </c>
      <c r="F27" s="754">
        <v>5064</v>
      </c>
      <c r="G27" s="755"/>
      <c r="H27" s="754">
        <v>5044</v>
      </c>
      <c r="I27" s="754">
        <f t="shared" si="0"/>
        <v>10108</v>
      </c>
      <c r="J27" s="729"/>
      <c r="K27" s="756">
        <v>0.13683000000000001</v>
      </c>
      <c r="L27" s="667">
        <v>0.8</v>
      </c>
      <c r="M27" s="756">
        <v>6.6649999999999999E-3</v>
      </c>
      <c r="O27" s="754">
        <f t="shared" ref="O27:O32" si="10">K27*F27</f>
        <v>692.90712000000008</v>
      </c>
      <c r="P27" s="757"/>
      <c r="Q27" s="754">
        <f t="shared" ref="Q27:Q32" si="11">M27*H27</f>
        <v>33.618259999999999</v>
      </c>
      <c r="R27" s="758">
        <f t="shared" si="2"/>
        <v>726.52538000000004</v>
      </c>
      <c r="S27" s="667">
        <f t="shared" si="3"/>
        <v>7.187627423822715E-2</v>
      </c>
      <c r="T27" s="697"/>
      <c r="U27" s="697"/>
      <c r="V27" s="697"/>
      <c r="W27" s="697"/>
      <c r="X27" s="697"/>
      <c r="Y27" s="759">
        <v>26000</v>
      </c>
      <c r="Z27" s="760">
        <v>1.92E-3</v>
      </c>
      <c r="AA27" s="761">
        <f>Z27*Y27</f>
        <v>49.92</v>
      </c>
      <c r="AB27" s="762"/>
      <c r="AC27" s="754">
        <f t="shared" si="5"/>
        <v>776</v>
      </c>
      <c r="AD27" s="672"/>
      <c r="AE27" s="726" t="s">
        <v>485</v>
      </c>
      <c r="AF27" s="736"/>
      <c r="AG27" s="655"/>
      <c r="AH27" s="717"/>
      <c r="AI27" s="630"/>
      <c r="AJ27" s="66">
        <f t="shared" si="6"/>
        <v>7.187627423822715E-2</v>
      </c>
      <c r="AL27" s="630">
        <f t="shared" ref="AL27:AM32" si="12">AL26</f>
        <v>0.57744422283488683</v>
      </c>
      <c r="AM27" s="630">
        <f t="shared" si="12"/>
        <v>0.42255577716511328</v>
      </c>
      <c r="AN27" s="634">
        <v>3668</v>
      </c>
      <c r="AS27" s="763"/>
      <c r="AT27" s="79">
        <f t="shared" si="7"/>
        <v>0.50098931539374758</v>
      </c>
      <c r="AU27" s="79">
        <f t="shared" si="7"/>
        <v>0</v>
      </c>
      <c r="AV27" s="676">
        <f t="shared" si="8"/>
        <v>0.50098931539374758</v>
      </c>
    </row>
    <row r="28" spans="3:57" ht="13.5" x14ac:dyDescent="0.25">
      <c r="C28" s="655">
        <v>2018</v>
      </c>
      <c r="D28" s="655" t="s">
        <v>463</v>
      </c>
      <c r="F28" s="744">
        <v>3127</v>
      </c>
      <c r="G28" s="745"/>
      <c r="H28" s="744">
        <v>2695</v>
      </c>
      <c r="I28" s="744">
        <f t="shared" si="0"/>
        <v>5822</v>
      </c>
      <c r="J28" s="729"/>
      <c r="K28" s="764">
        <v>3.4039485364192407E-2</v>
      </c>
      <c r="L28" s="667">
        <v>0.8</v>
      </c>
      <c r="M28" s="764">
        <v>3.4039485364192407E-2</v>
      </c>
      <c r="O28" s="744">
        <f t="shared" si="10"/>
        <v>106.44147073382966</v>
      </c>
      <c r="P28" s="749"/>
      <c r="Q28" s="744">
        <f t="shared" si="11"/>
        <v>91.736413056498535</v>
      </c>
      <c r="R28" s="750">
        <f t="shared" si="2"/>
        <v>198.1778837903282</v>
      </c>
      <c r="S28" s="667">
        <f t="shared" si="3"/>
        <v>3.4039485364192407E-2</v>
      </c>
      <c r="T28" s="697"/>
      <c r="U28" s="697"/>
      <c r="V28" s="697"/>
      <c r="W28" s="697"/>
      <c r="X28" s="697"/>
      <c r="Y28" s="765">
        <v>36700</v>
      </c>
      <c r="Z28" s="766">
        <v>1.0700671723100649E-3</v>
      </c>
      <c r="AA28" s="752">
        <f>Z28*Y28</f>
        <v>39.27146522377938</v>
      </c>
      <c r="AB28" s="753"/>
      <c r="AC28" s="744">
        <f t="shared" si="5"/>
        <v>237</v>
      </c>
      <c r="AD28" s="672"/>
      <c r="AE28" s="767" t="s">
        <v>486</v>
      </c>
      <c r="AF28" s="736"/>
      <c r="AG28" s="655"/>
      <c r="AH28" s="717"/>
      <c r="AI28" s="630"/>
      <c r="AJ28" s="66">
        <f t="shared" si="6"/>
        <v>3.4039485364192407E-2</v>
      </c>
      <c r="AL28" s="630">
        <f t="shared" si="12"/>
        <v>0.57744422283488683</v>
      </c>
      <c r="AM28" s="630">
        <f t="shared" si="12"/>
        <v>0.42255577716511328</v>
      </c>
      <c r="AN28" s="634">
        <v>3668</v>
      </c>
      <c r="AS28" s="763"/>
      <c r="AT28" s="79">
        <f t="shared" si="7"/>
        <v>0.53710065269666785</v>
      </c>
      <c r="AU28" s="79">
        <f t="shared" si="7"/>
        <v>0</v>
      </c>
      <c r="AV28" s="676">
        <f t="shared" si="8"/>
        <v>0.53710065269666785</v>
      </c>
    </row>
    <row r="29" spans="3:57" ht="13.5" x14ac:dyDescent="0.25">
      <c r="C29" s="655">
        <v>2019</v>
      </c>
      <c r="D29" s="655" t="s">
        <v>463</v>
      </c>
      <c r="F29" s="744">
        <v>8494</v>
      </c>
      <c r="G29" s="745"/>
      <c r="H29" s="744">
        <v>6658</v>
      </c>
      <c r="I29" s="744">
        <f t="shared" si="0"/>
        <v>15152</v>
      </c>
      <c r="J29" s="729"/>
      <c r="K29" s="764">
        <v>3.4039485364192407E-2</v>
      </c>
      <c r="L29" s="667">
        <v>0.8</v>
      </c>
      <c r="M29" s="764">
        <v>3.4039485364192407E-2</v>
      </c>
      <c r="O29" s="744">
        <f t="shared" si="10"/>
        <v>289.13138868345033</v>
      </c>
      <c r="P29" s="749"/>
      <c r="Q29" s="744">
        <f t="shared" si="11"/>
        <v>226.63489355479305</v>
      </c>
      <c r="R29" s="750">
        <f t="shared" si="2"/>
        <v>515.76628223824332</v>
      </c>
      <c r="S29" s="667">
        <f t="shared" si="3"/>
        <v>3.4039485364192407E-2</v>
      </c>
      <c r="T29" s="697"/>
      <c r="U29" s="697"/>
      <c r="V29" s="697"/>
      <c r="W29" s="697"/>
      <c r="X29" s="697"/>
      <c r="Y29" s="765">
        <v>45205.479452054788</v>
      </c>
      <c r="Z29" s="768">
        <v>8.0300000000000007E-3</v>
      </c>
      <c r="AA29" s="752">
        <f>$Y29*$Z29</f>
        <v>363</v>
      </c>
      <c r="AB29" s="753"/>
      <c r="AC29" s="744">
        <f t="shared" si="5"/>
        <v>879</v>
      </c>
      <c r="AD29" s="672">
        <f>$Y29*$Z29</f>
        <v>363</v>
      </c>
      <c r="AE29" s="767" t="s">
        <v>487</v>
      </c>
      <c r="AF29" s="736"/>
      <c r="AG29" s="655"/>
      <c r="AH29" s="717"/>
      <c r="AI29" s="630"/>
      <c r="AJ29" s="66">
        <f t="shared" si="6"/>
        <v>3.4039485364192407E-2</v>
      </c>
      <c r="AL29" s="630">
        <f t="shared" si="12"/>
        <v>0.57744422283488683</v>
      </c>
      <c r="AM29" s="630">
        <f t="shared" si="12"/>
        <v>0.42255577716511328</v>
      </c>
      <c r="AN29" s="634">
        <v>3668</v>
      </c>
      <c r="AS29" s="763"/>
      <c r="AT29" s="79">
        <f t="shared" si="7"/>
        <v>0.56058606124604016</v>
      </c>
      <c r="AU29" s="79">
        <f t="shared" si="7"/>
        <v>0</v>
      </c>
      <c r="AV29" s="676">
        <f t="shared" si="8"/>
        <v>0.56058606124604016</v>
      </c>
    </row>
    <row r="30" spans="3:57" ht="13.5" x14ac:dyDescent="0.25">
      <c r="C30" s="655">
        <v>2020</v>
      </c>
      <c r="D30" s="655" t="s">
        <v>463</v>
      </c>
      <c r="F30" s="744">
        <v>2775</v>
      </c>
      <c r="G30" s="745"/>
      <c r="H30" s="744">
        <v>5472</v>
      </c>
      <c r="I30" s="744">
        <f>SUM(F30:H30)</f>
        <v>8247</v>
      </c>
      <c r="J30" s="729"/>
      <c r="K30" s="764">
        <v>3.4039485364192407E-2</v>
      </c>
      <c r="L30" s="667">
        <v>0.8</v>
      </c>
      <c r="M30" s="764">
        <v>3.4039485364192407E-2</v>
      </c>
      <c r="O30" s="744">
        <f t="shared" si="10"/>
        <v>94.459571885633935</v>
      </c>
      <c r="P30" s="749"/>
      <c r="Q30" s="744">
        <f t="shared" si="11"/>
        <v>186.26406391286085</v>
      </c>
      <c r="R30" s="750">
        <f t="shared" si="2"/>
        <v>280.7236357984948</v>
      </c>
      <c r="S30" s="667">
        <f t="shared" si="3"/>
        <v>3.4039485364192407E-2</v>
      </c>
      <c r="T30" s="697"/>
      <c r="U30" s="697"/>
      <c r="V30" s="697"/>
      <c r="W30" s="697"/>
      <c r="X30" s="697"/>
      <c r="Y30" s="765">
        <v>6087</v>
      </c>
      <c r="Z30" s="768">
        <f>Z29</f>
        <v>8.0300000000000007E-3</v>
      </c>
      <c r="AA30" s="752">
        <f>$Y30*$Z30</f>
        <v>48.878610000000002</v>
      </c>
      <c r="AB30" s="753"/>
      <c r="AC30" s="744">
        <f t="shared" si="5"/>
        <v>330</v>
      </c>
      <c r="AD30" s="672"/>
      <c r="AE30" s="767" t="s">
        <v>488</v>
      </c>
      <c r="AF30" s="736"/>
      <c r="AG30" s="655"/>
      <c r="AH30" s="717"/>
      <c r="AI30" s="630"/>
      <c r="AJ30" s="66">
        <f t="shared" si="6"/>
        <v>3.4039485364192407E-2</v>
      </c>
      <c r="AL30" s="630">
        <f t="shared" si="12"/>
        <v>0.57744422283488683</v>
      </c>
      <c r="AM30" s="630">
        <f t="shared" si="12"/>
        <v>0.42255577716511328</v>
      </c>
      <c r="AN30" s="634">
        <v>3668</v>
      </c>
      <c r="AS30" s="763"/>
      <c r="AT30" s="79">
        <f t="shared" si="7"/>
        <v>0.33648599490723902</v>
      </c>
      <c r="AU30" s="79">
        <f t="shared" si="7"/>
        <v>0</v>
      </c>
      <c r="AV30" s="676">
        <f>SUM(AT30:AU30)</f>
        <v>0.33648599490723902</v>
      </c>
    </row>
    <row r="31" spans="3:57" ht="13.5" x14ac:dyDescent="0.25">
      <c r="C31" s="655">
        <v>2021</v>
      </c>
      <c r="D31" s="655" t="s">
        <v>463</v>
      </c>
      <c r="F31" s="744">
        <v>2641</v>
      </c>
      <c r="G31" s="745"/>
      <c r="H31" s="744">
        <v>4742</v>
      </c>
      <c r="I31" s="744">
        <f>SUM(F31:H31)</f>
        <v>7383</v>
      </c>
      <c r="J31" s="729"/>
      <c r="K31" s="769">
        <v>2.8000000000000001E-2</v>
      </c>
      <c r="L31" s="667">
        <v>0.8</v>
      </c>
      <c r="M31" s="769">
        <v>2.8000000000000001E-2</v>
      </c>
      <c r="O31" s="744">
        <f t="shared" si="10"/>
        <v>73.948000000000008</v>
      </c>
      <c r="P31" s="749"/>
      <c r="Q31" s="744">
        <f t="shared" si="11"/>
        <v>132.77600000000001</v>
      </c>
      <c r="R31" s="750">
        <f t="shared" si="2"/>
        <v>206.72400000000002</v>
      </c>
      <c r="S31" s="667">
        <f>R31/I31</f>
        <v>2.8000000000000004E-2</v>
      </c>
      <c r="T31" s="697"/>
      <c r="U31" s="697"/>
      <c r="V31" s="697"/>
      <c r="W31" s="697"/>
      <c r="X31" s="697"/>
      <c r="Y31" s="765">
        <v>26517</v>
      </c>
      <c r="Z31" s="770">
        <f>AA31/Y31</f>
        <v>6.4864049477693555E-3</v>
      </c>
      <c r="AA31" s="771">
        <v>172</v>
      </c>
      <c r="AB31" s="753"/>
      <c r="AC31" s="744">
        <f t="shared" si="5"/>
        <v>379</v>
      </c>
      <c r="AD31" s="672"/>
      <c r="AE31" s="772" t="s">
        <v>489</v>
      </c>
      <c r="AF31" s="736"/>
      <c r="AG31" s="655"/>
      <c r="AH31" s="717"/>
      <c r="AI31" s="630"/>
      <c r="AJ31" s="66">
        <f t="shared" si="6"/>
        <v>2.8000000000000004E-2</v>
      </c>
      <c r="AL31" s="630">
        <f t="shared" si="12"/>
        <v>0.57744422283488683</v>
      </c>
      <c r="AM31" s="630">
        <f t="shared" si="12"/>
        <v>0.42255577716511328</v>
      </c>
      <c r="AN31" s="634">
        <v>3668</v>
      </c>
      <c r="AS31" s="763"/>
      <c r="AT31" s="79">
        <f t="shared" si="7"/>
        <v>0.35771366653122039</v>
      </c>
      <c r="AU31" s="79">
        <f t="shared" si="7"/>
        <v>0</v>
      </c>
      <c r="AV31" s="676">
        <f>SUM(AT31:AU31)</f>
        <v>0.35771366653122039</v>
      </c>
    </row>
    <row r="32" spans="3:57" ht="13.5" x14ac:dyDescent="0.25">
      <c r="C32" s="655">
        <v>2022</v>
      </c>
      <c r="D32" s="655" t="s">
        <v>463</v>
      </c>
      <c r="F32" s="744">
        <v>1255</v>
      </c>
      <c r="G32" s="745"/>
      <c r="H32" s="744">
        <v>3178</v>
      </c>
      <c r="I32" s="744">
        <f>SUM(F32:H32)</f>
        <v>4433</v>
      </c>
      <c r="J32" s="729"/>
      <c r="K32" s="764">
        <f>K31</f>
        <v>2.8000000000000001E-2</v>
      </c>
      <c r="L32" s="667">
        <v>0.8</v>
      </c>
      <c r="M32" s="764">
        <f>M31</f>
        <v>2.8000000000000001E-2</v>
      </c>
      <c r="O32" s="744">
        <f t="shared" si="10"/>
        <v>35.14</v>
      </c>
      <c r="P32" s="749"/>
      <c r="Q32" s="744">
        <f t="shared" si="11"/>
        <v>88.984000000000009</v>
      </c>
      <c r="R32" s="750">
        <f t="shared" si="2"/>
        <v>124.12400000000001</v>
      </c>
      <c r="S32" s="667">
        <f>R32/I32</f>
        <v>2.8000000000000001E-2</v>
      </c>
      <c r="T32" s="697"/>
      <c r="U32" s="697"/>
      <c r="V32" s="697"/>
      <c r="W32" s="697"/>
      <c r="X32" s="697"/>
      <c r="Y32" s="773">
        <v>25674</v>
      </c>
      <c r="Z32" s="768">
        <f>Z31</f>
        <v>6.4864049477693555E-3</v>
      </c>
      <c r="AA32" s="752">
        <f>$Y32*$Z32</f>
        <v>166.53196062903044</v>
      </c>
      <c r="AB32" s="753"/>
      <c r="AC32" s="744">
        <f t="shared" si="5"/>
        <v>291</v>
      </c>
      <c r="AD32" s="672"/>
      <c r="AE32" s="767" t="s">
        <v>490</v>
      </c>
      <c r="AF32" s="736"/>
      <c r="AG32" s="655"/>
      <c r="AH32" s="717"/>
      <c r="AI32" s="630"/>
      <c r="AJ32" s="66">
        <f t="shared" si="6"/>
        <v>2.8000000000000001E-2</v>
      </c>
      <c r="AL32" s="630">
        <f t="shared" si="12"/>
        <v>0.57744422283488683</v>
      </c>
      <c r="AM32" s="630">
        <f t="shared" si="12"/>
        <v>0.42255577716511328</v>
      </c>
      <c r="AN32" s="634">
        <v>3668</v>
      </c>
      <c r="AS32" s="763"/>
      <c r="AT32" s="79">
        <f t="shared" si="7"/>
        <v>0.28310399278141213</v>
      </c>
      <c r="AU32" s="79">
        <f t="shared" si="7"/>
        <v>0</v>
      </c>
      <c r="AV32" s="676">
        <f>SUM(AT32:AU32)</f>
        <v>0.28310399278141213</v>
      </c>
    </row>
    <row r="33" spans="2:48" ht="13.5" x14ac:dyDescent="0.25">
      <c r="C33" s="655">
        <v>2023</v>
      </c>
      <c r="D33" s="655" t="s">
        <v>463</v>
      </c>
      <c r="F33" s="744">
        <v>1600</v>
      </c>
      <c r="G33" s="745"/>
      <c r="H33" s="744">
        <v>4000</v>
      </c>
      <c r="I33" s="744">
        <f>SUM(F33:H33)</f>
        <v>5600</v>
      </c>
      <c r="J33" s="729"/>
      <c r="K33" s="764">
        <v>2.8000000000000001E-2</v>
      </c>
      <c r="L33" s="667">
        <v>0.8</v>
      </c>
      <c r="M33" s="764">
        <v>2.8000000000000001E-2</v>
      </c>
      <c r="O33" s="744">
        <v>44.800000000000004</v>
      </c>
      <c r="P33" s="749"/>
      <c r="Q33" s="744">
        <v>112</v>
      </c>
      <c r="R33" s="750">
        <v>156.80000000000001</v>
      </c>
      <c r="S33" s="667">
        <v>2.8000000000000001E-2</v>
      </c>
      <c r="T33" s="697"/>
      <c r="U33" s="697"/>
      <c r="V33" s="697"/>
      <c r="W33" s="697"/>
      <c r="X33" s="697"/>
      <c r="Y33" s="773">
        <v>16377</v>
      </c>
      <c r="Z33" s="768">
        <v>6.4864049477693555E-3</v>
      </c>
      <c r="AA33" s="752">
        <v>106.22785382961874</v>
      </c>
      <c r="AB33" s="753"/>
      <c r="AC33" s="744">
        <v>263</v>
      </c>
      <c r="AD33" s="672"/>
      <c r="AE33" s="767" t="s">
        <v>491</v>
      </c>
      <c r="AF33" s="736"/>
      <c r="AG33" s="655"/>
      <c r="AH33" s="717"/>
      <c r="AI33" s="630"/>
      <c r="AJ33" s="66"/>
      <c r="AL33" s="630"/>
      <c r="AM33" s="630"/>
      <c r="AN33" s="634"/>
      <c r="AS33" s="763"/>
      <c r="AT33" s="79"/>
      <c r="AU33" s="79"/>
      <c r="AV33" s="676"/>
    </row>
    <row r="34" spans="2:48" ht="13.5" x14ac:dyDescent="0.25">
      <c r="C34" s="655">
        <v>2024</v>
      </c>
      <c r="D34" s="655" t="s">
        <v>463</v>
      </c>
      <c r="F34" s="744">
        <v>2928</v>
      </c>
      <c r="G34" s="745"/>
      <c r="H34" s="744">
        <v>6311</v>
      </c>
      <c r="I34" s="744">
        <f t="shared" ref="I34:I35" si="13">SUM(F34:H34)</f>
        <v>9239</v>
      </c>
      <c r="J34" s="729"/>
      <c r="K34" s="764">
        <v>2.8000000000000001E-2</v>
      </c>
      <c r="L34" s="667">
        <v>0.8</v>
      </c>
      <c r="M34" s="764">
        <v>2.8000000000000001E-2</v>
      </c>
      <c r="O34" s="744">
        <v>81.983999999999995</v>
      </c>
      <c r="P34" s="749"/>
      <c r="Q34" s="744">
        <v>176.708</v>
      </c>
      <c r="R34" s="750">
        <v>258.69200000000001</v>
      </c>
      <c r="S34" s="667">
        <v>2.8000000000000001E-2</v>
      </c>
      <c r="T34" s="697"/>
      <c r="U34" s="697"/>
      <c r="V34" s="697"/>
      <c r="W34" s="697"/>
      <c r="X34" s="697"/>
      <c r="Y34" s="773">
        <v>13294</v>
      </c>
      <c r="Z34" s="768">
        <v>6.4864049477693555E-3</v>
      </c>
      <c r="AA34" s="752">
        <v>86.230267375645809</v>
      </c>
      <c r="AB34" s="753"/>
      <c r="AC34" s="744">
        <v>345</v>
      </c>
      <c r="AD34" s="672"/>
      <c r="AE34" s="767" t="s">
        <v>492</v>
      </c>
      <c r="AF34" s="736"/>
      <c r="AG34" s="655"/>
      <c r="AH34" s="717"/>
      <c r="AI34" s="630">
        <v>5604</v>
      </c>
      <c r="AJ34" s="66">
        <v>2.8000000000000001E-2</v>
      </c>
      <c r="AL34" s="630">
        <v>0.57744422283488683</v>
      </c>
      <c r="AM34" s="630">
        <v>0.42255577716511328</v>
      </c>
      <c r="AN34" s="634">
        <v>3668</v>
      </c>
      <c r="AS34" s="763"/>
      <c r="AT34" s="79">
        <v>0.31691741530468664</v>
      </c>
      <c r="AU34" s="79">
        <v>0</v>
      </c>
      <c r="AV34" s="676">
        <v>0.31691741530468664</v>
      </c>
    </row>
    <row r="35" spans="2:48" ht="13.5" x14ac:dyDescent="0.25">
      <c r="C35" s="655">
        <v>2025</v>
      </c>
      <c r="D35" s="655" t="s">
        <v>463</v>
      </c>
      <c r="F35" s="744">
        <v>2406</v>
      </c>
      <c r="G35" s="745"/>
      <c r="H35" s="744">
        <v>4044</v>
      </c>
      <c r="I35" s="744">
        <f t="shared" si="13"/>
        <v>6450</v>
      </c>
      <c r="J35" s="729"/>
      <c r="K35" s="764">
        <f>K32</f>
        <v>2.8000000000000001E-2</v>
      </c>
      <c r="L35" s="667">
        <v>0.8</v>
      </c>
      <c r="M35" s="764">
        <f>M32</f>
        <v>2.8000000000000001E-2</v>
      </c>
      <c r="O35" s="744">
        <f>K35*F35</f>
        <v>67.367999999999995</v>
      </c>
      <c r="P35" s="749"/>
      <c r="Q35" s="744">
        <f>M35*H35</f>
        <v>113.232</v>
      </c>
      <c r="R35" s="750">
        <f>SUM(O35:Q35)</f>
        <v>180.6</v>
      </c>
      <c r="S35" s="667">
        <f>R35/I35</f>
        <v>2.8000000000000001E-2</v>
      </c>
      <c r="T35" s="697"/>
      <c r="U35" s="697"/>
      <c r="V35" s="697"/>
      <c r="W35" s="697"/>
      <c r="X35" s="697"/>
      <c r="Y35" s="773">
        <v>29627</v>
      </c>
      <c r="Z35" s="768">
        <f>Z32</f>
        <v>6.4864049477693555E-3</v>
      </c>
      <c r="AA35" s="752">
        <f>$Y35*$Z35</f>
        <v>192.17271938756269</v>
      </c>
      <c r="AB35" s="753"/>
      <c r="AC35" s="744">
        <f>ROUND(R35+AA35,0)</f>
        <v>373</v>
      </c>
      <c r="AD35" s="672"/>
      <c r="AE35" s="767" t="s">
        <v>493</v>
      </c>
      <c r="AF35" s="736"/>
      <c r="AG35" s="655"/>
      <c r="AH35" s="717"/>
      <c r="AI35" s="11">
        <f>SUM(1091,3323,1190)</f>
        <v>5604</v>
      </c>
      <c r="AJ35" s="66">
        <f t="shared" si="6"/>
        <v>2.8000000000000001E-2</v>
      </c>
      <c r="AL35" s="630">
        <f>AL32</f>
        <v>0.57744422283488683</v>
      </c>
      <c r="AM35" s="630">
        <f>AM32</f>
        <v>0.42255577716511328</v>
      </c>
      <c r="AN35" s="634">
        <v>3668</v>
      </c>
      <c r="AS35" s="763"/>
      <c r="AT35" s="79">
        <f t="shared" ref="AT35:AU35" si="14">F35/$I35</f>
        <v>0.37302325581395351</v>
      </c>
      <c r="AU35" s="79">
        <f t="shared" si="14"/>
        <v>0</v>
      </c>
      <c r="AV35" s="676">
        <f>SUM(AT35:AU35)</f>
        <v>0.37302325581395351</v>
      </c>
    </row>
    <row r="36" spans="2:48" ht="3" customHeight="1" x14ac:dyDescent="0.2">
      <c r="B36" s="658"/>
      <c r="C36" s="651"/>
      <c r="D36" s="651"/>
      <c r="E36" s="658"/>
      <c r="F36" s="774"/>
      <c r="G36" s="774"/>
      <c r="H36" s="774"/>
      <c r="I36" s="774"/>
      <c r="J36" s="658"/>
      <c r="K36" s="660"/>
      <c r="L36" s="660"/>
      <c r="M36" s="660"/>
      <c r="N36" s="658"/>
      <c r="O36" s="659"/>
      <c r="P36" s="659"/>
      <c r="Q36" s="659"/>
      <c r="R36" s="659"/>
      <c r="S36" s="659"/>
      <c r="T36" s="658"/>
      <c r="U36" s="658"/>
      <c r="V36" s="658"/>
      <c r="W36" s="658"/>
      <c r="X36" s="658"/>
      <c r="Y36" s="775"/>
      <c r="Z36" s="660"/>
      <c r="AA36" s="776"/>
      <c r="AB36" s="777"/>
      <c r="AC36" s="776"/>
      <c r="AE36" s="634"/>
    </row>
    <row r="37" spans="2:48" ht="3" customHeight="1" x14ac:dyDescent="0.2">
      <c r="F37" s="665"/>
      <c r="G37" s="665"/>
      <c r="H37" s="665"/>
      <c r="I37" s="665"/>
      <c r="Y37" s="778"/>
      <c r="AA37" s="15"/>
      <c r="AB37" s="11"/>
      <c r="AC37" s="15"/>
      <c r="AE37" s="634"/>
    </row>
    <row r="38" spans="2:48" ht="15.75" x14ac:dyDescent="0.2">
      <c r="B38" s="663" t="s">
        <v>494</v>
      </c>
      <c r="F38" s="665"/>
      <c r="G38" s="665"/>
      <c r="H38" s="665"/>
      <c r="I38" s="665"/>
      <c r="Y38" s="778"/>
      <c r="AA38" s="15"/>
      <c r="AB38" s="11"/>
      <c r="AC38" s="15"/>
      <c r="AE38" s="634"/>
      <c r="AH38" s="98" t="s">
        <v>448</v>
      </c>
      <c r="AI38" s="98" t="s">
        <v>449</v>
      </c>
      <c r="AJ38" s="39" t="s">
        <v>43</v>
      </c>
      <c r="AL38" s="634" t="s">
        <v>495</v>
      </c>
      <c r="AR38" s="12" t="s">
        <v>150</v>
      </c>
      <c r="AS38" s="634"/>
      <c r="AT38" s="676">
        <f>AVERAGE(AT11:AT18)</f>
        <v>0.77844376985905983</v>
      </c>
      <c r="AU38" s="779">
        <f>AV38-AT38</f>
        <v>0.22155623014094017</v>
      </c>
      <c r="AV38" s="79">
        <v>1</v>
      </c>
    </row>
    <row r="39" spans="2:48" x14ac:dyDescent="0.2">
      <c r="C39" s="655">
        <v>2000</v>
      </c>
      <c r="D39" s="655" t="s">
        <v>496</v>
      </c>
      <c r="F39" s="665">
        <v>763.63636363636363</v>
      </c>
      <c r="G39" s="665">
        <v>1620</v>
      </c>
      <c r="H39" s="665"/>
      <c r="I39" s="780">
        <f t="shared" ref="I39:I56" si="15">F39+G39</f>
        <v>2383.6363636363635</v>
      </c>
      <c r="K39" s="667">
        <v>0.16</v>
      </c>
      <c r="L39" s="667">
        <v>0.8</v>
      </c>
      <c r="M39" s="667"/>
      <c r="O39" s="665">
        <f t="shared" ref="O39:P54" si="16">ROUND(F39*K39,0)</f>
        <v>122</v>
      </c>
      <c r="P39" s="665">
        <f t="shared" si="16"/>
        <v>1296</v>
      </c>
      <c r="Q39" s="665"/>
      <c r="R39" s="665">
        <f t="shared" ref="R39:R56" si="17">SUM(O39:P39)</f>
        <v>1418</v>
      </c>
      <c r="S39" s="667">
        <f>R39/I39</f>
        <v>0.59488939740655988</v>
      </c>
      <c r="U39" s="665">
        <f>ROUND(O39/$I39*$AJ39,0)</f>
        <v>157</v>
      </c>
      <c r="V39" s="665">
        <f t="shared" ref="U39:V46" si="18">ROUND(P39/$I39*$AJ39,0)</f>
        <v>1669</v>
      </c>
      <c r="W39" s="781">
        <f t="shared" ref="W39:W52" si="19">SUM(U39:V39)</f>
        <v>1826</v>
      </c>
      <c r="Y39" s="665"/>
      <c r="AA39" s="782"/>
      <c r="AB39" s="11"/>
      <c r="AC39" s="782">
        <f t="shared" ref="AC39:AC62" si="20">ROUND(W39+AA39,0)</f>
        <v>1826</v>
      </c>
      <c r="AD39" s="672">
        <v>1826</v>
      </c>
      <c r="AE39" s="634"/>
      <c r="AH39" s="103">
        <v>2739.9</v>
      </c>
      <c r="AI39" s="783">
        <v>329.04</v>
      </c>
      <c r="AJ39" s="783">
        <f t="shared" ref="AJ39:AJ62" si="21">SUM(AH39:AI39)</f>
        <v>3068.94</v>
      </c>
      <c r="AL39" s="675">
        <f>I39</f>
        <v>2383.6363636363635</v>
      </c>
    </row>
    <row r="40" spans="2:48" x14ac:dyDescent="0.2">
      <c r="C40" s="655">
        <v>2001</v>
      </c>
      <c r="D40" s="655" t="s">
        <v>496</v>
      </c>
      <c r="F40" s="665">
        <v>2427</v>
      </c>
      <c r="G40" s="665">
        <v>569</v>
      </c>
      <c r="H40" s="665"/>
      <c r="I40" s="780">
        <f t="shared" si="15"/>
        <v>2996</v>
      </c>
      <c r="K40" s="667">
        <v>0.16</v>
      </c>
      <c r="L40" s="667">
        <v>0.8</v>
      </c>
      <c r="M40" s="667"/>
      <c r="O40" s="665">
        <f t="shared" si="16"/>
        <v>388</v>
      </c>
      <c r="P40" s="665">
        <f t="shared" si="16"/>
        <v>455</v>
      </c>
      <c r="Q40" s="665"/>
      <c r="R40" s="665">
        <f t="shared" si="17"/>
        <v>843</v>
      </c>
      <c r="S40" s="667">
        <f t="shared" ref="S40:S53" si="22">R40/I40</f>
        <v>0.28137516688918557</v>
      </c>
      <c r="U40" s="665">
        <f t="shared" si="18"/>
        <v>427</v>
      </c>
      <c r="V40" s="665">
        <f t="shared" si="18"/>
        <v>501</v>
      </c>
      <c r="W40" s="781">
        <f t="shared" si="19"/>
        <v>928</v>
      </c>
      <c r="Y40" s="665"/>
      <c r="AA40" s="782"/>
      <c r="AB40" s="11"/>
      <c r="AC40" s="782">
        <f t="shared" si="20"/>
        <v>928</v>
      </c>
      <c r="AD40" s="672">
        <v>928</v>
      </c>
      <c r="AE40" s="634"/>
      <c r="AH40" s="103">
        <v>2700.22</v>
      </c>
      <c r="AI40" s="103">
        <v>599.48</v>
      </c>
      <c r="AJ40" s="783">
        <f t="shared" si="21"/>
        <v>3299.7</v>
      </c>
      <c r="AL40" s="675">
        <f t="shared" ref="AL40:AL46" si="23">I40</f>
        <v>2996</v>
      </c>
      <c r="AR40" s="12" t="s">
        <v>497</v>
      </c>
    </row>
    <row r="41" spans="2:48" x14ac:dyDescent="0.2">
      <c r="C41" s="655">
        <v>2002</v>
      </c>
      <c r="D41" s="655" t="s">
        <v>496</v>
      </c>
      <c r="F41" s="665">
        <v>302</v>
      </c>
      <c r="G41" s="665">
        <v>3761</v>
      </c>
      <c r="H41" s="665"/>
      <c r="I41" s="780">
        <f t="shared" si="15"/>
        <v>4063</v>
      </c>
      <c r="K41" s="667">
        <v>0.16</v>
      </c>
      <c r="L41" s="667">
        <v>0.8</v>
      </c>
      <c r="M41" s="667"/>
      <c r="O41" s="665">
        <f t="shared" si="16"/>
        <v>48</v>
      </c>
      <c r="P41" s="665">
        <f t="shared" si="16"/>
        <v>3009</v>
      </c>
      <c r="Q41" s="665"/>
      <c r="R41" s="665">
        <f t="shared" si="17"/>
        <v>3057</v>
      </c>
      <c r="S41" s="667">
        <f t="shared" si="22"/>
        <v>0.75239970465173522</v>
      </c>
      <c r="U41" s="665">
        <f t="shared" si="18"/>
        <v>60</v>
      </c>
      <c r="V41" s="665">
        <f t="shared" si="18"/>
        <v>3778</v>
      </c>
      <c r="W41" s="781">
        <f t="shared" si="19"/>
        <v>3838</v>
      </c>
      <c r="Y41" s="665"/>
      <c r="AA41" s="782"/>
      <c r="AB41" s="11"/>
      <c r="AC41" s="782">
        <f t="shared" si="20"/>
        <v>3838</v>
      </c>
      <c r="AD41" s="672">
        <v>3838</v>
      </c>
      <c r="AE41" s="634"/>
      <c r="AH41" s="103">
        <v>4672</v>
      </c>
      <c r="AI41" s="103">
        <v>429.52</v>
      </c>
      <c r="AJ41" s="783">
        <f t="shared" si="21"/>
        <v>5101.5200000000004</v>
      </c>
      <c r="AL41" s="675">
        <f t="shared" si="23"/>
        <v>4063</v>
      </c>
      <c r="AR41" s="12" t="s">
        <v>498</v>
      </c>
    </row>
    <row r="42" spans="2:48" x14ac:dyDescent="0.2">
      <c r="C42" s="655">
        <v>2003</v>
      </c>
      <c r="D42" s="655" t="s">
        <v>496</v>
      </c>
      <c r="F42" s="665">
        <v>435</v>
      </c>
      <c r="G42" s="665">
        <v>3643</v>
      </c>
      <c r="H42" s="665"/>
      <c r="I42" s="780">
        <f t="shared" si="15"/>
        <v>4078</v>
      </c>
      <c r="K42" s="667">
        <v>0.16</v>
      </c>
      <c r="L42" s="667">
        <v>0.8</v>
      </c>
      <c r="M42" s="667"/>
      <c r="O42" s="665">
        <f t="shared" si="16"/>
        <v>70</v>
      </c>
      <c r="P42" s="665">
        <f t="shared" si="16"/>
        <v>2914</v>
      </c>
      <c r="Q42" s="665"/>
      <c r="R42" s="665">
        <f t="shared" si="17"/>
        <v>2984</v>
      </c>
      <c r="S42" s="667">
        <f t="shared" si="22"/>
        <v>0.73173124080431584</v>
      </c>
      <c r="U42" s="665">
        <f t="shared" si="18"/>
        <v>84</v>
      </c>
      <c r="V42" s="665">
        <f t="shared" si="18"/>
        <v>3501</v>
      </c>
      <c r="W42" s="781">
        <f t="shared" si="19"/>
        <v>3585</v>
      </c>
      <c r="Y42" s="665"/>
      <c r="AA42" s="782"/>
      <c r="AB42" s="11"/>
      <c r="AC42" s="782">
        <f t="shared" si="20"/>
        <v>3585</v>
      </c>
      <c r="AD42" s="672">
        <v>3585</v>
      </c>
      <c r="AE42" s="634"/>
      <c r="AH42" s="103">
        <v>3624.36</v>
      </c>
      <c r="AI42" s="103">
        <v>1275.1600000000001</v>
      </c>
      <c r="AJ42" s="783">
        <f t="shared" si="21"/>
        <v>4899.5200000000004</v>
      </c>
      <c r="AL42" s="675">
        <f t="shared" si="23"/>
        <v>4078</v>
      </c>
      <c r="AR42" s="12" t="s">
        <v>499</v>
      </c>
    </row>
    <row r="43" spans="2:48" x14ac:dyDescent="0.2">
      <c r="C43" s="655">
        <v>2004</v>
      </c>
      <c r="D43" s="655" t="s">
        <v>496</v>
      </c>
      <c r="F43" s="665">
        <v>521</v>
      </c>
      <c r="G43" s="665">
        <v>5549</v>
      </c>
      <c r="H43" s="665"/>
      <c r="I43" s="780">
        <f t="shared" si="15"/>
        <v>6070</v>
      </c>
      <c r="K43" s="667">
        <v>0.16</v>
      </c>
      <c r="L43" s="667">
        <v>0.8</v>
      </c>
      <c r="M43" s="667"/>
      <c r="O43" s="665">
        <f t="shared" si="16"/>
        <v>83</v>
      </c>
      <c r="P43" s="665">
        <f t="shared" si="16"/>
        <v>4439</v>
      </c>
      <c r="Q43" s="665"/>
      <c r="R43" s="665">
        <f t="shared" si="17"/>
        <v>4522</v>
      </c>
      <c r="S43" s="667">
        <f t="shared" si="22"/>
        <v>0.7449752883031302</v>
      </c>
      <c r="U43" s="665">
        <f t="shared" si="18"/>
        <v>115</v>
      </c>
      <c r="V43" s="665">
        <f t="shared" si="18"/>
        <v>6155</v>
      </c>
      <c r="W43" s="781">
        <f t="shared" si="19"/>
        <v>6270</v>
      </c>
      <c r="Y43" s="665"/>
      <c r="AA43" s="782"/>
      <c r="AB43" s="11"/>
      <c r="AC43" s="782">
        <f t="shared" si="20"/>
        <v>6270</v>
      </c>
      <c r="AD43" s="672">
        <v>6270</v>
      </c>
      <c r="AE43" s="634"/>
      <c r="AH43" s="103">
        <v>6427.2</v>
      </c>
      <c r="AI43" s="103">
        <v>1989.7</v>
      </c>
      <c r="AJ43" s="783">
        <f t="shared" si="21"/>
        <v>8416.9</v>
      </c>
      <c r="AL43" s="675">
        <f t="shared" si="23"/>
        <v>6070</v>
      </c>
      <c r="AR43" s="12" t="s">
        <v>500</v>
      </c>
    </row>
    <row r="44" spans="2:48" x14ac:dyDescent="0.2">
      <c r="C44" s="655">
        <v>2005</v>
      </c>
      <c r="D44" s="655" t="s">
        <v>496</v>
      </c>
      <c r="F44" s="665">
        <v>445</v>
      </c>
      <c r="G44" s="665">
        <v>3268</v>
      </c>
      <c r="H44" s="665"/>
      <c r="I44" s="780">
        <f t="shared" si="15"/>
        <v>3713</v>
      </c>
      <c r="K44" s="667">
        <v>0.16</v>
      </c>
      <c r="L44" s="667">
        <v>0.8</v>
      </c>
      <c r="M44" s="667"/>
      <c r="O44" s="665">
        <f t="shared" si="16"/>
        <v>71</v>
      </c>
      <c r="P44" s="665">
        <f t="shared" si="16"/>
        <v>2614</v>
      </c>
      <c r="Q44" s="665"/>
      <c r="R44" s="665">
        <f t="shared" si="17"/>
        <v>2685</v>
      </c>
      <c r="S44" s="667">
        <f t="shared" si="22"/>
        <v>0.72313493132238083</v>
      </c>
      <c r="U44" s="665">
        <f t="shared" si="18"/>
        <v>71</v>
      </c>
      <c r="V44" s="665">
        <f t="shared" si="18"/>
        <v>2614</v>
      </c>
      <c r="W44" s="781">
        <f t="shared" si="19"/>
        <v>2685</v>
      </c>
      <c r="Y44" s="665"/>
      <c r="AA44" s="782"/>
      <c r="AB44" s="11"/>
      <c r="AC44" s="782">
        <f t="shared" si="20"/>
        <v>2685</v>
      </c>
      <c r="AD44" s="672">
        <v>2685</v>
      </c>
      <c r="AE44" s="634"/>
      <c r="AH44" s="103">
        <v>2930</v>
      </c>
      <c r="AI44" s="103">
        <v>783</v>
      </c>
      <c r="AJ44" s="783">
        <f t="shared" si="21"/>
        <v>3713</v>
      </c>
      <c r="AL44" s="675">
        <f t="shared" si="23"/>
        <v>3713</v>
      </c>
      <c r="AR44" s="12" t="s">
        <v>501</v>
      </c>
    </row>
    <row r="45" spans="2:48" x14ac:dyDescent="0.2">
      <c r="C45" s="655">
        <v>2006</v>
      </c>
      <c r="D45" s="655" t="s">
        <v>496</v>
      </c>
      <c r="F45" s="665">
        <v>1515</v>
      </c>
      <c r="G45" s="665">
        <v>4768</v>
      </c>
      <c r="H45" s="665"/>
      <c r="I45" s="780">
        <f t="shared" si="15"/>
        <v>6283</v>
      </c>
      <c r="K45" s="667">
        <v>0.16</v>
      </c>
      <c r="L45" s="667">
        <v>0.8</v>
      </c>
      <c r="M45" s="667"/>
      <c r="O45" s="665">
        <f>ROUND(F45*K45,0)</f>
        <v>242</v>
      </c>
      <c r="P45" s="665">
        <f>ROUND(G45*L45,0)</f>
        <v>3814</v>
      </c>
      <c r="Q45" s="665"/>
      <c r="R45" s="665">
        <f t="shared" si="17"/>
        <v>4056</v>
      </c>
      <c r="S45" s="667">
        <f t="shared" si="22"/>
        <v>0.64555148814260699</v>
      </c>
      <c r="U45" s="665">
        <f t="shared" si="18"/>
        <v>193</v>
      </c>
      <c r="V45" s="665">
        <f t="shared" si="18"/>
        <v>3047</v>
      </c>
      <c r="W45" s="781">
        <f t="shared" si="19"/>
        <v>3240</v>
      </c>
      <c r="Y45" s="665"/>
      <c r="AA45" s="782"/>
      <c r="AB45" s="11"/>
      <c r="AC45" s="782">
        <f t="shared" si="20"/>
        <v>3240</v>
      </c>
      <c r="AD45" s="672">
        <v>3240</v>
      </c>
      <c r="AE45" s="634" t="s">
        <v>502</v>
      </c>
      <c r="AH45" s="103">
        <v>1210</v>
      </c>
      <c r="AI45" s="103">
        <v>3809</v>
      </c>
      <c r="AJ45" s="783">
        <f t="shared" si="21"/>
        <v>5019</v>
      </c>
      <c r="AL45" s="675">
        <f t="shared" si="23"/>
        <v>6283</v>
      </c>
      <c r="AR45" s="12" t="s">
        <v>503</v>
      </c>
    </row>
    <row r="46" spans="2:48" x14ac:dyDescent="0.2">
      <c r="C46" s="655">
        <v>2007</v>
      </c>
      <c r="D46" s="655" t="s">
        <v>496</v>
      </c>
      <c r="F46" s="678">
        <v>740</v>
      </c>
      <c r="G46" s="678">
        <v>3414</v>
      </c>
      <c r="H46" s="678"/>
      <c r="I46" s="780">
        <f t="shared" si="15"/>
        <v>4154</v>
      </c>
      <c r="K46" s="667">
        <v>0.16</v>
      </c>
      <c r="L46" s="667">
        <v>0.8</v>
      </c>
      <c r="M46" s="667"/>
      <c r="O46" s="665">
        <f>ROUND(F46*K46,0)</f>
        <v>118</v>
      </c>
      <c r="P46" s="665">
        <f t="shared" si="16"/>
        <v>2731</v>
      </c>
      <c r="Q46" s="665"/>
      <c r="R46" s="665">
        <f t="shared" si="17"/>
        <v>2849</v>
      </c>
      <c r="S46" s="667">
        <f t="shared" si="22"/>
        <v>0.68584496870486278</v>
      </c>
      <c r="U46" s="665">
        <f t="shared" si="18"/>
        <v>143</v>
      </c>
      <c r="V46" s="665">
        <f t="shared" si="18"/>
        <v>3300</v>
      </c>
      <c r="W46" s="781">
        <f t="shared" si="19"/>
        <v>3443</v>
      </c>
      <c r="Y46" s="665"/>
      <c r="AA46" s="782"/>
      <c r="AB46" s="11"/>
      <c r="AC46" s="782">
        <f t="shared" si="20"/>
        <v>3443</v>
      </c>
      <c r="AD46" s="672">
        <v>3443</v>
      </c>
      <c r="AE46" s="784" t="s">
        <v>504</v>
      </c>
      <c r="AF46" s="785"/>
      <c r="AH46" s="103">
        <v>1210</v>
      </c>
      <c r="AI46" s="103">
        <v>3809</v>
      </c>
      <c r="AJ46" s="783">
        <f t="shared" si="21"/>
        <v>5019</v>
      </c>
      <c r="AL46" s="675">
        <f t="shared" si="23"/>
        <v>4154</v>
      </c>
      <c r="AR46" s="12" t="s">
        <v>505</v>
      </c>
    </row>
    <row r="47" spans="2:48" x14ac:dyDescent="0.2">
      <c r="C47" s="655">
        <v>2008</v>
      </c>
      <c r="D47" s="655" t="s">
        <v>496</v>
      </c>
      <c r="F47" s="786">
        <f t="shared" ref="F47:F52" si="24">(AH47/AJ47)*AL47</f>
        <v>23.778781038374717</v>
      </c>
      <c r="G47" s="786">
        <f t="shared" ref="G47:G52" si="25">(AI47/AJ47)*AL47</f>
        <v>434.22121896162525</v>
      </c>
      <c r="H47" s="786"/>
      <c r="I47" s="787">
        <f t="shared" si="15"/>
        <v>458</v>
      </c>
      <c r="K47" s="667">
        <v>0.16</v>
      </c>
      <c r="L47" s="667">
        <v>0.8</v>
      </c>
      <c r="M47" s="667"/>
      <c r="O47" s="665">
        <f>ROUND(F47*K47,0)</f>
        <v>4</v>
      </c>
      <c r="P47" s="665">
        <f t="shared" si="16"/>
        <v>347</v>
      </c>
      <c r="Q47" s="665"/>
      <c r="R47" s="665">
        <f t="shared" si="17"/>
        <v>351</v>
      </c>
      <c r="S47" s="667">
        <f t="shared" si="22"/>
        <v>0.76637554585152834</v>
      </c>
      <c r="U47" s="665">
        <f t="shared" ref="U47:V56" si="26">ROUND(O47/$AL47*$AJ47,0)</f>
        <v>4</v>
      </c>
      <c r="V47" s="665">
        <f t="shared" si="26"/>
        <v>336</v>
      </c>
      <c r="W47" s="781">
        <f t="shared" si="19"/>
        <v>340</v>
      </c>
      <c r="Y47" s="665"/>
      <c r="AA47" s="782"/>
      <c r="AB47" s="11"/>
      <c r="AC47" s="782">
        <f t="shared" si="20"/>
        <v>340</v>
      </c>
      <c r="AD47" s="672">
        <v>340</v>
      </c>
      <c r="AE47" s="687" t="s">
        <v>506</v>
      </c>
      <c r="AF47" s="688"/>
      <c r="AH47" s="788">
        <v>23</v>
      </c>
      <c r="AI47" s="788">
        <v>420</v>
      </c>
      <c r="AJ47" s="783">
        <f t="shared" si="21"/>
        <v>443</v>
      </c>
      <c r="AK47" s="785" t="s">
        <v>507</v>
      </c>
      <c r="AL47" s="634">
        <v>458</v>
      </c>
      <c r="AM47" s="12">
        <f>AL47/AJ47</f>
        <v>1.0338600451467268</v>
      </c>
      <c r="AR47" s="12" t="s">
        <v>508</v>
      </c>
    </row>
    <row r="48" spans="2:48" x14ac:dyDescent="0.2">
      <c r="C48" s="655">
        <v>2009</v>
      </c>
      <c r="D48" s="655" t="s">
        <v>496</v>
      </c>
      <c r="F48" s="789">
        <f t="shared" si="24"/>
        <v>368.91762894534253</v>
      </c>
      <c r="G48" s="789">
        <f t="shared" si="25"/>
        <v>1250.0823710546574</v>
      </c>
      <c r="H48" s="789"/>
      <c r="I48" s="790">
        <f t="shared" si="15"/>
        <v>1619</v>
      </c>
      <c r="K48" s="667">
        <v>0.16</v>
      </c>
      <c r="L48" s="667">
        <v>0.8</v>
      </c>
      <c r="M48" s="667"/>
      <c r="O48" s="665">
        <f t="shared" si="16"/>
        <v>59</v>
      </c>
      <c r="P48" s="665">
        <f t="shared" si="16"/>
        <v>1000</v>
      </c>
      <c r="Q48" s="665"/>
      <c r="R48" s="665">
        <f t="shared" si="17"/>
        <v>1059</v>
      </c>
      <c r="S48" s="667">
        <f t="shared" si="22"/>
        <v>0.65410747374922795</v>
      </c>
      <c r="U48" s="665">
        <f>ROUND(O48/$AL48*$AJ48,0)</f>
        <v>47</v>
      </c>
      <c r="V48" s="665">
        <f t="shared" si="26"/>
        <v>802</v>
      </c>
      <c r="W48" s="781">
        <f t="shared" si="19"/>
        <v>849</v>
      </c>
      <c r="Y48" s="665"/>
      <c r="AA48" s="782"/>
      <c r="AB48" s="11"/>
      <c r="AC48" s="791">
        <f t="shared" si="20"/>
        <v>849</v>
      </c>
      <c r="AD48" s="672">
        <v>849</v>
      </c>
      <c r="AE48" s="694" t="s">
        <v>509</v>
      </c>
      <c r="AF48" s="695"/>
      <c r="AH48" s="788">
        <v>296</v>
      </c>
      <c r="AI48" s="788">
        <v>1003</v>
      </c>
      <c r="AJ48" s="783">
        <f t="shared" si="21"/>
        <v>1299</v>
      </c>
      <c r="AK48" s="785"/>
      <c r="AL48" s="696">
        <v>1619</v>
      </c>
      <c r="AM48" s="12">
        <f>AL48/AJ48</f>
        <v>1.2463433410315627</v>
      </c>
      <c r="AR48" s="12" t="s">
        <v>510</v>
      </c>
    </row>
    <row r="49" spans="3:44" ht="13.5" x14ac:dyDescent="0.25">
      <c r="C49" s="655">
        <v>2010</v>
      </c>
      <c r="D49" s="655" t="s">
        <v>496</v>
      </c>
      <c r="F49" s="754">
        <f t="shared" si="24"/>
        <v>3.0115273775216136</v>
      </c>
      <c r="G49" s="754">
        <f t="shared" si="25"/>
        <v>1041.9884726224784</v>
      </c>
      <c r="H49" s="754"/>
      <c r="I49" s="792">
        <f t="shared" si="15"/>
        <v>1045</v>
      </c>
      <c r="K49" s="667">
        <v>0.16</v>
      </c>
      <c r="L49" s="667">
        <v>0.8</v>
      </c>
      <c r="M49" s="667"/>
      <c r="O49" s="665">
        <f t="shared" si="16"/>
        <v>0</v>
      </c>
      <c r="P49" s="665">
        <f t="shared" si="16"/>
        <v>834</v>
      </c>
      <c r="Q49" s="665"/>
      <c r="R49" s="665">
        <f t="shared" si="17"/>
        <v>834</v>
      </c>
      <c r="S49" s="667">
        <f t="shared" si="22"/>
        <v>0.79808612440191384</v>
      </c>
      <c r="U49" s="665">
        <f t="shared" si="26"/>
        <v>0</v>
      </c>
      <c r="V49" s="665">
        <f t="shared" si="26"/>
        <v>554</v>
      </c>
      <c r="W49" s="781">
        <f t="shared" si="19"/>
        <v>554</v>
      </c>
      <c r="Y49" s="665"/>
      <c r="AA49" s="782"/>
      <c r="AB49" s="11"/>
      <c r="AC49" s="793">
        <f>ROUND(W49+AA49,0)</f>
        <v>554</v>
      </c>
      <c r="AD49" s="672">
        <v>554</v>
      </c>
      <c r="AE49" s="694" t="s">
        <v>511</v>
      </c>
      <c r="AF49" s="695"/>
      <c r="AH49" s="788">
        <v>2</v>
      </c>
      <c r="AI49" s="788">
        <v>692</v>
      </c>
      <c r="AJ49" s="783">
        <f t="shared" si="21"/>
        <v>694</v>
      </c>
      <c r="AK49" s="785"/>
      <c r="AL49" s="696">
        <v>1045</v>
      </c>
      <c r="AM49" s="12">
        <f>AL49/AJ49</f>
        <v>1.505763688760807</v>
      </c>
      <c r="AN49" s="794" t="s">
        <v>512</v>
      </c>
      <c r="AR49" s="12" t="s">
        <v>513</v>
      </c>
    </row>
    <row r="50" spans="3:44" ht="13.5" x14ac:dyDescent="0.25">
      <c r="C50" s="655">
        <v>2011</v>
      </c>
      <c r="D50" s="655" t="s">
        <v>496</v>
      </c>
      <c r="F50" s="795">
        <f t="shared" si="24"/>
        <v>4.0739299610894939</v>
      </c>
      <c r="G50" s="795">
        <f t="shared" si="25"/>
        <v>1391.9260700389104</v>
      </c>
      <c r="H50" s="796"/>
      <c r="I50" s="797">
        <f t="shared" si="15"/>
        <v>1396</v>
      </c>
      <c r="K50" s="667">
        <v>0.16</v>
      </c>
      <c r="L50" s="667">
        <v>0.8</v>
      </c>
      <c r="M50" s="667"/>
      <c r="O50" s="665">
        <f t="shared" si="16"/>
        <v>1</v>
      </c>
      <c r="P50" s="665">
        <f t="shared" si="16"/>
        <v>1114</v>
      </c>
      <c r="Q50" s="665"/>
      <c r="R50" s="665">
        <f t="shared" si="17"/>
        <v>1115</v>
      </c>
      <c r="S50" s="667">
        <f t="shared" si="22"/>
        <v>0.79871060171919772</v>
      </c>
      <c r="U50" s="665">
        <f t="shared" si="26"/>
        <v>1</v>
      </c>
      <c r="V50" s="665">
        <f t="shared" si="26"/>
        <v>820</v>
      </c>
      <c r="W50" s="781">
        <f t="shared" si="19"/>
        <v>821</v>
      </c>
      <c r="Y50" s="665"/>
      <c r="AA50" s="782"/>
      <c r="AB50" s="11"/>
      <c r="AC50" s="798">
        <f t="shared" si="20"/>
        <v>821</v>
      </c>
      <c r="AD50" s="672">
        <v>821</v>
      </c>
      <c r="AE50" s="694" t="s">
        <v>514</v>
      </c>
      <c r="AF50" s="695"/>
      <c r="AH50" s="799">
        <v>3</v>
      </c>
      <c r="AI50" s="799">
        <v>1025</v>
      </c>
      <c r="AJ50" s="783">
        <f t="shared" si="21"/>
        <v>1028</v>
      </c>
      <c r="AK50" s="785"/>
      <c r="AL50" s="763">
        <v>1396</v>
      </c>
      <c r="AM50" s="12">
        <f>AL50/AJ50</f>
        <v>1.3579766536964981</v>
      </c>
      <c r="AN50" s="794" t="s">
        <v>512</v>
      </c>
    </row>
    <row r="51" spans="3:44" ht="13.5" x14ac:dyDescent="0.25">
      <c r="C51" s="655">
        <v>2012</v>
      </c>
      <c r="D51" s="655" t="s">
        <v>496</v>
      </c>
      <c r="F51" s="800">
        <f t="shared" si="24"/>
        <v>0</v>
      </c>
      <c r="G51" s="800">
        <f t="shared" si="25"/>
        <v>599.26944438604676</v>
      </c>
      <c r="H51" s="801"/>
      <c r="I51" s="802">
        <f t="shared" si="15"/>
        <v>599.26944438604676</v>
      </c>
      <c r="K51" s="667">
        <v>0.16</v>
      </c>
      <c r="L51" s="667">
        <v>0.8</v>
      </c>
      <c r="M51" s="667"/>
      <c r="O51" s="665">
        <f t="shared" si="16"/>
        <v>0</v>
      </c>
      <c r="P51" s="665">
        <f t="shared" si="16"/>
        <v>479</v>
      </c>
      <c r="Q51" s="665"/>
      <c r="R51" s="665">
        <f t="shared" si="17"/>
        <v>479</v>
      </c>
      <c r="S51" s="667">
        <f t="shared" si="22"/>
        <v>0.79930656316164572</v>
      </c>
      <c r="U51" s="665">
        <f t="shared" si="26"/>
        <v>0</v>
      </c>
      <c r="V51" s="665">
        <f t="shared" si="26"/>
        <v>372</v>
      </c>
      <c r="W51" s="781">
        <f t="shared" si="19"/>
        <v>372</v>
      </c>
      <c r="Y51" s="665"/>
      <c r="AA51" s="782"/>
      <c r="AB51" s="11"/>
      <c r="AC51" s="798">
        <f t="shared" si="20"/>
        <v>372</v>
      </c>
      <c r="AD51" s="672"/>
      <c r="AE51" s="715" t="s">
        <v>515</v>
      </c>
      <c r="AF51" s="716"/>
      <c r="AH51" s="803">
        <v>0</v>
      </c>
      <c r="AI51" s="803">
        <v>466</v>
      </c>
      <c r="AJ51" s="804">
        <f t="shared" si="21"/>
        <v>466</v>
      </c>
      <c r="AK51" s="785"/>
      <c r="AL51" s="805">
        <f>AJ51*AM51</f>
        <v>599.26944438604676</v>
      </c>
      <c r="AM51" s="697">
        <f>AVERAGE(AM47:AM50)</f>
        <v>1.2859859321588987</v>
      </c>
      <c r="AN51" s="806"/>
    </row>
    <row r="52" spans="3:44" ht="13.5" x14ac:dyDescent="0.25">
      <c r="C52" s="655">
        <v>2013</v>
      </c>
      <c r="D52" s="655" t="s">
        <v>496</v>
      </c>
      <c r="F52" s="718">
        <f t="shared" si="24"/>
        <v>0</v>
      </c>
      <c r="G52" s="718">
        <f t="shared" si="25"/>
        <v>1451.8781174073965</v>
      </c>
      <c r="H52" s="807"/>
      <c r="I52" s="808">
        <f t="shared" si="15"/>
        <v>1451.8781174073965</v>
      </c>
      <c r="K52" s="667">
        <v>0.16</v>
      </c>
      <c r="L52" s="667">
        <v>0.8</v>
      </c>
      <c r="M52" s="667"/>
      <c r="O52" s="665">
        <f t="shared" si="16"/>
        <v>0</v>
      </c>
      <c r="P52" s="665">
        <f t="shared" si="16"/>
        <v>1162</v>
      </c>
      <c r="Q52" s="665"/>
      <c r="R52" s="665">
        <f t="shared" si="17"/>
        <v>1162</v>
      </c>
      <c r="S52" s="667">
        <f t="shared" si="22"/>
        <v>0.80034266380085073</v>
      </c>
      <c r="U52" s="665">
        <f t="shared" si="26"/>
        <v>0</v>
      </c>
      <c r="V52" s="665">
        <f t="shared" si="26"/>
        <v>904</v>
      </c>
      <c r="W52" s="781">
        <f t="shared" si="19"/>
        <v>904</v>
      </c>
      <c r="Y52" s="665"/>
      <c r="AA52" s="782"/>
      <c r="AB52" s="11"/>
      <c r="AC52" s="798">
        <f t="shared" si="20"/>
        <v>904</v>
      </c>
      <c r="AD52" s="672"/>
      <c r="AE52" s="726" t="s">
        <v>516</v>
      </c>
      <c r="AF52" s="727"/>
      <c r="AH52" s="803">
        <v>0</v>
      </c>
      <c r="AI52" s="803">
        <v>1129</v>
      </c>
      <c r="AJ52" s="804">
        <f t="shared" si="21"/>
        <v>1129</v>
      </c>
      <c r="AK52" s="785"/>
      <c r="AL52" s="805">
        <f>AJ52*AM52</f>
        <v>1451.8781174073965</v>
      </c>
      <c r="AM52" s="697">
        <f>AM51</f>
        <v>1.2859859321588987</v>
      </c>
      <c r="AN52" s="806"/>
    </row>
    <row r="53" spans="3:44" ht="13.5" x14ac:dyDescent="0.25">
      <c r="C53" s="655">
        <v>2014</v>
      </c>
      <c r="D53" s="655" t="s">
        <v>496</v>
      </c>
      <c r="F53" s="809">
        <f>(AH53/AJ53)*AL53</f>
        <v>323</v>
      </c>
      <c r="G53" s="809">
        <f>(AI53/AJ53)*AL53</f>
        <v>1886</v>
      </c>
      <c r="H53" s="809"/>
      <c r="I53" s="810">
        <f t="shared" si="15"/>
        <v>2209</v>
      </c>
      <c r="J53" s="811"/>
      <c r="K53" s="812">
        <v>0.16</v>
      </c>
      <c r="L53" s="812">
        <v>0.8</v>
      </c>
      <c r="M53" s="812"/>
      <c r="N53" s="811"/>
      <c r="O53" s="813">
        <f t="shared" si="16"/>
        <v>52</v>
      </c>
      <c r="P53" s="813">
        <f t="shared" si="16"/>
        <v>1509</v>
      </c>
      <c r="Q53" s="813"/>
      <c r="R53" s="813">
        <f t="shared" si="17"/>
        <v>1561</v>
      </c>
      <c r="S53" s="812">
        <f t="shared" si="22"/>
        <v>0.70665459483929383</v>
      </c>
      <c r="T53" s="811"/>
      <c r="U53" s="813">
        <f t="shared" si="26"/>
        <v>52</v>
      </c>
      <c r="V53" s="813">
        <f t="shared" si="26"/>
        <v>1509</v>
      </c>
      <c r="W53" s="814">
        <f>SUM(U53:V53)</f>
        <v>1561</v>
      </c>
      <c r="X53" s="811"/>
      <c r="Y53" s="813"/>
      <c r="Z53" s="815"/>
      <c r="AA53" s="816"/>
      <c r="AB53" s="817"/>
      <c r="AC53" s="818">
        <f t="shared" si="20"/>
        <v>1561</v>
      </c>
      <c r="AD53" s="672"/>
      <c r="AE53" s="735" t="s">
        <v>517</v>
      </c>
      <c r="AF53" s="736"/>
      <c r="AH53" s="803">
        <v>323</v>
      </c>
      <c r="AI53" s="803">
        <v>1886</v>
      </c>
      <c r="AJ53" s="804">
        <f t="shared" si="21"/>
        <v>2209</v>
      </c>
      <c r="AK53" s="785"/>
      <c r="AL53" s="805">
        <f t="shared" ref="AL53:AL59" si="27">AJ53</f>
        <v>2209</v>
      </c>
      <c r="AM53" s="697"/>
      <c r="AN53" s="806"/>
    </row>
    <row r="54" spans="3:44" ht="13.5" x14ac:dyDescent="0.25">
      <c r="C54" s="655">
        <v>2015</v>
      </c>
      <c r="D54" s="655" t="s">
        <v>496</v>
      </c>
      <c r="F54" s="737">
        <f>(AH54/AJ54)*AL54</f>
        <v>91</v>
      </c>
      <c r="G54" s="737">
        <f>(AI54/AJ54)*AL54</f>
        <v>1701</v>
      </c>
      <c r="H54" s="737"/>
      <c r="I54" s="819">
        <f t="shared" si="15"/>
        <v>1792</v>
      </c>
      <c r="J54" s="820"/>
      <c r="K54" s="821">
        <v>0.16</v>
      </c>
      <c r="L54" s="821">
        <v>0.8</v>
      </c>
      <c r="M54" s="821"/>
      <c r="N54" s="820"/>
      <c r="O54" s="741">
        <f t="shared" si="16"/>
        <v>15</v>
      </c>
      <c r="P54" s="741">
        <f t="shared" si="16"/>
        <v>1361</v>
      </c>
      <c r="Q54" s="741"/>
      <c r="R54" s="741">
        <f t="shared" si="17"/>
        <v>1376</v>
      </c>
      <c r="S54" s="821">
        <f>R54/I54</f>
        <v>0.7678571428571429</v>
      </c>
      <c r="T54" s="820"/>
      <c r="U54" s="741">
        <f t="shared" si="26"/>
        <v>15</v>
      </c>
      <c r="V54" s="741">
        <f t="shared" si="26"/>
        <v>1361</v>
      </c>
      <c r="W54" s="822">
        <f>SUM(U54:V54)</f>
        <v>1376</v>
      </c>
      <c r="X54" s="820"/>
      <c r="Y54" s="741"/>
      <c r="Z54" s="823"/>
      <c r="AA54" s="824"/>
      <c r="AB54" s="825"/>
      <c r="AC54" s="826">
        <f t="shared" si="20"/>
        <v>1376</v>
      </c>
      <c r="AD54" s="672"/>
      <c r="AE54" s="743" t="s">
        <v>518</v>
      </c>
      <c r="AF54" s="736"/>
      <c r="AH54" s="803">
        <v>91</v>
      </c>
      <c r="AI54" s="803">
        <v>1701</v>
      </c>
      <c r="AJ54" s="804">
        <f t="shared" si="21"/>
        <v>1792</v>
      </c>
      <c r="AK54" s="785"/>
      <c r="AL54" s="805">
        <f t="shared" si="27"/>
        <v>1792</v>
      </c>
      <c r="AM54" s="697"/>
      <c r="AN54" s="806"/>
    </row>
    <row r="55" spans="3:44" ht="13.5" x14ac:dyDescent="0.25">
      <c r="C55" s="655">
        <v>2016</v>
      </c>
      <c r="D55" s="655" t="s">
        <v>496</v>
      </c>
      <c r="F55" s="744">
        <f>(AH55/AJ55)*AL55</f>
        <v>9</v>
      </c>
      <c r="G55" s="744">
        <f>(AI55/AJ55)*AL55</f>
        <v>821</v>
      </c>
      <c r="H55" s="744"/>
      <c r="I55" s="827">
        <f t="shared" si="15"/>
        <v>830</v>
      </c>
      <c r="J55" s="828"/>
      <c r="K55" s="829">
        <v>0.16</v>
      </c>
      <c r="L55" s="829">
        <v>0.8</v>
      </c>
      <c r="M55" s="829"/>
      <c r="N55" s="828"/>
      <c r="O55" s="765">
        <f>ROUND(F55*K55,0)</f>
        <v>1</v>
      </c>
      <c r="P55" s="765">
        <f t="shared" ref="O55:P64" si="28">ROUND(G55*L55,0)</f>
        <v>657</v>
      </c>
      <c r="Q55" s="765"/>
      <c r="R55" s="765">
        <f t="shared" si="17"/>
        <v>658</v>
      </c>
      <c r="S55" s="829">
        <f>R55/I55</f>
        <v>0.79277108433734944</v>
      </c>
      <c r="T55" s="828"/>
      <c r="U55" s="765">
        <f>ROUND(O55/$AL55*$AJ55,0)</f>
        <v>1</v>
      </c>
      <c r="V55" s="765">
        <f t="shared" si="26"/>
        <v>657</v>
      </c>
      <c r="W55" s="830">
        <f>SUM(U55:V55)</f>
        <v>658</v>
      </c>
      <c r="X55" s="828"/>
      <c r="Y55" s="765"/>
      <c r="Z55" s="831"/>
      <c r="AA55" s="832"/>
      <c r="AB55" s="833"/>
      <c r="AC55" s="834">
        <f t="shared" si="20"/>
        <v>658</v>
      </c>
      <c r="AD55" s="672"/>
      <c r="AE55" s="735" t="s">
        <v>484</v>
      </c>
      <c r="AF55" s="736"/>
      <c r="AH55" s="803">
        <v>9</v>
      </c>
      <c r="AI55" s="803">
        <v>821</v>
      </c>
      <c r="AJ55" s="804">
        <f t="shared" si="21"/>
        <v>830</v>
      </c>
      <c r="AK55" s="785"/>
      <c r="AL55" s="805">
        <f t="shared" si="27"/>
        <v>830</v>
      </c>
      <c r="AM55" s="697"/>
      <c r="AN55" s="806"/>
    </row>
    <row r="56" spans="3:44" ht="13.5" x14ac:dyDescent="0.25">
      <c r="C56" s="655">
        <v>2017</v>
      </c>
      <c r="D56" s="655" t="s">
        <v>496</v>
      </c>
      <c r="F56" s="754">
        <f>(AH56/AJ56)*AL56</f>
        <v>12</v>
      </c>
      <c r="G56" s="754">
        <f>(AI56/AJ56)*AL56</f>
        <v>1245</v>
      </c>
      <c r="H56" s="754"/>
      <c r="I56" s="792">
        <f t="shared" si="15"/>
        <v>1257</v>
      </c>
      <c r="J56" s="835"/>
      <c r="K56" s="836">
        <v>0.16</v>
      </c>
      <c r="L56" s="836">
        <v>0.8</v>
      </c>
      <c r="M56" s="836"/>
      <c r="N56" s="835"/>
      <c r="O56" s="759">
        <f t="shared" si="28"/>
        <v>2</v>
      </c>
      <c r="P56" s="759">
        <f t="shared" si="28"/>
        <v>996</v>
      </c>
      <c r="Q56" s="759"/>
      <c r="R56" s="759">
        <f t="shared" si="17"/>
        <v>998</v>
      </c>
      <c r="S56" s="836">
        <f>R56/I56</f>
        <v>0.79395385839299926</v>
      </c>
      <c r="T56" s="835"/>
      <c r="U56" s="759">
        <f>ROUND(O56/$AL56*$AJ56,0)</f>
        <v>2</v>
      </c>
      <c r="V56" s="759">
        <f t="shared" si="26"/>
        <v>996</v>
      </c>
      <c r="W56" s="837">
        <f>SUM(U56:V56)</f>
        <v>998</v>
      </c>
      <c r="X56" s="835"/>
      <c r="Y56" s="759"/>
      <c r="Z56" s="838"/>
      <c r="AA56" s="839"/>
      <c r="AB56" s="840"/>
      <c r="AC56" s="793">
        <f t="shared" si="20"/>
        <v>998</v>
      </c>
      <c r="AD56" s="672"/>
      <c r="AE56" s="726" t="s">
        <v>485</v>
      </c>
      <c r="AF56" s="736"/>
      <c r="AH56" s="803">
        <v>12</v>
      </c>
      <c r="AI56" s="803">
        <v>1245</v>
      </c>
      <c r="AJ56" s="804">
        <f t="shared" si="21"/>
        <v>1257</v>
      </c>
      <c r="AK56" s="785"/>
      <c r="AL56" s="805">
        <f t="shared" si="27"/>
        <v>1257</v>
      </c>
      <c r="AM56" s="697"/>
      <c r="AN56" s="806"/>
    </row>
    <row r="57" spans="3:44" ht="13.5" x14ac:dyDescent="0.25">
      <c r="C57" s="655">
        <v>2018</v>
      </c>
      <c r="D57" s="655" t="s">
        <v>496</v>
      </c>
      <c r="F57" s="718">
        <v>0</v>
      </c>
      <c r="G57" s="718">
        <v>0</v>
      </c>
      <c r="H57" s="718"/>
      <c r="I57" s="808">
        <f>F57+G57</f>
        <v>0</v>
      </c>
      <c r="J57" s="835"/>
      <c r="K57" s="841">
        <v>0.16</v>
      </c>
      <c r="L57" s="841">
        <v>0.8</v>
      </c>
      <c r="M57" s="836"/>
      <c r="N57" s="835"/>
      <c r="O57" s="723">
        <f t="shared" si="28"/>
        <v>0</v>
      </c>
      <c r="P57" s="723">
        <f t="shared" si="28"/>
        <v>0</v>
      </c>
      <c r="Q57" s="759"/>
      <c r="R57" s="723">
        <f>SUM(O57:P57)</f>
        <v>0</v>
      </c>
      <c r="S57" s="841"/>
      <c r="T57" s="835"/>
      <c r="U57" s="759"/>
      <c r="V57" s="759"/>
      <c r="W57" s="837"/>
      <c r="X57" s="835"/>
      <c r="Y57" s="759"/>
      <c r="Z57" s="838"/>
      <c r="AA57" s="839"/>
      <c r="AB57" s="840"/>
      <c r="AC57" s="842">
        <f t="shared" si="20"/>
        <v>0</v>
      </c>
      <c r="AD57" s="672"/>
      <c r="AE57" s="726" t="s">
        <v>519</v>
      </c>
      <c r="AF57" s="736"/>
      <c r="AH57" s="803"/>
      <c r="AI57" s="803"/>
      <c r="AJ57" s="804">
        <f t="shared" si="21"/>
        <v>0</v>
      </c>
      <c r="AK57" s="785"/>
      <c r="AL57" s="805">
        <f t="shared" si="27"/>
        <v>0</v>
      </c>
      <c r="AM57" s="697"/>
      <c r="AN57" s="806"/>
    </row>
    <row r="58" spans="3:44" ht="13.5" x14ac:dyDescent="0.25">
      <c r="C58" s="655">
        <v>2019</v>
      </c>
      <c r="D58" s="655" t="s">
        <v>496</v>
      </c>
      <c r="F58" s="718">
        <v>0</v>
      </c>
      <c r="G58" s="718">
        <v>0</v>
      </c>
      <c r="H58" s="718"/>
      <c r="I58" s="808">
        <f>F58+G58</f>
        <v>0</v>
      </c>
      <c r="J58" s="835"/>
      <c r="K58" s="841">
        <v>0.16</v>
      </c>
      <c r="L58" s="841">
        <v>0.8</v>
      </c>
      <c r="M58" s="836"/>
      <c r="N58" s="835"/>
      <c r="O58" s="723">
        <f t="shared" si="28"/>
        <v>0</v>
      </c>
      <c r="P58" s="723">
        <f t="shared" si="28"/>
        <v>0</v>
      </c>
      <c r="Q58" s="759"/>
      <c r="R58" s="723">
        <f>SUM(O58:P58)</f>
        <v>0</v>
      </c>
      <c r="S58" s="841"/>
      <c r="T58" s="835"/>
      <c r="U58" s="759"/>
      <c r="V58" s="759"/>
      <c r="W58" s="837"/>
      <c r="X58" s="835"/>
      <c r="Y58" s="759"/>
      <c r="Z58" s="838"/>
      <c r="AA58" s="839"/>
      <c r="AB58" s="840"/>
      <c r="AC58" s="842">
        <f t="shared" si="20"/>
        <v>0</v>
      </c>
      <c r="AD58" s="672"/>
      <c r="AE58" s="726" t="s">
        <v>520</v>
      </c>
      <c r="AF58" s="736"/>
      <c r="AH58" s="803"/>
      <c r="AI58" s="803"/>
      <c r="AJ58" s="804">
        <f t="shared" si="21"/>
        <v>0</v>
      </c>
      <c r="AK58" s="785"/>
      <c r="AL58" s="805">
        <f t="shared" si="27"/>
        <v>0</v>
      </c>
      <c r="AM58" s="697"/>
      <c r="AN58" s="806"/>
    </row>
    <row r="59" spans="3:44" ht="13.5" x14ac:dyDescent="0.25">
      <c r="C59" s="655">
        <v>2020</v>
      </c>
      <c r="D59" s="655" t="s">
        <v>496</v>
      </c>
      <c r="F59" s="718">
        <v>0</v>
      </c>
      <c r="G59" s="718">
        <v>0</v>
      </c>
      <c r="H59" s="718"/>
      <c r="I59" s="808">
        <f>F59+G59</f>
        <v>0</v>
      </c>
      <c r="J59" s="835"/>
      <c r="K59" s="841">
        <v>0.16</v>
      </c>
      <c r="L59" s="841">
        <v>0.8</v>
      </c>
      <c r="M59" s="836"/>
      <c r="N59" s="835"/>
      <c r="O59" s="723">
        <f t="shared" si="28"/>
        <v>0</v>
      </c>
      <c r="P59" s="723">
        <f t="shared" si="28"/>
        <v>0</v>
      </c>
      <c r="Q59" s="759"/>
      <c r="R59" s="723">
        <f>SUM(O59:P59)</f>
        <v>0</v>
      </c>
      <c r="S59" s="841"/>
      <c r="T59" s="835"/>
      <c r="U59" s="759"/>
      <c r="V59" s="759"/>
      <c r="W59" s="837"/>
      <c r="X59" s="835"/>
      <c r="Y59" s="759"/>
      <c r="Z59" s="838"/>
      <c r="AA59" s="839"/>
      <c r="AB59" s="840"/>
      <c r="AC59" s="842">
        <f t="shared" si="20"/>
        <v>0</v>
      </c>
      <c r="AD59" s="672"/>
      <c r="AE59" s="726" t="s">
        <v>520</v>
      </c>
      <c r="AF59" s="736"/>
      <c r="AH59" s="803"/>
      <c r="AI59" s="803"/>
      <c r="AJ59" s="804">
        <f t="shared" si="21"/>
        <v>0</v>
      </c>
      <c r="AK59" s="785"/>
      <c r="AL59" s="805">
        <f t="shared" si="27"/>
        <v>0</v>
      </c>
      <c r="AM59" s="697"/>
      <c r="AN59" s="806"/>
    </row>
    <row r="60" spans="3:44" ht="13.5" x14ac:dyDescent="0.25">
      <c r="C60" s="655">
        <v>2021</v>
      </c>
      <c r="D60" s="655" t="s">
        <v>496</v>
      </c>
      <c r="F60" s="718">
        <v>0</v>
      </c>
      <c r="G60" s="718">
        <v>0</v>
      </c>
      <c r="H60" s="718"/>
      <c r="I60" s="808">
        <f>F60+G60</f>
        <v>0</v>
      </c>
      <c r="J60" s="835"/>
      <c r="K60" s="841">
        <v>0.16</v>
      </c>
      <c r="L60" s="841">
        <v>0.8</v>
      </c>
      <c r="M60" s="836"/>
      <c r="N60" s="835"/>
      <c r="O60" s="723">
        <f t="shared" si="28"/>
        <v>0</v>
      </c>
      <c r="P60" s="723">
        <f t="shared" si="28"/>
        <v>0</v>
      </c>
      <c r="Q60" s="759"/>
      <c r="R60" s="723">
        <f>SUM(O60:P60)</f>
        <v>0</v>
      </c>
      <c r="S60" s="841"/>
      <c r="T60" s="835"/>
      <c r="U60" s="759"/>
      <c r="V60" s="759"/>
      <c r="W60" s="837"/>
      <c r="X60" s="835"/>
      <c r="Y60" s="759"/>
      <c r="Z60" s="838"/>
      <c r="AA60" s="839"/>
      <c r="AB60" s="840"/>
      <c r="AC60" s="842">
        <f t="shared" si="20"/>
        <v>0</v>
      </c>
      <c r="AD60" s="672"/>
      <c r="AE60" s="726" t="s">
        <v>520</v>
      </c>
      <c r="AF60" s="736"/>
      <c r="AH60" s="803"/>
      <c r="AI60" s="803"/>
      <c r="AJ60" s="804">
        <f t="shared" si="21"/>
        <v>0</v>
      </c>
      <c r="AK60" s="785"/>
      <c r="AL60" s="805">
        <f>AJ60</f>
        <v>0</v>
      </c>
      <c r="AM60" s="697"/>
      <c r="AN60" s="806"/>
    </row>
    <row r="61" spans="3:44" ht="13.5" x14ac:dyDescent="0.25">
      <c r="C61" s="655">
        <v>2022</v>
      </c>
      <c r="D61" s="655" t="s">
        <v>496</v>
      </c>
      <c r="F61" s="718">
        <f>76*0.15</f>
        <v>11.4</v>
      </c>
      <c r="G61" s="718"/>
      <c r="H61" s="718">
        <f>533*0.15</f>
        <v>79.95</v>
      </c>
      <c r="I61" s="808">
        <f>SUM(F61:H61)</f>
        <v>91.350000000000009</v>
      </c>
      <c r="J61" s="835"/>
      <c r="K61" s="841">
        <v>0.16</v>
      </c>
      <c r="L61" s="841">
        <v>0.8</v>
      </c>
      <c r="M61" s="843">
        <f>M32</f>
        <v>2.8000000000000001E-2</v>
      </c>
      <c r="N61" s="835"/>
      <c r="O61" s="723">
        <f t="shared" si="28"/>
        <v>2</v>
      </c>
      <c r="P61" s="723">
        <f t="shared" si="28"/>
        <v>0</v>
      </c>
      <c r="Q61" s="723">
        <f>ROUND(H61*M61,0)</f>
        <v>2</v>
      </c>
      <c r="R61" s="723">
        <f>SUM(O61:Q61)</f>
        <v>4</v>
      </c>
      <c r="S61" s="836">
        <f>R61/I61</f>
        <v>4.3787629994526539E-2</v>
      </c>
      <c r="T61" s="835"/>
      <c r="U61" s="759">
        <f>O61+Q61</f>
        <v>4</v>
      </c>
      <c r="V61" s="759">
        <f>P61</f>
        <v>0</v>
      </c>
      <c r="W61" s="837">
        <f>SUM(U61:V61)</f>
        <v>4</v>
      </c>
      <c r="X61" s="835"/>
      <c r="Y61" s="759"/>
      <c r="Z61" s="838"/>
      <c r="AA61" s="839"/>
      <c r="AB61" s="840"/>
      <c r="AC61" s="842">
        <f t="shared" si="20"/>
        <v>4</v>
      </c>
      <c r="AD61" s="672"/>
      <c r="AE61" s="726" t="s">
        <v>521</v>
      </c>
      <c r="AF61" s="736"/>
      <c r="AH61" s="803"/>
      <c r="AI61" s="803"/>
      <c r="AJ61" s="804">
        <f t="shared" si="21"/>
        <v>0</v>
      </c>
      <c r="AK61" s="785"/>
      <c r="AL61" s="805">
        <f>AJ61</f>
        <v>0</v>
      </c>
      <c r="AM61" s="697"/>
      <c r="AN61" s="806"/>
    </row>
    <row r="62" spans="3:44" ht="13.5" x14ac:dyDescent="0.25">
      <c r="C62" s="655">
        <v>2023</v>
      </c>
      <c r="D62" s="655" t="s">
        <v>496</v>
      </c>
      <c r="F62" s="718">
        <v>0</v>
      </c>
      <c r="G62" s="718">
        <v>0</v>
      </c>
      <c r="H62" s="718"/>
      <c r="I62" s="808">
        <f>F62+G62</f>
        <v>0</v>
      </c>
      <c r="J62" s="835"/>
      <c r="K62" s="841">
        <v>0.16</v>
      </c>
      <c r="L62" s="841">
        <v>0.8</v>
      </c>
      <c r="M62" s="836"/>
      <c r="N62" s="835"/>
      <c r="O62" s="723">
        <f t="shared" si="28"/>
        <v>0</v>
      </c>
      <c r="P62" s="723">
        <f t="shared" si="28"/>
        <v>0</v>
      </c>
      <c r="Q62" s="759"/>
      <c r="R62" s="723">
        <f>SUM(O62:P62)</f>
        <v>0</v>
      </c>
      <c r="S62" s="836"/>
      <c r="T62" s="835"/>
      <c r="U62" s="759"/>
      <c r="V62" s="759"/>
      <c r="W62" s="837"/>
      <c r="X62" s="835"/>
      <c r="Y62" s="759"/>
      <c r="Z62" s="838"/>
      <c r="AA62" s="839"/>
      <c r="AB62" s="840"/>
      <c r="AC62" s="842">
        <f t="shared" si="20"/>
        <v>0</v>
      </c>
      <c r="AD62" s="672"/>
      <c r="AE62" s="726" t="s">
        <v>520</v>
      </c>
      <c r="AF62" s="736"/>
      <c r="AH62" s="803"/>
      <c r="AI62" s="803"/>
      <c r="AJ62" s="804">
        <f t="shared" si="21"/>
        <v>0</v>
      </c>
      <c r="AK62" s="785"/>
      <c r="AL62" s="805">
        <f>AJ62</f>
        <v>0</v>
      </c>
      <c r="AM62" s="697"/>
      <c r="AN62" s="806"/>
    </row>
    <row r="63" spans="3:44" ht="13.5" x14ac:dyDescent="0.25">
      <c r="C63" s="655">
        <v>2024</v>
      </c>
      <c r="D63" s="655" t="s">
        <v>496</v>
      </c>
      <c r="F63" s="718">
        <v>0</v>
      </c>
      <c r="G63" s="718">
        <v>0</v>
      </c>
      <c r="H63" s="718"/>
      <c r="I63" s="808">
        <v>0</v>
      </c>
      <c r="J63" s="835"/>
      <c r="K63" s="841">
        <v>0.16</v>
      </c>
      <c r="L63" s="841">
        <v>0.8</v>
      </c>
      <c r="M63" s="836"/>
      <c r="N63" s="835"/>
      <c r="O63" s="723">
        <v>0</v>
      </c>
      <c r="P63" s="723">
        <v>0</v>
      </c>
      <c r="Q63" s="759"/>
      <c r="R63" s="723">
        <v>0</v>
      </c>
      <c r="S63" s="836"/>
      <c r="T63" s="835"/>
      <c r="U63" s="759"/>
      <c r="V63" s="759"/>
      <c r="W63" s="837"/>
      <c r="X63" s="835"/>
      <c r="Y63" s="759"/>
      <c r="Z63" s="838"/>
      <c r="AA63" s="839"/>
      <c r="AB63" s="840"/>
      <c r="AC63" s="842">
        <v>0</v>
      </c>
      <c r="AD63" s="672"/>
      <c r="AE63" s="726" t="s">
        <v>520</v>
      </c>
      <c r="AF63" s="736"/>
      <c r="AH63" s="803"/>
      <c r="AI63" s="803"/>
      <c r="AJ63" s="804">
        <v>0</v>
      </c>
      <c r="AK63" s="785"/>
      <c r="AL63" s="805">
        <v>0</v>
      </c>
      <c r="AM63" s="697"/>
      <c r="AN63" s="806"/>
    </row>
    <row r="64" spans="3:44" ht="13.5" x14ac:dyDescent="0.25">
      <c r="C64" s="655">
        <v>2025</v>
      </c>
      <c r="D64" s="655" t="s">
        <v>496</v>
      </c>
      <c r="F64" s="718">
        <v>0</v>
      </c>
      <c r="G64" s="718">
        <v>0</v>
      </c>
      <c r="H64" s="718"/>
      <c r="I64" s="808">
        <f>F64+G64</f>
        <v>0</v>
      </c>
      <c r="J64" s="835"/>
      <c r="K64" s="841">
        <v>0.16</v>
      </c>
      <c r="L64" s="841">
        <v>0.8</v>
      </c>
      <c r="M64" s="836"/>
      <c r="N64" s="835"/>
      <c r="O64" s="723">
        <f t="shared" si="28"/>
        <v>0</v>
      </c>
      <c r="P64" s="723">
        <f t="shared" si="28"/>
        <v>0</v>
      </c>
      <c r="Q64" s="759"/>
      <c r="R64" s="723">
        <f>SUM(O64:P64)</f>
        <v>0</v>
      </c>
      <c r="S64" s="836"/>
      <c r="T64" s="835"/>
      <c r="U64" s="759"/>
      <c r="V64" s="759"/>
      <c r="W64" s="837"/>
      <c r="X64" s="835"/>
      <c r="Y64" s="759"/>
      <c r="Z64" s="838"/>
      <c r="AA64" s="839"/>
      <c r="AB64" s="840"/>
      <c r="AC64" s="842">
        <f>ROUND(W64+AA64,0)</f>
        <v>0</v>
      </c>
      <c r="AD64" s="672"/>
      <c r="AE64" s="726" t="s">
        <v>520</v>
      </c>
      <c r="AF64" s="736"/>
      <c r="AH64" s="803"/>
      <c r="AI64" s="803"/>
      <c r="AJ64" s="804">
        <f>SUM(AH64:AI64)</f>
        <v>0</v>
      </c>
      <c r="AK64" s="785"/>
      <c r="AL64" s="805">
        <f>AJ64</f>
        <v>0</v>
      </c>
      <c r="AM64" s="697"/>
      <c r="AN64" s="806"/>
    </row>
    <row r="65" spans="3:44" ht="6" customHeight="1" x14ac:dyDescent="0.2">
      <c r="F65" s="665"/>
      <c r="G65" s="665"/>
      <c r="H65" s="665"/>
      <c r="I65" s="665"/>
      <c r="O65" s="665"/>
      <c r="P65" s="665"/>
      <c r="Q65" s="665"/>
      <c r="R65" s="665"/>
      <c r="S65" s="665"/>
      <c r="Y65" s="665"/>
      <c r="AA65" s="782"/>
      <c r="AB65" s="11"/>
      <c r="AC65" s="782"/>
      <c r="AE65" s="634"/>
    </row>
    <row r="66" spans="3:44" x14ac:dyDescent="0.2">
      <c r="C66" s="655">
        <v>2000</v>
      </c>
      <c r="D66" s="655" t="s">
        <v>522</v>
      </c>
      <c r="F66" s="665"/>
      <c r="G66" s="665"/>
      <c r="H66" s="665"/>
      <c r="I66" s="665">
        <f t="shared" ref="I66:I89" si="29">SUM(F66:G66)</f>
        <v>0</v>
      </c>
      <c r="K66" s="667">
        <v>0.16</v>
      </c>
      <c r="L66" s="667">
        <v>0.8</v>
      </c>
      <c r="M66" s="667"/>
      <c r="O66" s="665"/>
      <c r="P66" s="665"/>
      <c r="Q66" s="665"/>
      <c r="R66" s="665"/>
      <c r="S66" s="665"/>
      <c r="Y66" s="665"/>
      <c r="Z66" s="669"/>
      <c r="AA66" s="782"/>
      <c r="AB66" s="11"/>
      <c r="AC66" s="782">
        <f t="shared" ref="AC66:AC89" si="30">ROUND(R66+AA66,0)</f>
        <v>0</v>
      </c>
      <c r="AD66" s="672">
        <v>0</v>
      </c>
      <c r="AE66" s="634"/>
      <c r="AR66" s="12" t="s">
        <v>523</v>
      </c>
    </row>
    <row r="67" spans="3:44" x14ac:dyDescent="0.2">
      <c r="C67" s="655">
        <v>2001</v>
      </c>
      <c r="D67" s="655" t="s">
        <v>522</v>
      </c>
      <c r="F67" s="665"/>
      <c r="G67" s="665"/>
      <c r="H67" s="665"/>
      <c r="I67" s="665">
        <f t="shared" si="29"/>
        <v>0</v>
      </c>
      <c r="K67" s="667">
        <v>0.16</v>
      </c>
      <c r="L67" s="667">
        <v>0.8</v>
      </c>
      <c r="M67" s="667"/>
      <c r="O67" s="665"/>
      <c r="P67" s="665"/>
      <c r="Q67" s="665"/>
      <c r="R67" s="665"/>
      <c r="S67" s="665"/>
      <c r="Y67" s="665"/>
      <c r="Z67" s="669"/>
      <c r="AA67" s="782"/>
      <c r="AB67" s="11"/>
      <c r="AC67" s="782">
        <f t="shared" si="30"/>
        <v>0</v>
      </c>
      <c r="AD67" s="672">
        <v>0</v>
      </c>
      <c r="AE67" s="634"/>
      <c r="AR67" s="12" t="s">
        <v>524</v>
      </c>
    </row>
    <row r="68" spans="3:44" x14ac:dyDescent="0.2">
      <c r="C68" s="655">
        <v>2002</v>
      </c>
      <c r="D68" s="655" t="s">
        <v>522</v>
      </c>
      <c r="F68" s="665">
        <v>260</v>
      </c>
      <c r="G68" s="665">
        <v>0</v>
      </c>
      <c r="H68" s="665"/>
      <c r="I68" s="665">
        <f t="shared" si="29"/>
        <v>260</v>
      </c>
      <c r="K68" s="667">
        <v>0.16</v>
      </c>
      <c r="L68" s="667">
        <v>0.8</v>
      </c>
      <c r="M68" s="667"/>
      <c r="O68" s="665">
        <f t="shared" ref="O68:P83" si="31">ROUND(F68*K68,0)</f>
        <v>42</v>
      </c>
      <c r="P68" s="665">
        <f t="shared" si="31"/>
        <v>0</v>
      </c>
      <c r="Q68" s="665"/>
      <c r="R68" s="665">
        <f t="shared" ref="R68:R85" si="32">SUM(O68:P68)</f>
        <v>42</v>
      </c>
      <c r="S68" s="665"/>
      <c r="Y68" s="665">
        <v>103038</v>
      </c>
      <c r="Z68" s="669">
        <f t="shared" ref="Z68:Z82" si="33">AA68/Y68</f>
        <v>2.0380830373260352E-2</v>
      </c>
      <c r="AA68" s="782">
        <v>2100</v>
      </c>
      <c r="AB68" s="11"/>
      <c r="AC68" s="782">
        <f t="shared" si="30"/>
        <v>2142</v>
      </c>
      <c r="AD68" s="672">
        <v>2142</v>
      </c>
      <c r="AE68" s="634" t="s">
        <v>525</v>
      </c>
      <c r="AR68" s="12" t="s">
        <v>526</v>
      </c>
    </row>
    <row r="69" spans="3:44" x14ac:dyDescent="0.2">
      <c r="C69" s="655">
        <v>2003</v>
      </c>
      <c r="D69" s="655" t="s">
        <v>522</v>
      </c>
      <c r="F69" s="665"/>
      <c r="G69" s="665"/>
      <c r="H69" s="665"/>
      <c r="I69" s="665">
        <f t="shared" si="29"/>
        <v>0</v>
      </c>
      <c r="K69" s="667">
        <v>0.16</v>
      </c>
      <c r="L69" s="667">
        <v>0.8</v>
      </c>
      <c r="M69" s="667"/>
      <c r="O69" s="665">
        <f t="shared" si="31"/>
        <v>0</v>
      </c>
      <c r="P69" s="665">
        <f t="shared" si="31"/>
        <v>0</v>
      </c>
      <c r="Q69" s="665"/>
      <c r="R69" s="665">
        <f t="shared" si="32"/>
        <v>0</v>
      </c>
      <c r="S69" s="665"/>
      <c r="Y69" s="665">
        <v>137357</v>
      </c>
      <c r="Z69" s="669">
        <f t="shared" si="33"/>
        <v>1.8135224269604025E-2</v>
      </c>
      <c r="AA69" s="782">
        <v>2491</v>
      </c>
      <c r="AB69" s="11"/>
      <c r="AC69" s="782">
        <f t="shared" si="30"/>
        <v>2491</v>
      </c>
      <c r="AD69" s="672">
        <v>2491</v>
      </c>
      <c r="AE69" s="634" t="s">
        <v>527</v>
      </c>
      <c r="AI69" s="844"/>
    </row>
    <row r="70" spans="3:44" x14ac:dyDescent="0.2">
      <c r="C70" s="655">
        <v>2004</v>
      </c>
      <c r="D70" s="655" t="s">
        <v>522</v>
      </c>
      <c r="F70" s="665"/>
      <c r="G70" s="665"/>
      <c r="H70" s="665"/>
      <c r="I70" s="665">
        <f t="shared" si="29"/>
        <v>0</v>
      </c>
      <c r="K70" s="667">
        <v>0.16</v>
      </c>
      <c r="L70" s="667">
        <v>0.8</v>
      </c>
      <c r="M70" s="667"/>
      <c r="O70" s="665">
        <f t="shared" si="31"/>
        <v>0</v>
      </c>
      <c r="P70" s="665">
        <f t="shared" si="31"/>
        <v>0</v>
      </c>
      <c r="Q70" s="665"/>
      <c r="R70" s="665">
        <f t="shared" si="32"/>
        <v>0</v>
      </c>
      <c r="S70" s="665"/>
      <c r="Y70" s="665">
        <v>167508</v>
      </c>
      <c r="Z70" s="669">
        <f t="shared" si="33"/>
        <v>2.5013730687489552E-3</v>
      </c>
      <c r="AA70" s="782">
        <v>419</v>
      </c>
      <c r="AB70" s="11"/>
      <c r="AC70" s="782">
        <f t="shared" si="30"/>
        <v>419</v>
      </c>
      <c r="AD70" s="672">
        <v>419</v>
      </c>
      <c r="AE70" s="634" t="s">
        <v>528</v>
      </c>
      <c r="AH70" s="12" t="s">
        <v>529</v>
      </c>
      <c r="AI70" s="844"/>
    </row>
    <row r="71" spans="3:44" x14ac:dyDescent="0.2">
      <c r="C71" s="655">
        <v>2005</v>
      </c>
      <c r="D71" s="655" t="s">
        <v>522</v>
      </c>
      <c r="F71" s="665"/>
      <c r="G71" s="665"/>
      <c r="H71" s="665"/>
      <c r="I71" s="665">
        <f t="shared" si="29"/>
        <v>0</v>
      </c>
      <c r="K71" s="667">
        <v>0.16</v>
      </c>
      <c r="L71" s="667">
        <v>0.8</v>
      </c>
      <c r="M71" s="667"/>
      <c r="O71" s="665">
        <f t="shared" si="31"/>
        <v>0</v>
      </c>
      <c r="P71" s="665">
        <f t="shared" si="31"/>
        <v>0</v>
      </c>
      <c r="Q71" s="665"/>
      <c r="R71" s="665">
        <f t="shared" si="32"/>
        <v>0</v>
      </c>
      <c r="S71" s="665"/>
      <c r="Y71" s="665">
        <v>174806</v>
      </c>
      <c r="Z71" s="669">
        <f t="shared" si="33"/>
        <v>2.4598697985195018E-3</v>
      </c>
      <c r="AA71" s="782">
        <v>430</v>
      </c>
      <c r="AB71" s="11"/>
      <c r="AC71" s="782">
        <f t="shared" si="30"/>
        <v>430</v>
      </c>
      <c r="AD71" s="672">
        <v>430</v>
      </c>
      <c r="AE71" s="634"/>
      <c r="AI71" s="844"/>
    </row>
    <row r="72" spans="3:44" x14ac:dyDescent="0.2">
      <c r="C72" s="655">
        <v>2006</v>
      </c>
      <c r="D72" s="655" t="s">
        <v>522</v>
      </c>
      <c r="F72" s="665"/>
      <c r="G72" s="665"/>
      <c r="H72" s="665"/>
      <c r="I72" s="665">
        <f t="shared" si="29"/>
        <v>0</v>
      </c>
      <c r="K72" s="667">
        <v>0.16</v>
      </c>
      <c r="L72" s="667">
        <v>0.8</v>
      </c>
      <c r="M72" s="667"/>
      <c r="O72" s="665">
        <f t="shared" si="31"/>
        <v>0</v>
      </c>
      <c r="P72" s="665">
        <f t="shared" si="31"/>
        <v>0</v>
      </c>
      <c r="Q72" s="665"/>
      <c r="R72" s="665">
        <f t="shared" si="32"/>
        <v>0</v>
      </c>
      <c r="S72" s="665"/>
      <c r="Y72" s="665">
        <v>151485</v>
      </c>
      <c r="Z72" s="669">
        <f t="shared" si="33"/>
        <v>8.4034722909859059E-3</v>
      </c>
      <c r="AA72" s="782">
        <v>1273</v>
      </c>
      <c r="AB72" s="11"/>
      <c r="AC72" s="782">
        <f t="shared" si="30"/>
        <v>1273</v>
      </c>
      <c r="AD72" s="672">
        <v>1273</v>
      </c>
      <c r="AE72" s="634"/>
      <c r="AI72" s="844"/>
    </row>
    <row r="73" spans="3:44" x14ac:dyDescent="0.2">
      <c r="C73" s="655">
        <v>2007</v>
      </c>
      <c r="D73" s="655" t="s">
        <v>522</v>
      </c>
      <c r="F73" s="678"/>
      <c r="G73" s="678"/>
      <c r="H73" s="678"/>
      <c r="I73" s="665">
        <f t="shared" si="29"/>
        <v>0</v>
      </c>
      <c r="K73" s="667">
        <v>0.16</v>
      </c>
      <c r="L73" s="667">
        <v>0.8</v>
      </c>
      <c r="M73" s="667"/>
      <c r="O73" s="665">
        <f t="shared" si="31"/>
        <v>0</v>
      </c>
      <c r="P73" s="665">
        <f t="shared" si="31"/>
        <v>0</v>
      </c>
      <c r="Q73" s="665"/>
      <c r="R73" s="665">
        <f t="shared" si="32"/>
        <v>0</v>
      </c>
      <c r="S73" s="665"/>
      <c r="Y73" s="678">
        <v>83235</v>
      </c>
      <c r="Z73" s="845">
        <f t="shared" si="33"/>
        <v>7.0643359163813299E-3</v>
      </c>
      <c r="AA73" s="782">
        <v>588</v>
      </c>
      <c r="AB73" s="11"/>
      <c r="AC73" s="782">
        <f t="shared" si="30"/>
        <v>588</v>
      </c>
      <c r="AD73" s="672">
        <v>588</v>
      </c>
      <c r="AE73" s="696"/>
      <c r="AF73" s="846"/>
      <c r="AI73" s="844"/>
    </row>
    <row r="74" spans="3:44" x14ac:dyDescent="0.2">
      <c r="C74" s="655">
        <v>2008</v>
      </c>
      <c r="D74" s="655" t="s">
        <v>522</v>
      </c>
      <c r="F74" s="678"/>
      <c r="G74" s="678"/>
      <c r="H74" s="678"/>
      <c r="I74" s="665">
        <f t="shared" si="29"/>
        <v>0</v>
      </c>
      <c r="K74" s="667">
        <v>0.16</v>
      </c>
      <c r="L74" s="667">
        <v>0.8</v>
      </c>
      <c r="M74" s="667"/>
      <c r="O74" s="665">
        <f t="shared" si="31"/>
        <v>0</v>
      </c>
      <c r="P74" s="665">
        <f t="shared" si="31"/>
        <v>0</v>
      </c>
      <c r="Q74" s="665"/>
      <c r="R74" s="665">
        <f t="shared" si="32"/>
        <v>0</v>
      </c>
      <c r="S74" s="665"/>
      <c r="Y74" s="786">
        <v>52147</v>
      </c>
      <c r="Z74" s="683">
        <f t="shared" si="33"/>
        <v>8.6294513586591753E-4</v>
      </c>
      <c r="AA74" s="847">
        <v>45</v>
      </c>
      <c r="AB74" s="11"/>
      <c r="AC74" s="782">
        <f t="shared" si="30"/>
        <v>45</v>
      </c>
      <c r="AD74" s="672">
        <v>45</v>
      </c>
      <c r="AE74" s="696" t="s">
        <v>530</v>
      </c>
      <c r="AF74" s="846"/>
      <c r="AI74" s="844"/>
    </row>
    <row r="75" spans="3:44" x14ac:dyDescent="0.2">
      <c r="C75" s="655">
        <v>2009</v>
      </c>
      <c r="D75" s="655" t="s">
        <v>522</v>
      </c>
      <c r="F75" s="678"/>
      <c r="G75" s="678"/>
      <c r="H75" s="678"/>
      <c r="I75" s="665">
        <f t="shared" si="29"/>
        <v>0</v>
      </c>
      <c r="K75" s="667">
        <v>0.16</v>
      </c>
      <c r="L75" s="667">
        <v>0.8</v>
      </c>
      <c r="M75" s="667"/>
      <c r="O75" s="665">
        <f t="shared" si="31"/>
        <v>0</v>
      </c>
      <c r="P75" s="665">
        <f t="shared" si="31"/>
        <v>0</v>
      </c>
      <c r="Q75" s="665"/>
      <c r="R75" s="665">
        <f t="shared" si="32"/>
        <v>0</v>
      </c>
      <c r="S75" s="665"/>
      <c r="Y75" s="789">
        <v>75470</v>
      </c>
      <c r="Z75" s="692">
        <f t="shared" si="33"/>
        <v>3.6305816880879819E-3</v>
      </c>
      <c r="AA75" s="791">
        <v>274</v>
      </c>
      <c r="AB75" s="11"/>
      <c r="AC75" s="782">
        <f t="shared" si="30"/>
        <v>274</v>
      </c>
      <c r="AD75" s="672">
        <v>274</v>
      </c>
      <c r="AE75" s="784" t="s">
        <v>531</v>
      </c>
      <c r="AF75" s="785"/>
      <c r="AI75" s="844"/>
    </row>
    <row r="76" spans="3:44" x14ac:dyDescent="0.2">
      <c r="C76" s="655">
        <v>2010</v>
      </c>
      <c r="D76" s="655" t="s">
        <v>522</v>
      </c>
      <c r="F76" s="678"/>
      <c r="G76" s="678"/>
      <c r="H76" s="678"/>
      <c r="I76" s="665">
        <f t="shared" si="29"/>
        <v>0</v>
      </c>
      <c r="K76" s="667">
        <v>0.16</v>
      </c>
      <c r="L76" s="667">
        <v>0.8</v>
      </c>
      <c r="M76" s="667"/>
      <c r="O76" s="665">
        <f t="shared" si="31"/>
        <v>0</v>
      </c>
      <c r="P76" s="665">
        <f t="shared" si="31"/>
        <v>0</v>
      </c>
      <c r="Q76" s="665"/>
      <c r="R76" s="665">
        <f t="shared" si="32"/>
        <v>0</v>
      </c>
      <c r="S76" s="665"/>
      <c r="Y76" s="789">
        <v>90213</v>
      </c>
      <c r="Z76" s="692">
        <f t="shared" si="33"/>
        <v>2.9707470098544555E-3</v>
      </c>
      <c r="AA76" s="791">
        <v>268</v>
      </c>
      <c r="AB76" s="848"/>
      <c r="AC76" s="782">
        <f t="shared" si="30"/>
        <v>268</v>
      </c>
      <c r="AD76" s="672">
        <v>268</v>
      </c>
      <c r="AE76" s="696" t="s">
        <v>532</v>
      </c>
      <c r="AF76" s="846"/>
      <c r="AI76" s="844"/>
    </row>
    <row r="77" spans="3:44" x14ac:dyDescent="0.2">
      <c r="C77" s="655">
        <v>2011</v>
      </c>
      <c r="D77" s="655" t="s">
        <v>522</v>
      </c>
      <c r="F77" s="678"/>
      <c r="G77" s="678"/>
      <c r="H77" s="678"/>
      <c r="I77" s="665">
        <f t="shared" si="29"/>
        <v>0</v>
      </c>
      <c r="K77" s="667">
        <v>0.16</v>
      </c>
      <c r="L77" s="667">
        <v>0.8</v>
      </c>
      <c r="M77" s="667"/>
      <c r="O77" s="665">
        <f t="shared" si="31"/>
        <v>0</v>
      </c>
      <c r="P77" s="665">
        <f t="shared" si="31"/>
        <v>0</v>
      </c>
      <c r="Q77" s="665"/>
      <c r="R77" s="665">
        <f t="shared" si="32"/>
        <v>0</v>
      </c>
      <c r="S77" s="665"/>
      <c r="Y77" s="849">
        <v>74660</v>
      </c>
      <c r="Z77" s="850">
        <f t="shared" si="33"/>
        <v>5.1299223144923656E-3</v>
      </c>
      <c r="AA77" s="791">
        <v>383</v>
      </c>
      <c r="AB77" s="848"/>
      <c r="AC77" s="782">
        <f t="shared" si="30"/>
        <v>383</v>
      </c>
      <c r="AD77" s="672">
        <v>383</v>
      </c>
      <c r="AE77" s="702" t="s">
        <v>479</v>
      </c>
      <c r="AF77" s="703"/>
      <c r="AI77" s="844"/>
    </row>
    <row r="78" spans="3:44" x14ac:dyDescent="0.2">
      <c r="C78" s="655">
        <v>2012</v>
      </c>
      <c r="D78" s="655" t="s">
        <v>522</v>
      </c>
      <c r="F78" s="678"/>
      <c r="G78" s="678"/>
      <c r="H78" s="678"/>
      <c r="I78" s="665">
        <f t="shared" si="29"/>
        <v>0</v>
      </c>
      <c r="K78" s="667">
        <v>0.16</v>
      </c>
      <c r="L78" s="667">
        <v>0.8</v>
      </c>
      <c r="M78" s="667"/>
      <c r="O78" s="665">
        <f t="shared" si="31"/>
        <v>0</v>
      </c>
      <c r="P78" s="665">
        <f t="shared" si="31"/>
        <v>0</v>
      </c>
      <c r="Q78" s="665"/>
      <c r="R78" s="665">
        <f t="shared" si="32"/>
        <v>0</v>
      </c>
      <c r="S78" s="665"/>
      <c r="Y78" s="851">
        <v>80256</v>
      </c>
      <c r="Z78" s="852">
        <f t="shared" si="33"/>
        <v>5.2581738437001597E-3</v>
      </c>
      <c r="AA78" s="853">
        <v>422</v>
      </c>
      <c r="AB78" s="848"/>
      <c r="AC78" s="782">
        <f t="shared" si="30"/>
        <v>422</v>
      </c>
      <c r="AD78" s="672"/>
      <c r="AE78" s="715" t="s">
        <v>533</v>
      </c>
      <c r="AF78" s="716"/>
      <c r="AI78" s="844"/>
    </row>
    <row r="79" spans="3:44" x14ac:dyDescent="0.2">
      <c r="C79" s="655">
        <v>2013</v>
      </c>
      <c r="D79" s="655" t="s">
        <v>522</v>
      </c>
      <c r="F79" s="678"/>
      <c r="G79" s="678"/>
      <c r="H79" s="678"/>
      <c r="I79" s="665">
        <f t="shared" si="29"/>
        <v>0</v>
      </c>
      <c r="K79" s="667">
        <v>0.16</v>
      </c>
      <c r="L79" s="667">
        <v>0.8</v>
      </c>
      <c r="M79" s="667"/>
      <c r="O79" s="665">
        <f t="shared" si="31"/>
        <v>0</v>
      </c>
      <c r="P79" s="665">
        <f t="shared" si="31"/>
        <v>0</v>
      </c>
      <c r="Q79" s="665"/>
      <c r="R79" s="665">
        <f t="shared" si="32"/>
        <v>0</v>
      </c>
      <c r="S79" s="665"/>
      <c r="Y79" s="854">
        <v>69264</v>
      </c>
      <c r="Z79" s="855">
        <f t="shared" si="33"/>
        <v>2.5987525987525989E-3</v>
      </c>
      <c r="AA79" s="856">
        <v>180</v>
      </c>
      <c r="AB79" s="848"/>
      <c r="AC79" s="782">
        <f t="shared" si="30"/>
        <v>180</v>
      </c>
      <c r="AD79" s="672"/>
      <c r="AE79" s="726" t="s">
        <v>534</v>
      </c>
      <c r="AF79" s="727"/>
      <c r="AI79" s="844"/>
    </row>
    <row r="80" spans="3:44" x14ac:dyDescent="0.2">
      <c r="C80" s="655">
        <v>2014</v>
      </c>
      <c r="D80" s="655" t="s">
        <v>522</v>
      </c>
      <c r="F80" s="678"/>
      <c r="G80" s="678"/>
      <c r="H80" s="678"/>
      <c r="I80" s="665">
        <f t="shared" si="29"/>
        <v>0</v>
      </c>
      <c r="K80" s="667">
        <v>0.16</v>
      </c>
      <c r="L80" s="667">
        <v>0.8</v>
      </c>
      <c r="M80" s="667"/>
      <c r="O80" s="665">
        <f t="shared" si="31"/>
        <v>0</v>
      </c>
      <c r="P80" s="665">
        <f t="shared" si="31"/>
        <v>0</v>
      </c>
      <c r="Q80" s="665"/>
      <c r="R80" s="665">
        <f t="shared" si="32"/>
        <v>0</v>
      </c>
      <c r="S80" s="665"/>
      <c r="Y80" s="732">
        <v>172001</v>
      </c>
      <c r="Z80" s="857">
        <f t="shared" si="33"/>
        <v>4.8836925366712984E-4</v>
      </c>
      <c r="AA80" s="858">
        <v>84</v>
      </c>
      <c r="AB80" s="848"/>
      <c r="AC80" s="782">
        <f t="shared" si="30"/>
        <v>84</v>
      </c>
      <c r="AD80" s="672"/>
      <c r="AE80" s="735" t="s">
        <v>518</v>
      </c>
      <c r="AF80" s="736"/>
      <c r="AI80" s="844"/>
    </row>
    <row r="81" spans="3:35" x14ac:dyDescent="0.2">
      <c r="C81" s="655">
        <v>2015</v>
      </c>
      <c r="D81" s="655" t="s">
        <v>522</v>
      </c>
      <c r="F81" s="678"/>
      <c r="G81" s="678"/>
      <c r="H81" s="678"/>
      <c r="I81" s="665">
        <f t="shared" si="29"/>
        <v>0</v>
      </c>
      <c r="K81" s="667">
        <v>0.16</v>
      </c>
      <c r="L81" s="667">
        <v>0.8</v>
      </c>
      <c r="M81" s="667"/>
      <c r="O81" s="665">
        <f t="shared" si="31"/>
        <v>0</v>
      </c>
      <c r="P81" s="665">
        <f t="shared" si="31"/>
        <v>0</v>
      </c>
      <c r="Q81" s="665"/>
      <c r="R81" s="665">
        <f t="shared" si="32"/>
        <v>0</v>
      </c>
      <c r="S81" s="665"/>
      <c r="Y81" s="741">
        <v>106703</v>
      </c>
      <c r="Z81" s="859">
        <f t="shared" si="33"/>
        <v>3.9736464766688849E-3</v>
      </c>
      <c r="AA81" s="824">
        <v>424</v>
      </c>
      <c r="AB81" s="848"/>
      <c r="AC81" s="782">
        <f t="shared" si="30"/>
        <v>424</v>
      </c>
      <c r="AD81" s="672"/>
      <c r="AE81" s="743" t="s">
        <v>518</v>
      </c>
      <c r="AF81" s="736"/>
      <c r="AI81" s="844"/>
    </row>
    <row r="82" spans="3:35" x14ac:dyDescent="0.2">
      <c r="C82" s="655">
        <v>2016</v>
      </c>
      <c r="D82" s="655" t="s">
        <v>522</v>
      </c>
      <c r="F82" s="678"/>
      <c r="G82" s="678"/>
      <c r="H82" s="678"/>
      <c r="I82" s="665">
        <f t="shared" si="29"/>
        <v>0</v>
      </c>
      <c r="K82" s="667">
        <v>0.16</v>
      </c>
      <c r="L82" s="667">
        <v>0.8</v>
      </c>
      <c r="M82" s="667"/>
      <c r="O82" s="665">
        <f t="shared" si="31"/>
        <v>0</v>
      </c>
      <c r="P82" s="665">
        <f t="shared" si="31"/>
        <v>0</v>
      </c>
      <c r="Q82" s="665"/>
      <c r="R82" s="665">
        <f t="shared" si="32"/>
        <v>0</v>
      </c>
      <c r="S82" s="665"/>
      <c r="Y82" s="723">
        <v>147381</v>
      </c>
      <c r="Z82" s="859">
        <f t="shared" si="33"/>
        <v>5.4959594520324873E-4</v>
      </c>
      <c r="AA82" s="860">
        <v>81</v>
      </c>
      <c r="AB82" s="848"/>
      <c r="AC82" s="782">
        <f t="shared" si="30"/>
        <v>81</v>
      </c>
      <c r="AD82" s="672"/>
      <c r="AE82" s="735" t="s">
        <v>484</v>
      </c>
      <c r="AF82" s="736"/>
      <c r="AI82" s="844"/>
    </row>
    <row r="83" spans="3:35" x14ac:dyDescent="0.2">
      <c r="C83" s="655">
        <v>2017</v>
      </c>
      <c r="D83" s="655" t="s">
        <v>522</v>
      </c>
      <c r="F83" s="678"/>
      <c r="G83" s="678"/>
      <c r="H83" s="678"/>
      <c r="I83" s="665">
        <f t="shared" si="29"/>
        <v>0</v>
      </c>
      <c r="K83" s="667">
        <v>0.16</v>
      </c>
      <c r="L83" s="667">
        <v>0.8</v>
      </c>
      <c r="M83" s="667"/>
      <c r="O83" s="665">
        <f t="shared" si="31"/>
        <v>0</v>
      </c>
      <c r="P83" s="665">
        <f t="shared" si="31"/>
        <v>0</v>
      </c>
      <c r="Q83" s="665"/>
      <c r="R83" s="665">
        <f t="shared" si="32"/>
        <v>0</v>
      </c>
      <c r="S83" s="665"/>
      <c r="Y83" s="759">
        <v>97730</v>
      </c>
      <c r="Z83" s="861">
        <v>5.0000000000000001E-4</v>
      </c>
      <c r="AA83" s="839">
        <f>Z83*Y83</f>
        <v>48.865000000000002</v>
      </c>
      <c r="AB83" s="848"/>
      <c r="AC83" s="782">
        <f t="shared" si="30"/>
        <v>49</v>
      </c>
      <c r="AD83" s="672"/>
      <c r="AE83" s="726" t="s">
        <v>485</v>
      </c>
      <c r="AF83" s="736"/>
      <c r="AI83" s="844"/>
    </row>
    <row r="84" spans="3:35" x14ac:dyDescent="0.2">
      <c r="C84" s="655">
        <v>2018</v>
      </c>
      <c r="D84" s="655" t="s">
        <v>522</v>
      </c>
      <c r="F84" s="678"/>
      <c r="G84" s="678"/>
      <c r="H84" s="678"/>
      <c r="I84" s="665">
        <f t="shared" si="29"/>
        <v>0</v>
      </c>
      <c r="K84" s="667">
        <v>0.16</v>
      </c>
      <c r="L84" s="667">
        <v>0.8</v>
      </c>
      <c r="M84" s="667"/>
      <c r="O84" s="665">
        <f t="shared" ref="O84:P89" si="34">ROUND(F84*K84,0)</f>
        <v>0</v>
      </c>
      <c r="P84" s="665">
        <f t="shared" si="34"/>
        <v>0</v>
      </c>
      <c r="Q84" s="665"/>
      <c r="R84" s="665">
        <f t="shared" si="32"/>
        <v>0</v>
      </c>
      <c r="S84" s="665"/>
      <c r="Y84" s="765">
        <v>70276</v>
      </c>
      <c r="Z84" s="862">
        <v>2.0899999999999998E-3</v>
      </c>
      <c r="AA84" s="832">
        <f>Z84*Y84</f>
        <v>146.87683999999999</v>
      </c>
      <c r="AB84" s="848"/>
      <c r="AC84" s="782">
        <f t="shared" si="30"/>
        <v>147</v>
      </c>
      <c r="AD84" s="672"/>
      <c r="AE84" s="767" t="s">
        <v>535</v>
      </c>
      <c r="AF84" s="736"/>
      <c r="AI84" s="844"/>
    </row>
    <row r="85" spans="3:35" x14ac:dyDescent="0.2">
      <c r="C85" s="655">
        <v>2019</v>
      </c>
      <c r="D85" s="655" t="s">
        <v>522</v>
      </c>
      <c r="F85" s="678"/>
      <c r="G85" s="678"/>
      <c r="H85" s="678"/>
      <c r="I85" s="665">
        <f t="shared" si="29"/>
        <v>0</v>
      </c>
      <c r="K85" s="667">
        <v>0.16</v>
      </c>
      <c r="L85" s="667">
        <v>0.8</v>
      </c>
      <c r="M85" s="667"/>
      <c r="O85" s="665">
        <f t="shared" si="34"/>
        <v>0</v>
      </c>
      <c r="P85" s="665">
        <f t="shared" si="34"/>
        <v>0</v>
      </c>
      <c r="Q85" s="665"/>
      <c r="R85" s="665">
        <f t="shared" si="32"/>
        <v>0</v>
      </c>
      <c r="S85" s="665"/>
      <c r="Y85" s="765">
        <v>42801</v>
      </c>
      <c r="Z85" s="863">
        <v>0</v>
      </c>
      <c r="AA85" s="864">
        <f>Z85*Y85</f>
        <v>0</v>
      </c>
      <c r="AB85" s="848"/>
      <c r="AC85" s="782">
        <f t="shared" si="30"/>
        <v>0</v>
      </c>
      <c r="AD85" s="672"/>
      <c r="AE85" s="767" t="s">
        <v>536</v>
      </c>
      <c r="AF85" s="736"/>
      <c r="AI85" s="844"/>
    </row>
    <row r="86" spans="3:35" x14ac:dyDescent="0.2">
      <c r="C86" s="655">
        <v>2020</v>
      </c>
      <c r="D86" s="655" t="s">
        <v>522</v>
      </c>
      <c r="F86" s="678"/>
      <c r="G86" s="678"/>
      <c r="H86" s="678"/>
      <c r="I86" s="665">
        <f t="shared" si="29"/>
        <v>0</v>
      </c>
      <c r="K86" s="667">
        <v>0.16</v>
      </c>
      <c r="L86" s="667">
        <v>0.8</v>
      </c>
      <c r="M86" s="667"/>
      <c r="O86" s="665">
        <f t="shared" si="34"/>
        <v>0</v>
      </c>
      <c r="P86" s="665">
        <f t="shared" si="34"/>
        <v>0</v>
      </c>
      <c r="Q86" s="665"/>
      <c r="R86" s="665">
        <f>SUM(O86:P86)</f>
        <v>0</v>
      </c>
      <c r="S86" s="665"/>
      <c r="Y86" s="759">
        <v>30096</v>
      </c>
      <c r="Z86" s="861">
        <f>AA86/Y86</f>
        <v>2.0268474215842636E-3</v>
      </c>
      <c r="AA86" s="839">
        <v>61</v>
      </c>
      <c r="AB86" s="848"/>
      <c r="AC86" s="782">
        <f t="shared" si="30"/>
        <v>61</v>
      </c>
      <c r="AD86" s="672"/>
      <c r="AE86" s="865" t="s">
        <v>537</v>
      </c>
      <c r="AF86" s="736"/>
      <c r="AI86" s="844"/>
    </row>
    <row r="87" spans="3:35" x14ac:dyDescent="0.2">
      <c r="C87" s="655">
        <v>2021</v>
      </c>
      <c r="D87" s="655" t="s">
        <v>522</v>
      </c>
      <c r="F87" s="678"/>
      <c r="G87" s="678"/>
      <c r="H87" s="678"/>
      <c r="I87" s="665">
        <f t="shared" si="29"/>
        <v>0</v>
      </c>
      <c r="K87" s="667">
        <v>0.16</v>
      </c>
      <c r="L87" s="667">
        <v>0.8</v>
      </c>
      <c r="M87" s="667"/>
      <c r="O87" s="665">
        <f t="shared" si="34"/>
        <v>0</v>
      </c>
      <c r="P87" s="665">
        <f t="shared" si="34"/>
        <v>0</v>
      </c>
      <c r="Q87" s="665"/>
      <c r="R87" s="665">
        <f>SUM(O87:P87)</f>
        <v>0</v>
      </c>
      <c r="S87" s="665"/>
      <c r="Y87" s="759">
        <f>'[1]Data-Troll21'!P39</f>
        <v>64470</v>
      </c>
      <c r="Z87" s="861">
        <f>AA87/Y87</f>
        <v>3.1022180859314411E-4</v>
      </c>
      <c r="AA87" s="839">
        <v>20</v>
      </c>
      <c r="AB87" s="848"/>
      <c r="AC87" s="782">
        <f t="shared" si="30"/>
        <v>20</v>
      </c>
      <c r="AD87" s="672"/>
      <c r="AE87" s="865" t="s">
        <v>538</v>
      </c>
      <c r="AF87" s="866"/>
      <c r="AG87" s="867"/>
      <c r="AI87" s="844"/>
    </row>
    <row r="88" spans="3:35" ht="13.7" customHeight="1" x14ac:dyDescent="0.2">
      <c r="C88" s="655">
        <v>2022</v>
      </c>
      <c r="D88" s="655" t="s">
        <v>522</v>
      </c>
      <c r="F88" s="678"/>
      <c r="G88" s="678"/>
      <c r="H88" s="678"/>
      <c r="I88" s="665">
        <f t="shared" si="29"/>
        <v>0</v>
      </c>
      <c r="K88" s="667">
        <v>0.16</v>
      </c>
      <c r="L88" s="667">
        <v>0.8</v>
      </c>
      <c r="M88" s="667"/>
      <c r="O88" s="665">
        <f t="shared" si="34"/>
        <v>0</v>
      </c>
      <c r="P88" s="665">
        <f t="shared" si="34"/>
        <v>0</v>
      </c>
      <c r="Q88" s="665"/>
      <c r="R88" s="665">
        <f>SUM(O88:P88)</f>
        <v>0</v>
      </c>
      <c r="S88" s="665"/>
      <c r="Y88" s="765">
        <v>57479.000000000044</v>
      </c>
      <c r="Z88" s="863">
        <f>AVERAGE(Z86:Z87)</f>
        <v>1.1685346150887039E-3</v>
      </c>
      <c r="AA88" s="864">
        <f>Z88*Y88</f>
        <v>67.166201140683654</v>
      </c>
      <c r="AB88" s="848"/>
      <c r="AC88" s="782">
        <f t="shared" si="30"/>
        <v>67</v>
      </c>
      <c r="AD88" s="672"/>
      <c r="AE88" s="767" t="s">
        <v>539</v>
      </c>
      <c r="AF88" s="736"/>
      <c r="AI88" s="844"/>
    </row>
    <row r="89" spans="3:35" ht="13.7" customHeight="1" x14ac:dyDescent="0.2">
      <c r="C89" s="655">
        <v>2023</v>
      </c>
      <c r="D89" s="655" t="s">
        <v>522</v>
      </c>
      <c r="F89" s="678"/>
      <c r="G89" s="678"/>
      <c r="H89" s="678"/>
      <c r="I89" s="665">
        <f t="shared" si="29"/>
        <v>0</v>
      </c>
      <c r="K89" s="667">
        <v>0.16</v>
      </c>
      <c r="L89" s="667">
        <v>0.8</v>
      </c>
      <c r="M89" s="667"/>
      <c r="O89" s="665">
        <f t="shared" si="34"/>
        <v>0</v>
      </c>
      <c r="P89" s="665">
        <f t="shared" si="34"/>
        <v>0</v>
      </c>
      <c r="Q89" s="665"/>
      <c r="R89" s="665">
        <f>SUM(O89:P89)</f>
        <v>0</v>
      </c>
      <c r="S89" s="665"/>
      <c r="Y89" s="765">
        <v>51777</v>
      </c>
      <c r="Z89" s="863">
        <f>Z88</f>
        <v>1.1685346150887039E-3</v>
      </c>
      <c r="AA89" s="864">
        <f>Z89*Y89</f>
        <v>60.503216765447817</v>
      </c>
      <c r="AB89" s="848"/>
      <c r="AC89" s="782">
        <f t="shared" si="30"/>
        <v>61</v>
      </c>
      <c r="AD89" s="672"/>
      <c r="AE89" s="767" t="s">
        <v>540</v>
      </c>
      <c r="AF89" s="736"/>
      <c r="AI89" s="844"/>
    </row>
    <row r="90" spans="3:35" ht="13.7" customHeight="1" x14ac:dyDescent="0.2">
      <c r="C90" s="655">
        <v>2024</v>
      </c>
      <c r="D90" s="655" t="s">
        <v>522</v>
      </c>
      <c r="F90" s="678"/>
      <c r="G90" s="678"/>
      <c r="H90" s="678"/>
      <c r="I90" s="665">
        <v>0</v>
      </c>
      <c r="K90" s="667">
        <v>0.16</v>
      </c>
      <c r="L90" s="667">
        <v>0.8</v>
      </c>
      <c r="M90" s="667"/>
      <c r="O90" s="665">
        <v>0</v>
      </c>
      <c r="P90" s="665">
        <v>0</v>
      </c>
      <c r="Q90" s="665"/>
      <c r="R90" s="665">
        <v>0</v>
      </c>
      <c r="S90" s="665"/>
      <c r="Y90" s="765">
        <v>76590</v>
      </c>
      <c r="Z90" s="863">
        <v>1.1685346150887039E-3</v>
      </c>
      <c r="AA90" s="864">
        <v>89.498066169643835</v>
      </c>
      <c r="AB90" s="848"/>
      <c r="AC90" s="782">
        <v>89</v>
      </c>
      <c r="AD90" s="672"/>
      <c r="AE90" s="767" t="s">
        <v>541</v>
      </c>
      <c r="AF90" s="736"/>
      <c r="AI90" s="844"/>
    </row>
    <row r="91" spans="3:35" ht="13.7" customHeight="1" x14ac:dyDescent="0.2">
      <c r="C91" s="655">
        <v>2025</v>
      </c>
      <c r="D91" s="655" t="s">
        <v>522</v>
      </c>
      <c r="F91" s="678"/>
      <c r="G91" s="678"/>
      <c r="H91" s="678"/>
      <c r="I91" s="665">
        <f>SUM(F91:G91)</f>
        <v>0</v>
      </c>
      <c r="K91" s="667">
        <v>0.16</v>
      </c>
      <c r="L91" s="667">
        <v>0.8</v>
      </c>
      <c r="M91" s="667"/>
      <c r="O91" s="665">
        <f>ROUND(F91*K91,0)</f>
        <v>0</v>
      </c>
      <c r="P91" s="665">
        <f>ROUND(G91*L91,0)</f>
        <v>0</v>
      </c>
      <c r="Q91" s="665"/>
      <c r="R91" s="665">
        <f>SUM(O91:P91)</f>
        <v>0</v>
      </c>
      <c r="S91" s="665"/>
      <c r="Y91" s="765">
        <f>[1]TRFOS25!N59</f>
        <v>68385</v>
      </c>
      <c r="Z91" s="863">
        <f>Z89</f>
        <v>1.1685346150887039E-3</v>
      </c>
      <c r="AA91" s="864">
        <f>Z91*Y91</f>
        <v>79.910239652841014</v>
      </c>
      <c r="AB91" s="848"/>
      <c r="AC91" s="782">
        <f>ROUND(R91+AA91,0)</f>
        <v>80</v>
      </c>
      <c r="AD91" s="672"/>
      <c r="AE91" s="767" t="s">
        <v>542</v>
      </c>
      <c r="AF91" s="736"/>
      <c r="AI91" s="844"/>
    </row>
    <row r="92" spans="3:35" ht="3" customHeight="1" x14ac:dyDescent="0.2">
      <c r="C92" s="651"/>
      <c r="D92" s="651"/>
      <c r="E92" s="658"/>
      <c r="F92" s="774"/>
      <c r="G92" s="774"/>
      <c r="H92" s="774"/>
      <c r="I92" s="774"/>
      <c r="J92" s="658"/>
      <c r="K92" s="868"/>
      <c r="L92" s="868"/>
      <c r="M92" s="868"/>
      <c r="N92" s="658"/>
      <c r="O92" s="774"/>
      <c r="P92" s="774"/>
      <c r="Q92" s="774"/>
      <c r="R92" s="774"/>
      <c r="S92" s="774"/>
      <c r="T92" s="658"/>
      <c r="U92" s="658"/>
      <c r="V92" s="658"/>
      <c r="W92" s="658"/>
      <c r="X92" s="658"/>
      <c r="Y92" s="774"/>
      <c r="Z92" s="869"/>
      <c r="AA92" s="870"/>
      <c r="AB92" s="777"/>
      <c r="AC92" s="870"/>
      <c r="AE92" s="634"/>
    </row>
    <row r="93" spans="3:35" ht="3" customHeight="1" x14ac:dyDescent="0.2">
      <c r="F93" s="665"/>
      <c r="G93" s="665"/>
      <c r="H93" s="665"/>
      <c r="I93" s="665"/>
      <c r="O93" s="665"/>
      <c r="P93" s="665"/>
      <c r="Q93" s="665"/>
      <c r="R93" s="665"/>
      <c r="S93" s="665"/>
      <c r="Y93" s="665"/>
      <c r="AA93" s="782"/>
      <c r="AB93" s="11"/>
      <c r="AC93" s="782"/>
      <c r="AE93" s="634"/>
    </row>
    <row r="94" spans="3:35" x14ac:dyDescent="0.2">
      <c r="C94" s="655">
        <v>2000</v>
      </c>
      <c r="D94" s="655" t="s">
        <v>543</v>
      </c>
      <c r="F94" s="665">
        <f>F39+F66+F10</f>
        <v>763.63636363636363</v>
      </c>
      <c r="G94" s="665">
        <f t="shared" ref="G94:G117" si="35">G39+G66</f>
        <v>1620</v>
      </c>
      <c r="H94" s="665"/>
      <c r="I94" s="665">
        <f t="shared" ref="I94:I119" si="36">I39+I66</f>
        <v>2383.6363636363635</v>
      </c>
      <c r="K94" s="667">
        <v>0.16</v>
      </c>
      <c r="L94" s="667">
        <v>0.8</v>
      </c>
      <c r="M94" s="667"/>
      <c r="O94" s="665">
        <f t="shared" ref="O94:P109" si="37">O39+O66</f>
        <v>122</v>
      </c>
      <c r="P94" s="665">
        <f t="shared" si="37"/>
        <v>1296</v>
      </c>
      <c r="Q94" s="665"/>
      <c r="R94" s="665">
        <f t="shared" ref="R94:R119" si="38">R39+R66</f>
        <v>1418</v>
      </c>
      <c r="S94" s="665"/>
      <c r="U94" s="665">
        <f t="shared" ref="U94:V109" si="39">U39+O66</f>
        <v>157</v>
      </c>
      <c r="V94" s="665">
        <f t="shared" si="39"/>
        <v>1669</v>
      </c>
      <c r="W94" s="665">
        <f>W39+W66</f>
        <v>1826</v>
      </c>
      <c r="Y94" s="665"/>
      <c r="Z94" s="669"/>
      <c r="AA94" s="782"/>
      <c r="AB94" s="11"/>
      <c r="AC94" s="671">
        <f>ROUND(W94+AA94,0)</f>
        <v>1826</v>
      </c>
      <c r="AD94" s="672">
        <v>1826</v>
      </c>
      <c r="AE94" s="634"/>
      <c r="AH94" s="871">
        <v>701</v>
      </c>
    </row>
    <row r="95" spans="3:35" x14ac:dyDescent="0.2">
      <c r="C95" s="655">
        <v>2001</v>
      </c>
      <c r="D95" s="655" t="s">
        <v>344</v>
      </c>
      <c r="F95" s="665">
        <f t="shared" ref="F95:G118" si="40">F40+F67</f>
        <v>2427</v>
      </c>
      <c r="G95" s="665">
        <f t="shared" si="35"/>
        <v>569</v>
      </c>
      <c r="H95" s="665"/>
      <c r="I95" s="665">
        <f t="shared" si="36"/>
        <v>2996</v>
      </c>
      <c r="K95" s="667">
        <v>0.16</v>
      </c>
      <c r="L95" s="667">
        <v>0.8</v>
      </c>
      <c r="M95" s="667"/>
      <c r="O95" s="665">
        <f t="shared" si="37"/>
        <v>388</v>
      </c>
      <c r="P95" s="665">
        <f t="shared" si="37"/>
        <v>455</v>
      </c>
      <c r="Q95" s="665"/>
      <c r="R95" s="665">
        <f t="shared" si="38"/>
        <v>843</v>
      </c>
      <c r="S95" s="665"/>
      <c r="U95" s="665">
        <f t="shared" si="39"/>
        <v>427</v>
      </c>
      <c r="V95" s="665">
        <f t="shared" si="39"/>
        <v>501</v>
      </c>
      <c r="W95" s="665">
        <f>W40+W67</f>
        <v>928</v>
      </c>
      <c r="Y95" s="665"/>
      <c r="Z95" s="669"/>
      <c r="AA95" s="782"/>
      <c r="AB95" s="11"/>
      <c r="AC95" s="671">
        <f t="shared" ref="AC95:AC113" si="41">ROUND(W95+AA95,0)</f>
        <v>928</v>
      </c>
      <c r="AD95" s="672">
        <v>928</v>
      </c>
      <c r="AE95" s="634"/>
      <c r="AH95" s="872">
        <v>911</v>
      </c>
    </row>
    <row r="96" spans="3:35" x14ac:dyDescent="0.2">
      <c r="C96" s="655">
        <v>2002</v>
      </c>
      <c r="D96" s="655" t="s">
        <v>344</v>
      </c>
      <c r="F96" s="665">
        <f t="shared" si="40"/>
        <v>562</v>
      </c>
      <c r="G96" s="665">
        <f t="shared" si="35"/>
        <v>3761</v>
      </c>
      <c r="H96" s="665"/>
      <c r="I96" s="665">
        <f t="shared" si="36"/>
        <v>4323</v>
      </c>
      <c r="K96" s="667">
        <v>0.16</v>
      </c>
      <c r="L96" s="667">
        <v>0.8</v>
      </c>
      <c r="M96" s="667"/>
      <c r="O96" s="665">
        <f t="shared" si="37"/>
        <v>90</v>
      </c>
      <c r="P96" s="665">
        <f t="shared" si="37"/>
        <v>3009</v>
      </c>
      <c r="Q96" s="665"/>
      <c r="R96" s="665">
        <f t="shared" si="38"/>
        <v>3099</v>
      </c>
      <c r="S96" s="665"/>
      <c r="U96" s="665">
        <f t="shared" si="39"/>
        <v>102</v>
      </c>
      <c r="V96" s="665">
        <f t="shared" si="39"/>
        <v>3778</v>
      </c>
      <c r="W96" s="665">
        <f>W41+R68</f>
        <v>3880</v>
      </c>
      <c r="Y96" s="665">
        <f t="shared" ref="Y96:Y119" si="42">Y41+Y68</f>
        <v>103038</v>
      </c>
      <c r="Z96" s="669">
        <f t="shared" ref="Z96:Z119" si="43">Z68</f>
        <v>2.0380830373260352E-2</v>
      </c>
      <c r="AA96" s="782">
        <f t="shared" ref="AA96:AA119" si="44">AA41+AA68</f>
        <v>2100</v>
      </c>
      <c r="AB96" s="11"/>
      <c r="AC96" s="671">
        <f t="shared" si="41"/>
        <v>5980</v>
      </c>
      <c r="AD96" s="672">
        <v>5980</v>
      </c>
      <c r="AE96" s="634" t="s">
        <v>544</v>
      </c>
      <c r="AH96" s="872">
        <v>3170</v>
      </c>
    </row>
    <row r="97" spans="3:34" x14ac:dyDescent="0.2">
      <c r="C97" s="655">
        <v>2003</v>
      </c>
      <c r="D97" s="655" t="s">
        <v>344</v>
      </c>
      <c r="F97" s="665">
        <f t="shared" si="40"/>
        <v>435</v>
      </c>
      <c r="G97" s="665">
        <f t="shared" si="35"/>
        <v>3643</v>
      </c>
      <c r="H97" s="665"/>
      <c r="I97" s="665">
        <f t="shared" si="36"/>
        <v>4078</v>
      </c>
      <c r="K97" s="667">
        <v>0.16</v>
      </c>
      <c r="L97" s="667">
        <v>0.8</v>
      </c>
      <c r="M97" s="667"/>
      <c r="O97" s="665">
        <f t="shared" si="37"/>
        <v>70</v>
      </c>
      <c r="P97" s="665">
        <f t="shared" si="37"/>
        <v>2914</v>
      </c>
      <c r="Q97" s="665"/>
      <c r="R97" s="665">
        <f t="shared" si="38"/>
        <v>2984</v>
      </c>
      <c r="S97" s="665"/>
      <c r="U97" s="665">
        <f t="shared" si="39"/>
        <v>84</v>
      </c>
      <c r="V97" s="665">
        <f t="shared" si="39"/>
        <v>3501</v>
      </c>
      <c r="W97" s="665">
        <f t="shared" ref="W97:W119" si="45">W42+W69</f>
        <v>3585</v>
      </c>
      <c r="Y97" s="665">
        <f t="shared" si="42"/>
        <v>137357</v>
      </c>
      <c r="Z97" s="669">
        <f t="shared" si="43"/>
        <v>1.8135224269604025E-2</v>
      </c>
      <c r="AA97" s="782">
        <f t="shared" si="44"/>
        <v>2491</v>
      </c>
      <c r="AB97" s="11"/>
      <c r="AC97" s="671">
        <f t="shared" si="41"/>
        <v>6076</v>
      </c>
      <c r="AD97" s="672">
        <v>6076</v>
      </c>
      <c r="AE97" s="634" t="s">
        <v>544</v>
      </c>
      <c r="AH97" s="872">
        <v>4091</v>
      </c>
    </row>
    <row r="98" spans="3:34" x14ac:dyDescent="0.2">
      <c r="C98" s="655">
        <v>2004</v>
      </c>
      <c r="D98" s="655" t="s">
        <v>344</v>
      </c>
      <c r="F98" s="665">
        <f t="shared" si="40"/>
        <v>521</v>
      </c>
      <c r="G98" s="665">
        <f t="shared" si="35"/>
        <v>5549</v>
      </c>
      <c r="H98" s="665"/>
      <c r="I98" s="665">
        <f t="shared" si="36"/>
        <v>6070</v>
      </c>
      <c r="K98" s="667">
        <v>0.16</v>
      </c>
      <c r="L98" s="667">
        <v>0.8</v>
      </c>
      <c r="M98" s="667"/>
      <c r="O98" s="665">
        <f t="shared" si="37"/>
        <v>83</v>
      </c>
      <c r="P98" s="665">
        <f t="shared" si="37"/>
        <v>4439</v>
      </c>
      <c r="Q98" s="665"/>
      <c r="R98" s="665">
        <f t="shared" si="38"/>
        <v>4522</v>
      </c>
      <c r="S98" s="665"/>
      <c r="U98" s="665">
        <f t="shared" si="39"/>
        <v>115</v>
      </c>
      <c r="V98" s="665">
        <f t="shared" si="39"/>
        <v>6155</v>
      </c>
      <c r="W98" s="665">
        <f t="shared" si="45"/>
        <v>6270</v>
      </c>
      <c r="Y98" s="665">
        <f t="shared" si="42"/>
        <v>167508</v>
      </c>
      <c r="Z98" s="669">
        <f t="shared" si="43"/>
        <v>2.5013730687489552E-3</v>
      </c>
      <c r="AA98" s="782">
        <f t="shared" si="44"/>
        <v>419</v>
      </c>
      <c r="AB98" s="11"/>
      <c r="AC98" s="671">
        <f t="shared" si="41"/>
        <v>6689</v>
      </c>
      <c r="AD98" s="672">
        <v>6689</v>
      </c>
      <c r="AE98" s="634"/>
      <c r="AH98" s="873">
        <v>3011</v>
      </c>
    </row>
    <row r="99" spans="3:34" x14ac:dyDescent="0.2">
      <c r="C99" s="655">
        <v>2005</v>
      </c>
      <c r="D99" s="655" t="s">
        <v>344</v>
      </c>
      <c r="F99" s="665">
        <f t="shared" si="40"/>
        <v>445</v>
      </c>
      <c r="G99" s="665">
        <f t="shared" si="35"/>
        <v>3268</v>
      </c>
      <c r="H99" s="665"/>
      <c r="I99" s="665">
        <f t="shared" si="36"/>
        <v>3713</v>
      </c>
      <c r="K99" s="667">
        <v>0.16</v>
      </c>
      <c r="L99" s="667">
        <v>0.8</v>
      </c>
      <c r="M99" s="667"/>
      <c r="O99" s="665">
        <f t="shared" si="37"/>
        <v>71</v>
      </c>
      <c r="P99" s="665">
        <f t="shared" si="37"/>
        <v>2614</v>
      </c>
      <c r="Q99" s="665"/>
      <c r="R99" s="665">
        <f t="shared" si="38"/>
        <v>2685</v>
      </c>
      <c r="S99" s="665"/>
      <c r="U99" s="665">
        <f t="shared" si="39"/>
        <v>71</v>
      </c>
      <c r="V99" s="665">
        <f t="shared" si="39"/>
        <v>2614</v>
      </c>
      <c r="W99" s="665">
        <f t="shared" si="45"/>
        <v>2685</v>
      </c>
      <c r="Y99" s="665">
        <f t="shared" si="42"/>
        <v>174806</v>
      </c>
      <c r="Z99" s="669">
        <f t="shared" si="43"/>
        <v>2.4598697985195018E-3</v>
      </c>
      <c r="AA99" s="782">
        <f t="shared" si="44"/>
        <v>430</v>
      </c>
      <c r="AB99" s="11"/>
      <c r="AC99" s="671">
        <f t="shared" si="41"/>
        <v>3115</v>
      </c>
      <c r="AD99" s="672">
        <v>3115</v>
      </c>
      <c r="AE99" s="634"/>
    </row>
    <row r="100" spans="3:34" x14ac:dyDescent="0.2">
      <c r="C100" s="655">
        <v>2006</v>
      </c>
      <c r="D100" s="655" t="s">
        <v>344</v>
      </c>
      <c r="F100" s="665">
        <f t="shared" si="40"/>
        <v>1515</v>
      </c>
      <c r="G100" s="665">
        <f t="shared" si="35"/>
        <v>4768</v>
      </c>
      <c r="H100" s="665"/>
      <c r="I100" s="665">
        <f t="shared" si="36"/>
        <v>6283</v>
      </c>
      <c r="K100" s="667">
        <v>0.16</v>
      </c>
      <c r="L100" s="667">
        <v>0.8</v>
      </c>
      <c r="M100" s="667"/>
      <c r="O100" s="665">
        <f t="shared" si="37"/>
        <v>242</v>
      </c>
      <c r="P100" s="665">
        <f t="shared" si="37"/>
        <v>3814</v>
      </c>
      <c r="Q100" s="665"/>
      <c r="R100" s="665">
        <f t="shared" si="38"/>
        <v>4056</v>
      </c>
      <c r="S100" s="665"/>
      <c r="U100" s="665">
        <f t="shared" si="39"/>
        <v>193</v>
      </c>
      <c r="V100" s="665">
        <f t="shared" si="39"/>
        <v>3047</v>
      </c>
      <c r="W100" s="665">
        <f t="shared" si="45"/>
        <v>3240</v>
      </c>
      <c r="Y100" s="665">
        <f t="shared" si="42"/>
        <v>151485</v>
      </c>
      <c r="Z100" s="669">
        <f t="shared" si="43"/>
        <v>8.4034722909859059E-3</v>
      </c>
      <c r="AA100" s="782">
        <f t="shared" si="44"/>
        <v>1273</v>
      </c>
      <c r="AB100" s="11"/>
      <c r="AC100" s="671">
        <f t="shared" si="41"/>
        <v>4513</v>
      </c>
      <c r="AD100" s="672">
        <v>4513</v>
      </c>
      <c r="AE100" s="634"/>
    </row>
    <row r="101" spans="3:34" x14ac:dyDescent="0.2">
      <c r="C101" s="655">
        <v>2007</v>
      </c>
      <c r="D101" s="655" t="s">
        <v>344</v>
      </c>
      <c r="F101" s="665">
        <f t="shared" si="40"/>
        <v>740</v>
      </c>
      <c r="G101" s="665">
        <f t="shared" si="35"/>
        <v>3414</v>
      </c>
      <c r="H101" s="665"/>
      <c r="I101" s="665">
        <f t="shared" si="36"/>
        <v>4154</v>
      </c>
      <c r="K101" s="667">
        <v>0.16</v>
      </c>
      <c r="L101" s="667">
        <v>0.8</v>
      </c>
      <c r="M101" s="667"/>
      <c r="O101" s="665">
        <f t="shared" si="37"/>
        <v>118</v>
      </c>
      <c r="P101" s="665">
        <f t="shared" si="37"/>
        <v>2731</v>
      </c>
      <c r="Q101" s="665"/>
      <c r="R101" s="665">
        <f t="shared" si="38"/>
        <v>2849</v>
      </c>
      <c r="S101" s="665"/>
      <c r="U101" s="665">
        <f t="shared" si="39"/>
        <v>143</v>
      </c>
      <c r="V101" s="665">
        <f t="shared" si="39"/>
        <v>3300</v>
      </c>
      <c r="W101" s="665">
        <f t="shared" si="45"/>
        <v>3443</v>
      </c>
      <c r="Y101" s="665">
        <f t="shared" si="42"/>
        <v>83235</v>
      </c>
      <c r="Z101" s="669">
        <f t="shared" si="43"/>
        <v>7.0643359163813299E-3</v>
      </c>
      <c r="AA101" s="782">
        <f t="shared" si="44"/>
        <v>588</v>
      </c>
      <c r="AB101" s="11"/>
      <c r="AC101" s="671">
        <f t="shared" si="41"/>
        <v>4031</v>
      </c>
      <c r="AD101" s="672">
        <v>4031</v>
      </c>
      <c r="AE101" s="634"/>
    </row>
    <row r="102" spans="3:34" x14ac:dyDescent="0.2">
      <c r="C102" s="655">
        <v>2008</v>
      </c>
      <c r="D102" s="655" t="s">
        <v>344</v>
      </c>
      <c r="F102" s="665">
        <f t="shared" si="40"/>
        <v>23.778781038374717</v>
      </c>
      <c r="G102" s="665">
        <f t="shared" si="35"/>
        <v>434.22121896162525</v>
      </c>
      <c r="H102" s="665"/>
      <c r="I102" s="665">
        <f t="shared" si="36"/>
        <v>458</v>
      </c>
      <c r="K102" s="667">
        <v>0.16</v>
      </c>
      <c r="L102" s="667">
        <v>0.8</v>
      </c>
      <c r="M102" s="667"/>
      <c r="O102" s="665">
        <f t="shared" si="37"/>
        <v>4</v>
      </c>
      <c r="P102" s="665">
        <f t="shared" si="37"/>
        <v>347</v>
      </c>
      <c r="Q102" s="665"/>
      <c r="R102" s="665">
        <f t="shared" si="38"/>
        <v>351</v>
      </c>
      <c r="S102" s="665"/>
      <c r="U102" s="665">
        <f t="shared" si="39"/>
        <v>4</v>
      </c>
      <c r="V102" s="665">
        <f t="shared" si="39"/>
        <v>336</v>
      </c>
      <c r="W102" s="665">
        <f t="shared" si="45"/>
        <v>340</v>
      </c>
      <c r="Y102" s="665">
        <f t="shared" si="42"/>
        <v>52147</v>
      </c>
      <c r="Z102" s="669">
        <f t="shared" si="43"/>
        <v>8.6294513586591753E-4</v>
      </c>
      <c r="AA102" s="782">
        <f t="shared" si="44"/>
        <v>45</v>
      </c>
      <c r="AB102" s="11"/>
      <c r="AC102" s="671">
        <f t="shared" si="41"/>
        <v>385</v>
      </c>
      <c r="AD102" s="672">
        <v>385</v>
      </c>
      <c r="AE102" s="634"/>
    </row>
    <row r="103" spans="3:34" x14ac:dyDescent="0.2">
      <c r="C103" s="655">
        <v>2009</v>
      </c>
      <c r="D103" s="655" t="s">
        <v>344</v>
      </c>
      <c r="F103" s="665">
        <f t="shared" si="40"/>
        <v>368.91762894534253</v>
      </c>
      <c r="G103" s="665">
        <f t="shared" si="35"/>
        <v>1250.0823710546574</v>
      </c>
      <c r="H103" s="665"/>
      <c r="I103" s="665">
        <f t="shared" si="36"/>
        <v>1619</v>
      </c>
      <c r="K103" s="667">
        <v>0.16</v>
      </c>
      <c r="L103" s="667">
        <v>0.8</v>
      </c>
      <c r="M103" s="667"/>
      <c r="O103" s="665">
        <f t="shared" si="37"/>
        <v>59</v>
      </c>
      <c r="P103" s="665">
        <f t="shared" si="37"/>
        <v>1000</v>
      </c>
      <c r="Q103" s="665"/>
      <c r="R103" s="665">
        <f t="shared" si="38"/>
        <v>1059</v>
      </c>
      <c r="S103" s="665"/>
      <c r="U103" s="665">
        <f t="shared" si="39"/>
        <v>47</v>
      </c>
      <c r="V103" s="665">
        <f t="shared" si="39"/>
        <v>802</v>
      </c>
      <c r="W103" s="665">
        <f t="shared" si="45"/>
        <v>849</v>
      </c>
      <c r="Y103" s="665">
        <f t="shared" si="42"/>
        <v>75470</v>
      </c>
      <c r="Z103" s="669">
        <f t="shared" si="43"/>
        <v>3.6305816880879819E-3</v>
      </c>
      <c r="AA103" s="782">
        <f t="shared" si="44"/>
        <v>274</v>
      </c>
      <c r="AB103" s="11"/>
      <c r="AC103" s="671">
        <f t="shared" si="41"/>
        <v>1123</v>
      </c>
      <c r="AD103" s="672">
        <v>1123</v>
      </c>
      <c r="AE103" s="634"/>
    </row>
    <row r="104" spans="3:34" x14ac:dyDescent="0.2">
      <c r="C104" s="655">
        <v>2010</v>
      </c>
      <c r="D104" s="655" t="s">
        <v>344</v>
      </c>
      <c r="F104" s="665">
        <f t="shared" si="40"/>
        <v>3.0115273775216136</v>
      </c>
      <c r="G104" s="665">
        <f t="shared" si="35"/>
        <v>1041.9884726224784</v>
      </c>
      <c r="H104" s="665"/>
      <c r="I104" s="665">
        <f t="shared" si="36"/>
        <v>1045</v>
      </c>
      <c r="K104" s="667">
        <v>0.16</v>
      </c>
      <c r="L104" s="667">
        <v>0.8</v>
      </c>
      <c r="M104" s="667"/>
      <c r="O104" s="665">
        <f t="shared" si="37"/>
        <v>0</v>
      </c>
      <c r="P104" s="665">
        <f t="shared" si="37"/>
        <v>834</v>
      </c>
      <c r="Q104" s="665"/>
      <c r="R104" s="665">
        <f t="shared" si="38"/>
        <v>834</v>
      </c>
      <c r="S104" s="665"/>
      <c r="U104" s="665">
        <f t="shared" si="39"/>
        <v>0</v>
      </c>
      <c r="V104" s="665">
        <f t="shared" si="39"/>
        <v>554</v>
      </c>
      <c r="W104" s="665">
        <f t="shared" si="45"/>
        <v>554</v>
      </c>
      <c r="Y104" s="665">
        <f t="shared" si="42"/>
        <v>90213</v>
      </c>
      <c r="Z104" s="669">
        <f t="shared" si="43"/>
        <v>2.9707470098544555E-3</v>
      </c>
      <c r="AA104" s="782">
        <f t="shared" si="44"/>
        <v>268</v>
      </c>
      <c r="AB104" s="11"/>
      <c r="AC104" s="671">
        <f t="shared" si="41"/>
        <v>822</v>
      </c>
      <c r="AD104" s="672">
        <v>822</v>
      </c>
      <c r="AE104" s="634"/>
    </row>
    <row r="105" spans="3:34" x14ac:dyDescent="0.2">
      <c r="C105" s="655">
        <v>2011</v>
      </c>
      <c r="D105" s="655" t="s">
        <v>344</v>
      </c>
      <c r="F105" s="665">
        <f t="shared" si="40"/>
        <v>4.0739299610894939</v>
      </c>
      <c r="G105" s="665">
        <f t="shared" si="35"/>
        <v>1391.9260700389104</v>
      </c>
      <c r="H105" s="665"/>
      <c r="I105" s="665">
        <f t="shared" si="36"/>
        <v>1396</v>
      </c>
      <c r="K105" s="667">
        <v>0.16</v>
      </c>
      <c r="L105" s="667">
        <v>0.8</v>
      </c>
      <c r="M105" s="667"/>
      <c r="O105" s="665">
        <f t="shared" si="37"/>
        <v>1</v>
      </c>
      <c r="P105" s="665">
        <f t="shared" si="37"/>
        <v>1114</v>
      </c>
      <c r="Q105" s="665"/>
      <c r="R105" s="665">
        <f t="shared" si="38"/>
        <v>1115</v>
      </c>
      <c r="S105" s="665"/>
      <c r="U105" s="665">
        <f t="shared" si="39"/>
        <v>1</v>
      </c>
      <c r="V105" s="665">
        <f t="shared" si="39"/>
        <v>820</v>
      </c>
      <c r="W105" s="665">
        <f t="shared" si="45"/>
        <v>821</v>
      </c>
      <c r="Y105" s="665">
        <f t="shared" si="42"/>
        <v>74660</v>
      </c>
      <c r="Z105" s="669">
        <f t="shared" si="43"/>
        <v>5.1299223144923656E-3</v>
      </c>
      <c r="AA105" s="782">
        <f t="shared" si="44"/>
        <v>383</v>
      </c>
      <c r="AB105" s="11"/>
      <c r="AC105" s="671">
        <f t="shared" si="41"/>
        <v>1204</v>
      </c>
      <c r="AD105" s="672">
        <v>1204</v>
      </c>
      <c r="AE105" s="634"/>
    </row>
    <row r="106" spans="3:34" x14ac:dyDescent="0.2">
      <c r="C106" s="655">
        <v>2012</v>
      </c>
      <c r="D106" s="655" t="s">
        <v>344</v>
      </c>
      <c r="F106" s="665">
        <f t="shared" si="40"/>
        <v>0</v>
      </c>
      <c r="G106" s="665">
        <f t="shared" si="35"/>
        <v>599.26944438604676</v>
      </c>
      <c r="H106" s="665"/>
      <c r="I106" s="665">
        <f t="shared" si="36"/>
        <v>599.26944438604676</v>
      </c>
      <c r="K106" s="667">
        <v>0.16</v>
      </c>
      <c r="L106" s="667">
        <v>0.8</v>
      </c>
      <c r="M106" s="667"/>
      <c r="O106" s="665">
        <f t="shared" si="37"/>
        <v>0</v>
      </c>
      <c r="P106" s="665">
        <f t="shared" si="37"/>
        <v>479</v>
      </c>
      <c r="Q106" s="665"/>
      <c r="R106" s="665">
        <f t="shared" si="38"/>
        <v>479</v>
      </c>
      <c r="S106" s="665"/>
      <c r="U106" s="665">
        <f t="shared" si="39"/>
        <v>0</v>
      </c>
      <c r="V106" s="665">
        <f t="shared" si="39"/>
        <v>372</v>
      </c>
      <c r="W106" s="665">
        <f t="shared" si="45"/>
        <v>372</v>
      </c>
      <c r="Y106" s="665">
        <f t="shared" si="42"/>
        <v>80256</v>
      </c>
      <c r="Z106" s="669">
        <f t="shared" si="43"/>
        <v>5.2581738437001597E-3</v>
      </c>
      <c r="AA106" s="782">
        <f t="shared" si="44"/>
        <v>422</v>
      </c>
      <c r="AB106" s="11"/>
      <c r="AC106" s="671">
        <f t="shared" si="41"/>
        <v>794</v>
      </c>
      <c r="AD106" s="672"/>
      <c r="AE106" s="634"/>
    </row>
    <row r="107" spans="3:34" x14ac:dyDescent="0.2">
      <c r="C107" s="655">
        <v>2013</v>
      </c>
      <c r="D107" s="655" t="s">
        <v>344</v>
      </c>
      <c r="F107" s="665">
        <f t="shared" si="40"/>
        <v>0</v>
      </c>
      <c r="G107" s="665">
        <f t="shared" si="35"/>
        <v>1451.8781174073965</v>
      </c>
      <c r="H107" s="665"/>
      <c r="I107" s="665">
        <f t="shared" si="36"/>
        <v>1451.8781174073965</v>
      </c>
      <c r="K107" s="667">
        <v>0.16</v>
      </c>
      <c r="L107" s="667">
        <v>0.8</v>
      </c>
      <c r="M107" s="667"/>
      <c r="O107" s="665">
        <f t="shared" si="37"/>
        <v>0</v>
      </c>
      <c r="P107" s="665">
        <f t="shared" si="37"/>
        <v>1162</v>
      </c>
      <c r="Q107" s="665"/>
      <c r="R107" s="665">
        <f t="shared" si="38"/>
        <v>1162</v>
      </c>
      <c r="S107" s="665"/>
      <c r="U107" s="665">
        <f t="shared" si="39"/>
        <v>0</v>
      </c>
      <c r="V107" s="665">
        <f t="shared" si="39"/>
        <v>904</v>
      </c>
      <c r="W107" s="665">
        <f t="shared" si="45"/>
        <v>904</v>
      </c>
      <c r="Y107" s="665">
        <f t="shared" si="42"/>
        <v>69264</v>
      </c>
      <c r="Z107" s="669">
        <f t="shared" si="43"/>
        <v>2.5987525987525989E-3</v>
      </c>
      <c r="AA107" s="782">
        <f t="shared" si="44"/>
        <v>180</v>
      </c>
      <c r="AB107" s="11"/>
      <c r="AC107" s="671">
        <f t="shared" si="41"/>
        <v>1084</v>
      </c>
      <c r="AD107" s="672"/>
      <c r="AE107" s="634"/>
    </row>
    <row r="108" spans="3:34" x14ac:dyDescent="0.2">
      <c r="C108" s="655">
        <v>2014</v>
      </c>
      <c r="D108" s="655" t="s">
        <v>344</v>
      </c>
      <c r="F108" s="665">
        <f t="shared" si="40"/>
        <v>323</v>
      </c>
      <c r="G108" s="665">
        <f t="shared" si="35"/>
        <v>1886</v>
      </c>
      <c r="H108" s="665"/>
      <c r="I108" s="665">
        <f t="shared" si="36"/>
        <v>2209</v>
      </c>
      <c r="K108" s="667">
        <v>0.16</v>
      </c>
      <c r="L108" s="667">
        <v>0.8</v>
      </c>
      <c r="M108" s="667"/>
      <c r="O108" s="665">
        <f t="shared" si="37"/>
        <v>52</v>
      </c>
      <c r="P108" s="665">
        <f t="shared" si="37"/>
        <v>1509</v>
      </c>
      <c r="Q108" s="665"/>
      <c r="R108" s="665">
        <f t="shared" si="38"/>
        <v>1561</v>
      </c>
      <c r="S108" s="665"/>
      <c r="U108" s="665">
        <f t="shared" si="39"/>
        <v>52</v>
      </c>
      <c r="V108" s="665">
        <f t="shared" si="39"/>
        <v>1509</v>
      </c>
      <c r="W108" s="665">
        <f t="shared" si="45"/>
        <v>1561</v>
      </c>
      <c r="Y108" s="665">
        <f t="shared" si="42"/>
        <v>172001</v>
      </c>
      <c r="Z108" s="669">
        <f t="shared" si="43"/>
        <v>4.8836925366712984E-4</v>
      </c>
      <c r="AA108" s="782">
        <f t="shared" si="44"/>
        <v>84</v>
      </c>
      <c r="AB108" s="11"/>
      <c r="AC108" s="671">
        <f t="shared" si="41"/>
        <v>1645</v>
      </c>
      <c r="AD108" s="672"/>
      <c r="AE108" s="634"/>
    </row>
    <row r="109" spans="3:34" x14ac:dyDescent="0.2">
      <c r="C109" s="655">
        <v>2015</v>
      </c>
      <c r="D109" s="655" t="s">
        <v>344</v>
      </c>
      <c r="F109" s="665">
        <f t="shared" si="40"/>
        <v>91</v>
      </c>
      <c r="G109" s="665">
        <f t="shared" si="35"/>
        <v>1701</v>
      </c>
      <c r="H109" s="665"/>
      <c r="I109" s="665">
        <f t="shared" si="36"/>
        <v>1792</v>
      </c>
      <c r="K109" s="667">
        <v>0.16</v>
      </c>
      <c r="L109" s="667">
        <v>0.8</v>
      </c>
      <c r="M109" s="667"/>
      <c r="O109" s="665">
        <f t="shared" si="37"/>
        <v>15</v>
      </c>
      <c r="P109" s="665">
        <f t="shared" si="37"/>
        <v>1361</v>
      </c>
      <c r="Q109" s="665"/>
      <c r="R109" s="665">
        <f t="shared" si="38"/>
        <v>1376</v>
      </c>
      <c r="S109" s="665"/>
      <c r="U109" s="665">
        <f t="shared" si="39"/>
        <v>15</v>
      </c>
      <c r="V109" s="665">
        <f t="shared" si="39"/>
        <v>1361</v>
      </c>
      <c r="W109" s="665">
        <f t="shared" si="45"/>
        <v>1376</v>
      </c>
      <c r="Y109" s="665">
        <f t="shared" si="42"/>
        <v>106703</v>
      </c>
      <c r="Z109" s="669">
        <f t="shared" si="43"/>
        <v>3.9736464766688849E-3</v>
      </c>
      <c r="AA109" s="782">
        <f t="shared" si="44"/>
        <v>424</v>
      </c>
      <c r="AB109" s="11"/>
      <c r="AC109" s="671">
        <f t="shared" si="41"/>
        <v>1800</v>
      </c>
      <c r="AD109" s="672"/>
      <c r="AE109" s="634"/>
    </row>
    <row r="110" spans="3:34" x14ac:dyDescent="0.2">
      <c r="C110" s="655">
        <v>2016</v>
      </c>
      <c r="D110" s="655" t="s">
        <v>344</v>
      </c>
      <c r="F110" s="665">
        <f t="shared" si="40"/>
        <v>9</v>
      </c>
      <c r="G110" s="665">
        <f t="shared" si="35"/>
        <v>821</v>
      </c>
      <c r="H110" s="665"/>
      <c r="I110" s="665">
        <f t="shared" si="36"/>
        <v>830</v>
      </c>
      <c r="K110" s="667">
        <v>0.16</v>
      </c>
      <c r="L110" s="667">
        <v>0.8</v>
      </c>
      <c r="M110" s="667"/>
      <c r="O110" s="665">
        <f t="shared" ref="O110:P119" si="46">O55+O82</f>
        <v>1</v>
      </c>
      <c r="P110" s="665">
        <f t="shared" si="46"/>
        <v>657</v>
      </c>
      <c r="Q110" s="665"/>
      <c r="R110" s="665">
        <f t="shared" si="38"/>
        <v>658</v>
      </c>
      <c r="S110" s="665"/>
      <c r="U110" s="665">
        <f t="shared" ref="U110:V119" si="47">U55+O82</f>
        <v>1</v>
      </c>
      <c r="V110" s="665">
        <f t="shared" si="47"/>
        <v>657</v>
      </c>
      <c r="W110" s="665">
        <f t="shared" si="45"/>
        <v>658</v>
      </c>
      <c r="Y110" s="665">
        <f t="shared" si="42"/>
        <v>147381</v>
      </c>
      <c r="Z110" s="669">
        <f t="shared" si="43"/>
        <v>5.4959594520324873E-4</v>
      </c>
      <c r="AA110" s="782">
        <f t="shared" si="44"/>
        <v>81</v>
      </c>
      <c r="AB110" s="11"/>
      <c r="AC110" s="671">
        <f t="shared" si="41"/>
        <v>739</v>
      </c>
      <c r="AD110" s="672"/>
      <c r="AE110" s="634"/>
    </row>
    <row r="111" spans="3:34" x14ac:dyDescent="0.2">
      <c r="C111" s="655">
        <v>2017</v>
      </c>
      <c r="D111" s="655" t="s">
        <v>344</v>
      </c>
      <c r="F111" s="665">
        <f t="shared" si="40"/>
        <v>12</v>
      </c>
      <c r="G111" s="665">
        <f t="shared" si="35"/>
        <v>1245</v>
      </c>
      <c r="H111" s="665"/>
      <c r="I111" s="665">
        <f t="shared" si="36"/>
        <v>1257</v>
      </c>
      <c r="K111" s="667">
        <v>0.16</v>
      </c>
      <c r="L111" s="667">
        <v>0.8</v>
      </c>
      <c r="M111" s="667"/>
      <c r="O111" s="665">
        <f t="shared" si="46"/>
        <v>2</v>
      </c>
      <c r="P111" s="665">
        <f t="shared" si="46"/>
        <v>996</v>
      </c>
      <c r="Q111" s="665"/>
      <c r="R111" s="665">
        <f t="shared" si="38"/>
        <v>998</v>
      </c>
      <c r="S111" s="665"/>
      <c r="U111" s="665">
        <f t="shared" si="47"/>
        <v>2</v>
      </c>
      <c r="V111" s="665">
        <f t="shared" si="47"/>
        <v>996</v>
      </c>
      <c r="W111" s="665">
        <f t="shared" si="45"/>
        <v>998</v>
      </c>
      <c r="Y111" s="665">
        <f t="shared" si="42"/>
        <v>97730</v>
      </c>
      <c r="Z111" s="669">
        <f t="shared" si="43"/>
        <v>5.0000000000000001E-4</v>
      </c>
      <c r="AA111" s="782">
        <f t="shared" si="44"/>
        <v>48.865000000000002</v>
      </c>
      <c r="AB111" s="11"/>
      <c r="AC111" s="671">
        <f t="shared" si="41"/>
        <v>1047</v>
      </c>
      <c r="AD111" s="672"/>
      <c r="AE111" s="634"/>
    </row>
    <row r="112" spans="3:34" x14ac:dyDescent="0.2">
      <c r="C112" s="655">
        <v>2018</v>
      </c>
      <c r="D112" s="655" t="s">
        <v>344</v>
      </c>
      <c r="F112" s="665">
        <f t="shared" si="40"/>
        <v>0</v>
      </c>
      <c r="G112" s="665">
        <f t="shared" si="35"/>
        <v>0</v>
      </c>
      <c r="H112" s="665"/>
      <c r="I112" s="665">
        <f t="shared" si="36"/>
        <v>0</v>
      </c>
      <c r="K112" s="667">
        <v>0.16</v>
      </c>
      <c r="L112" s="667">
        <v>0.8</v>
      </c>
      <c r="M112" s="667"/>
      <c r="O112" s="665">
        <f t="shared" si="46"/>
        <v>0</v>
      </c>
      <c r="P112" s="665">
        <f t="shared" si="46"/>
        <v>0</v>
      </c>
      <c r="Q112" s="665"/>
      <c r="R112" s="665">
        <f t="shared" si="38"/>
        <v>0</v>
      </c>
      <c r="S112" s="665"/>
      <c r="U112" s="665">
        <f t="shared" si="47"/>
        <v>0</v>
      </c>
      <c r="V112" s="665">
        <f t="shared" si="47"/>
        <v>0</v>
      </c>
      <c r="W112" s="665">
        <f t="shared" si="45"/>
        <v>0</v>
      </c>
      <c r="Y112" s="665">
        <f t="shared" si="42"/>
        <v>70276</v>
      </c>
      <c r="Z112" s="669">
        <f t="shared" si="43"/>
        <v>2.0899999999999998E-3</v>
      </c>
      <c r="AA112" s="782">
        <f t="shared" si="44"/>
        <v>146.87683999999999</v>
      </c>
      <c r="AB112" s="11"/>
      <c r="AC112" s="671">
        <f t="shared" si="41"/>
        <v>147</v>
      </c>
      <c r="AD112" s="672"/>
      <c r="AE112" s="634"/>
    </row>
    <row r="113" spans="1:31" x14ac:dyDescent="0.2">
      <c r="C113" s="655">
        <v>2019</v>
      </c>
      <c r="D113" s="655" t="s">
        <v>344</v>
      </c>
      <c r="F113" s="665">
        <f t="shared" si="40"/>
        <v>0</v>
      </c>
      <c r="G113" s="665">
        <f t="shared" si="35"/>
        <v>0</v>
      </c>
      <c r="H113" s="665"/>
      <c r="I113" s="665">
        <f t="shared" si="36"/>
        <v>0</v>
      </c>
      <c r="K113" s="667">
        <v>0.16</v>
      </c>
      <c r="L113" s="667">
        <v>0.8</v>
      </c>
      <c r="M113" s="667"/>
      <c r="O113" s="665">
        <f t="shared" si="46"/>
        <v>0</v>
      </c>
      <c r="P113" s="665">
        <f t="shared" si="46"/>
        <v>0</v>
      </c>
      <c r="Q113" s="665"/>
      <c r="R113" s="665">
        <f t="shared" si="38"/>
        <v>0</v>
      </c>
      <c r="S113" s="665"/>
      <c r="U113" s="665">
        <f t="shared" si="47"/>
        <v>0</v>
      </c>
      <c r="V113" s="665">
        <f t="shared" si="47"/>
        <v>0</v>
      </c>
      <c r="W113" s="665">
        <f t="shared" si="45"/>
        <v>0</v>
      </c>
      <c r="Y113" s="665">
        <f t="shared" si="42"/>
        <v>42801</v>
      </c>
      <c r="Z113" s="669">
        <f t="shared" si="43"/>
        <v>0</v>
      </c>
      <c r="AA113" s="782">
        <f t="shared" si="44"/>
        <v>0</v>
      </c>
      <c r="AB113" s="11"/>
      <c r="AC113" s="671">
        <f t="shared" si="41"/>
        <v>0</v>
      </c>
      <c r="AD113" s="672"/>
      <c r="AE113" s="634"/>
    </row>
    <row r="114" spans="1:31" x14ac:dyDescent="0.2">
      <c r="C114" s="655">
        <v>2020</v>
      </c>
      <c r="D114" s="655" t="s">
        <v>344</v>
      </c>
      <c r="F114" s="665">
        <f t="shared" si="40"/>
        <v>0</v>
      </c>
      <c r="G114" s="665">
        <f t="shared" si="35"/>
        <v>0</v>
      </c>
      <c r="H114" s="665"/>
      <c r="I114" s="665">
        <f t="shared" si="36"/>
        <v>0</v>
      </c>
      <c r="K114" s="667">
        <v>0.16</v>
      </c>
      <c r="L114" s="667">
        <v>0.8</v>
      </c>
      <c r="M114" s="667"/>
      <c r="O114" s="665">
        <f t="shared" si="46"/>
        <v>0</v>
      </c>
      <c r="P114" s="665">
        <f t="shared" si="46"/>
        <v>0</v>
      </c>
      <c r="Q114" s="665"/>
      <c r="R114" s="665">
        <f t="shared" si="38"/>
        <v>0</v>
      </c>
      <c r="S114" s="665"/>
      <c r="U114" s="665">
        <f t="shared" si="47"/>
        <v>0</v>
      </c>
      <c r="V114" s="665">
        <f t="shared" si="47"/>
        <v>0</v>
      </c>
      <c r="W114" s="665">
        <f t="shared" si="45"/>
        <v>0</v>
      </c>
      <c r="Y114" s="665">
        <f t="shared" si="42"/>
        <v>30096</v>
      </c>
      <c r="Z114" s="669">
        <f t="shared" si="43"/>
        <v>2.0268474215842636E-3</v>
      </c>
      <c r="AA114" s="782">
        <f t="shared" si="44"/>
        <v>61</v>
      </c>
      <c r="AB114" s="11"/>
      <c r="AC114" s="671">
        <f>ROUND(W114+AA114,0)</f>
        <v>61</v>
      </c>
      <c r="AD114" s="672"/>
      <c r="AE114" s="634"/>
    </row>
    <row r="115" spans="1:31" x14ac:dyDescent="0.2">
      <c r="C115" s="655">
        <v>2021</v>
      </c>
      <c r="D115" s="655" t="s">
        <v>344</v>
      </c>
      <c r="F115" s="665">
        <f t="shared" si="40"/>
        <v>0</v>
      </c>
      <c r="G115" s="665">
        <f t="shared" si="35"/>
        <v>0</v>
      </c>
      <c r="H115" s="665"/>
      <c r="I115" s="665">
        <f t="shared" si="36"/>
        <v>0</v>
      </c>
      <c r="K115" s="667">
        <v>0.16</v>
      </c>
      <c r="L115" s="667">
        <v>0.8</v>
      </c>
      <c r="M115" s="667"/>
      <c r="O115" s="665">
        <f t="shared" si="46"/>
        <v>0</v>
      </c>
      <c r="P115" s="665">
        <f t="shared" si="46"/>
        <v>0</v>
      </c>
      <c r="Q115" s="665"/>
      <c r="R115" s="665">
        <f t="shared" si="38"/>
        <v>0</v>
      </c>
      <c r="S115" s="665"/>
      <c r="U115" s="665">
        <f t="shared" si="47"/>
        <v>0</v>
      </c>
      <c r="V115" s="665">
        <f t="shared" si="47"/>
        <v>0</v>
      </c>
      <c r="W115" s="665">
        <f t="shared" si="45"/>
        <v>0</v>
      </c>
      <c r="Y115" s="665">
        <f t="shared" si="42"/>
        <v>64470</v>
      </c>
      <c r="Z115" s="669">
        <f t="shared" si="43"/>
        <v>3.1022180859314411E-4</v>
      </c>
      <c r="AA115" s="782">
        <f t="shared" si="44"/>
        <v>20</v>
      </c>
      <c r="AB115" s="11"/>
      <c r="AC115" s="671">
        <f>ROUND(W115+AA115,0)</f>
        <v>20</v>
      </c>
      <c r="AD115" s="672"/>
      <c r="AE115" s="634"/>
    </row>
    <row r="116" spans="1:31" x14ac:dyDescent="0.2">
      <c r="C116" s="655">
        <v>2022</v>
      </c>
      <c r="D116" s="655" t="s">
        <v>344</v>
      </c>
      <c r="F116" s="665">
        <f t="shared" si="40"/>
        <v>11.4</v>
      </c>
      <c r="G116" s="665">
        <f t="shared" si="35"/>
        <v>0</v>
      </c>
      <c r="H116" s="665"/>
      <c r="I116" s="665">
        <f t="shared" si="36"/>
        <v>91.350000000000009</v>
      </c>
      <c r="K116" s="667">
        <v>0.16</v>
      </c>
      <c r="L116" s="667">
        <v>0.8</v>
      </c>
      <c r="M116" s="667"/>
      <c r="O116" s="665">
        <f t="shared" si="46"/>
        <v>2</v>
      </c>
      <c r="P116" s="665">
        <f t="shared" si="46"/>
        <v>0</v>
      </c>
      <c r="Q116" s="665"/>
      <c r="R116" s="665">
        <f t="shared" si="38"/>
        <v>4</v>
      </c>
      <c r="S116" s="665"/>
      <c r="U116" s="665">
        <f t="shared" si="47"/>
        <v>4</v>
      </c>
      <c r="V116" s="665">
        <f t="shared" si="47"/>
        <v>0</v>
      </c>
      <c r="W116" s="665">
        <f t="shared" si="45"/>
        <v>4</v>
      </c>
      <c r="Y116" s="665">
        <f t="shared" si="42"/>
        <v>57479.000000000044</v>
      </c>
      <c r="Z116" s="669">
        <f t="shared" si="43"/>
        <v>1.1685346150887039E-3</v>
      </c>
      <c r="AA116" s="782">
        <f t="shared" si="44"/>
        <v>67.166201140683654</v>
      </c>
      <c r="AB116" s="11"/>
      <c r="AC116" s="671">
        <f>ROUND(W116+AA116,0)</f>
        <v>71</v>
      </c>
      <c r="AD116" s="672"/>
      <c r="AE116" s="634"/>
    </row>
    <row r="117" spans="1:31" x14ac:dyDescent="0.2">
      <c r="C117" s="655">
        <v>2023</v>
      </c>
      <c r="D117" s="655" t="s">
        <v>344</v>
      </c>
      <c r="F117" s="665">
        <f t="shared" si="40"/>
        <v>0</v>
      </c>
      <c r="G117" s="665">
        <f t="shared" si="35"/>
        <v>0</v>
      </c>
      <c r="H117" s="665"/>
      <c r="I117" s="665">
        <f t="shared" si="36"/>
        <v>0</v>
      </c>
      <c r="K117" s="667">
        <v>0.16</v>
      </c>
      <c r="L117" s="667">
        <v>0.8</v>
      </c>
      <c r="M117" s="667"/>
      <c r="O117" s="665">
        <f t="shared" si="46"/>
        <v>0</v>
      </c>
      <c r="P117" s="665">
        <f t="shared" si="46"/>
        <v>0</v>
      </c>
      <c r="Q117" s="665"/>
      <c r="R117" s="665">
        <f t="shared" si="38"/>
        <v>0</v>
      </c>
      <c r="S117" s="665"/>
      <c r="U117" s="665">
        <f t="shared" si="47"/>
        <v>0</v>
      </c>
      <c r="V117" s="665">
        <f t="shared" si="47"/>
        <v>0</v>
      </c>
      <c r="W117" s="665">
        <f t="shared" si="45"/>
        <v>0</v>
      </c>
      <c r="Y117" s="665">
        <f t="shared" si="42"/>
        <v>51777</v>
      </c>
      <c r="Z117" s="669">
        <f t="shared" si="43"/>
        <v>1.1685346150887039E-3</v>
      </c>
      <c r="AA117" s="782">
        <f t="shared" si="44"/>
        <v>60.503216765447817</v>
      </c>
      <c r="AB117" s="11"/>
      <c r="AC117" s="671">
        <f>ROUND(W117+AA117,0)</f>
        <v>61</v>
      </c>
      <c r="AD117" s="672"/>
      <c r="AE117" s="634"/>
    </row>
    <row r="118" spans="1:31" x14ac:dyDescent="0.2">
      <c r="C118" s="655">
        <v>2024</v>
      </c>
      <c r="D118" s="655" t="s">
        <v>344</v>
      </c>
      <c r="F118" s="665">
        <f t="shared" si="40"/>
        <v>0</v>
      </c>
      <c r="G118" s="665">
        <f t="shared" si="40"/>
        <v>0</v>
      </c>
      <c r="H118" s="665"/>
      <c r="I118" s="665">
        <f t="shared" si="36"/>
        <v>0</v>
      </c>
      <c r="K118" s="667">
        <v>0.16</v>
      </c>
      <c r="L118" s="667">
        <v>0.8</v>
      </c>
      <c r="M118" s="667"/>
      <c r="O118" s="665">
        <f t="shared" si="46"/>
        <v>0</v>
      </c>
      <c r="P118" s="665">
        <f t="shared" si="46"/>
        <v>0</v>
      </c>
      <c r="Q118" s="665"/>
      <c r="R118" s="665">
        <f t="shared" si="38"/>
        <v>0</v>
      </c>
      <c r="S118" s="665"/>
      <c r="U118" s="665">
        <f t="shared" si="47"/>
        <v>0</v>
      </c>
      <c r="V118" s="665">
        <f t="shared" si="47"/>
        <v>0</v>
      </c>
      <c r="W118" s="665">
        <f t="shared" si="45"/>
        <v>0</v>
      </c>
      <c r="Y118" s="665">
        <f t="shared" si="42"/>
        <v>76590</v>
      </c>
      <c r="Z118" s="669">
        <f t="shared" si="43"/>
        <v>1.1685346150887039E-3</v>
      </c>
      <c r="AA118" s="782">
        <f t="shared" si="44"/>
        <v>89.498066169643835</v>
      </c>
      <c r="AB118" s="11"/>
      <c r="AC118" s="671">
        <f t="shared" ref="AC118:AC119" si="48">ROUND(W118+AA118,0)</f>
        <v>89</v>
      </c>
      <c r="AD118" s="672"/>
      <c r="AE118" s="634"/>
    </row>
    <row r="119" spans="1:31" x14ac:dyDescent="0.2">
      <c r="C119" s="655">
        <f>C91</f>
        <v>2025</v>
      </c>
      <c r="D119" s="655" t="s">
        <v>344</v>
      </c>
      <c r="F119" s="665">
        <f t="shared" ref="F119:G119" si="49">F64+F91</f>
        <v>0</v>
      </c>
      <c r="G119" s="665">
        <f t="shared" si="49"/>
        <v>0</v>
      </c>
      <c r="H119" s="665"/>
      <c r="I119" s="665">
        <f t="shared" si="36"/>
        <v>0</v>
      </c>
      <c r="K119" s="667">
        <v>0.16</v>
      </c>
      <c r="L119" s="667">
        <v>0.8</v>
      </c>
      <c r="M119" s="667"/>
      <c r="O119" s="665">
        <f t="shared" si="46"/>
        <v>0</v>
      </c>
      <c r="P119" s="665">
        <f t="shared" si="46"/>
        <v>0</v>
      </c>
      <c r="Q119" s="665"/>
      <c r="R119" s="665">
        <f t="shared" si="38"/>
        <v>0</v>
      </c>
      <c r="S119" s="665"/>
      <c r="U119" s="665">
        <f t="shared" si="47"/>
        <v>0</v>
      </c>
      <c r="V119" s="665">
        <f t="shared" si="47"/>
        <v>0</v>
      </c>
      <c r="W119" s="665">
        <f t="shared" si="45"/>
        <v>0</v>
      </c>
      <c r="Y119" s="665">
        <f t="shared" si="42"/>
        <v>68385</v>
      </c>
      <c r="Z119" s="669">
        <f t="shared" si="43"/>
        <v>1.1685346150887039E-3</v>
      </c>
      <c r="AA119" s="782">
        <f t="shared" si="44"/>
        <v>79.910239652841014</v>
      </c>
      <c r="AB119" s="11"/>
      <c r="AC119" s="671">
        <f t="shared" si="48"/>
        <v>80</v>
      </c>
      <c r="AD119" s="672"/>
      <c r="AE119" s="634"/>
    </row>
    <row r="120" spans="1:31" x14ac:dyDescent="0.2">
      <c r="A120" s="658"/>
      <c r="B120" s="658"/>
      <c r="C120" s="651"/>
      <c r="D120" s="651"/>
      <c r="E120" s="658"/>
      <c r="F120" s="774"/>
      <c r="G120" s="774"/>
      <c r="H120" s="774"/>
      <c r="I120" s="774"/>
      <c r="J120" s="658"/>
      <c r="K120" s="660"/>
      <c r="L120" s="660"/>
      <c r="M120" s="660"/>
      <c r="N120" s="658"/>
      <c r="O120" s="774"/>
      <c r="P120" s="774"/>
      <c r="Q120" s="774"/>
      <c r="R120" s="774"/>
      <c r="S120" s="774"/>
      <c r="T120" s="658"/>
      <c r="U120" s="658"/>
      <c r="V120" s="658"/>
      <c r="W120" s="658"/>
      <c r="X120" s="658"/>
      <c r="Y120" s="774"/>
      <c r="Z120" s="660"/>
      <c r="AA120" s="870"/>
      <c r="AB120" s="777"/>
      <c r="AC120" s="870"/>
      <c r="AE120" s="634"/>
    </row>
    <row r="121" spans="1:31" ht="3" customHeight="1" x14ac:dyDescent="0.2">
      <c r="F121" s="665"/>
      <c r="G121" s="665"/>
      <c r="H121" s="665"/>
      <c r="I121" s="665"/>
      <c r="O121" s="665"/>
      <c r="P121" s="665"/>
      <c r="Q121" s="665"/>
      <c r="R121" s="665"/>
      <c r="S121" s="665"/>
      <c r="Y121" s="665"/>
      <c r="AA121" s="782"/>
      <c r="AB121" s="11"/>
      <c r="AC121" s="782"/>
      <c r="AE121" s="634"/>
    </row>
    <row r="122" spans="1:31" ht="15.75" x14ac:dyDescent="0.2">
      <c r="A122" s="874">
        <v>1</v>
      </c>
      <c r="B122" s="12" t="s">
        <v>545</v>
      </c>
      <c r="G122" s="875"/>
      <c r="H122" s="875"/>
      <c r="I122" s="875"/>
      <c r="J122" s="876"/>
      <c r="K122" s="877"/>
      <c r="L122" s="877"/>
      <c r="M122" s="877"/>
      <c r="N122" s="876"/>
      <c r="O122" s="875"/>
      <c r="P122" s="875"/>
      <c r="Q122" s="875"/>
      <c r="R122" s="875"/>
      <c r="S122" s="875"/>
      <c r="T122" s="876"/>
      <c r="U122" s="876"/>
      <c r="V122" s="876"/>
      <c r="W122" s="876"/>
      <c r="X122" s="876"/>
      <c r="Y122" s="875"/>
      <c r="Z122" s="877"/>
      <c r="AA122" s="875"/>
      <c r="AB122" s="876"/>
      <c r="AC122" s="875"/>
    </row>
    <row r="123" spans="1:31" ht="12.75" customHeight="1" x14ac:dyDescent="0.25">
      <c r="A123" s="878"/>
      <c r="B123" s="879" t="s">
        <v>546</v>
      </c>
      <c r="D123" s="880" t="s">
        <v>547</v>
      </c>
      <c r="G123" s="875"/>
      <c r="H123" s="875"/>
      <c r="I123" s="875"/>
      <c r="J123" s="876"/>
      <c r="K123" s="877"/>
      <c r="L123" s="877"/>
      <c r="M123" s="877"/>
      <c r="N123" s="876"/>
      <c r="O123" s="875"/>
      <c r="P123" s="875"/>
      <c r="Q123" s="875"/>
      <c r="R123" s="875"/>
      <c r="S123" s="875"/>
      <c r="T123" s="876"/>
      <c r="U123" s="876"/>
      <c r="V123" s="876"/>
      <c r="W123" s="876"/>
      <c r="X123" s="876"/>
      <c r="Y123" s="875"/>
      <c r="Z123" s="877"/>
      <c r="AA123" s="875"/>
      <c r="AB123" s="876"/>
      <c r="AC123" s="875"/>
    </row>
    <row r="124" spans="1:31" ht="12.75" customHeight="1" x14ac:dyDescent="0.25">
      <c r="A124" s="878"/>
      <c r="D124" s="876" t="s">
        <v>548</v>
      </c>
      <c r="G124" s="875"/>
      <c r="H124" s="875"/>
      <c r="I124" s="875"/>
      <c r="J124" s="876"/>
      <c r="K124" s="877"/>
      <c r="L124" s="877"/>
      <c r="M124" s="877"/>
      <c r="N124" s="876"/>
      <c r="O124" s="875"/>
      <c r="P124" s="875"/>
      <c r="Q124" s="875"/>
      <c r="R124" s="875"/>
      <c r="S124" s="875"/>
      <c r="T124" s="876"/>
      <c r="U124" s="876"/>
      <c r="V124" s="876"/>
      <c r="W124" s="876"/>
      <c r="X124" s="876"/>
      <c r="Y124" s="875"/>
      <c r="Z124" s="877"/>
      <c r="AA124" s="875"/>
      <c r="AB124" s="876"/>
      <c r="AC124" s="875"/>
    </row>
    <row r="125" spans="1:31" ht="12.75" customHeight="1" x14ac:dyDescent="0.2">
      <c r="B125" s="879" t="s">
        <v>549</v>
      </c>
      <c r="D125" s="880" t="s">
        <v>550</v>
      </c>
      <c r="G125" s="875"/>
      <c r="H125" s="875"/>
      <c r="I125" s="875"/>
      <c r="J125" s="876"/>
      <c r="K125" s="877"/>
      <c r="L125" s="877"/>
      <c r="M125" s="877"/>
      <c r="N125" s="876"/>
      <c r="O125" s="875"/>
      <c r="P125" s="875"/>
      <c r="Q125" s="875"/>
      <c r="R125" s="875"/>
      <c r="S125" s="875"/>
      <c r="T125" s="876"/>
      <c r="U125" s="876"/>
      <c r="V125" s="876"/>
      <c r="W125" s="876"/>
      <c r="X125" s="876"/>
      <c r="Y125" s="875"/>
      <c r="Z125" s="877"/>
      <c r="AA125" s="875"/>
      <c r="AB125" s="876"/>
      <c r="AC125" s="875"/>
    </row>
    <row r="126" spans="1:31" x14ac:dyDescent="0.2">
      <c r="B126" s="881" t="s">
        <v>551</v>
      </c>
      <c r="D126" s="880" t="s">
        <v>552</v>
      </c>
      <c r="G126" s="875"/>
      <c r="H126" s="875"/>
      <c r="I126" s="875"/>
      <c r="J126" s="876"/>
      <c r="K126" s="877"/>
      <c r="L126" s="877"/>
      <c r="M126" s="877"/>
      <c r="N126" s="876"/>
      <c r="O126" s="875"/>
      <c r="P126" s="875"/>
      <c r="Q126" s="875"/>
      <c r="R126" s="875"/>
      <c r="S126" s="875"/>
      <c r="T126" s="876"/>
      <c r="U126" s="876"/>
      <c r="V126" s="876"/>
      <c r="W126" s="876"/>
      <c r="X126" s="876"/>
      <c r="Y126" s="875"/>
      <c r="Z126" s="877"/>
      <c r="AA126" s="875"/>
      <c r="AB126" s="876"/>
      <c r="AC126" s="875"/>
    </row>
    <row r="127" spans="1:31" x14ac:dyDescent="0.2">
      <c r="B127" s="881" t="s">
        <v>553</v>
      </c>
      <c r="D127" s="880" t="s">
        <v>554</v>
      </c>
      <c r="G127" s="875"/>
      <c r="H127" s="875"/>
      <c r="I127" s="875"/>
      <c r="J127" s="876"/>
      <c r="K127" s="877"/>
      <c r="L127" s="877"/>
      <c r="M127" s="877"/>
      <c r="N127" s="876"/>
      <c r="O127" s="875"/>
      <c r="P127" s="875"/>
      <c r="Q127" s="875"/>
      <c r="R127" s="875"/>
      <c r="S127" s="875"/>
      <c r="T127" s="876"/>
      <c r="U127" s="876"/>
      <c r="V127" s="876"/>
      <c r="W127" s="876"/>
      <c r="X127" s="876"/>
      <c r="Y127" s="875"/>
      <c r="Z127" s="877"/>
      <c r="AA127" s="875"/>
      <c r="AB127" s="876"/>
      <c r="AC127" s="875"/>
    </row>
    <row r="128" spans="1:31" x14ac:dyDescent="0.2">
      <c r="B128" s="881" t="s">
        <v>555</v>
      </c>
      <c r="D128" s="880" t="s">
        <v>556</v>
      </c>
      <c r="G128" s="875"/>
      <c r="H128" s="875"/>
      <c r="I128" s="875"/>
      <c r="J128" s="876"/>
      <c r="K128" s="877"/>
      <c r="L128" s="877"/>
      <c r="M128" s="877"/>
      <c r="N128" s="876"/>
      <c r="O128" s="875"/>
      <c r="P128" s="875"/>
      <c r="Q128" s="875"/>
      <c r="R128" s="875"/>
      <c r="S128" s="875"/>
      <c r="T128" s="876"/>
      <c r="U128" s="876"/>
      <c r="V128" s="876"/>
      <c r="W128" s="876"/>
      <c r="X128" s="876"/>
      <c r="Y128" s="875"/>
      <c r="Z128" s="877"/>
      <c r="AA128" s="875"/>
      <c r="AB128" s="876"/>
      <c r="AC128" s="875"/>
    </row>
    <row r="129" spans="1:29" x14ac:dyDescent="0.2">
      <c r="B129" s="881" t="s">
        <v>557</v>
      </c>
      <c r="D129" s="880" t="s">
        <v>556</v>
      </c>
      <c r="G129" s="875"/>
      <c r="H129" s="875"/>
      <c r="I129" s="875"/>
      <c r="J129" s="876"/>
      <c r="K129" s="877"/>
      <c r="L129" s="877"/>
      <c r="M129" s="877"/>
      <c r="N129" s="876"/>
      <c r="O129" s="875"/>
      <c r="P129" s="875"/>
      <c r="Q129" s="875"/>
      <c r="R129" s="875"/>
      <c r="S129" s="875"/>
      <c r="T129" s="876"/>
      <c r="U129" s="876"/>
      <c r="V129" s="876"/>
      <c r="W129" s="876"/>
      <c r="X129" s="876"/>
      <c r="Y129" s="875"/>
      <c r="Z129" s="877"/>
      <c r="AA129" s="875"/>
      <c r="AB129" s="876"/>
      <c r="AC129" s="875"/>
    </row>
    <row r="130" spans="1:29" x14ac:dyDescent="0.2">
      <c r="B130" s="881" t="s">
        <v>558</v>
      </c>
      <c r="D130" s="880" t="s">
        <v>556</v>
      </c>
      <c r="G130" s="875"/>
      <c r="H130" s="875"/>
      <c r="I130" s="875"/>
      <c r="J130" s="876"/>
      <c r="K130" s="877"/>
      <c r="L130" s="877"/>
      <c r="M130" s="877"/>
      <c r="N130" s="876"/>
      <c r="O130" s="875"/>
      <c r="P130" s="875"/>
      <c r="Q130" s="875"/>
      <c r="R130" s="875"/>
      <c r="S130" s="875"/>
      <c r="T130" s="876"/>
      <c r="U130" s="876"/>
      <c r="V130" s="876"/>
      <c r="W130" s="876"/>
      <c r="X130" s="876"/>
      <c r="Y130" s="875"/>
      <c r="Z130" s="877"/>
      <c r="AA130" s="875"/>
      <c r="AB130" s="876"/>
      <c r="AC130" s="875"/>
    </row>
    <row r="131" spans="1:29" x14ac:dyDescent="0.2">
      <c r="B131" s="881" t="s">
        <v>559</v>
      </c>
      <c r="D131" s="880" t="s">
        <v>556</v>
      </c>
      <c r="G131" s="875"/>
      <c r="H131" s="875"/>
      <c r="I131" s="875"/>
      <c r="J131" s="876"/>
      <c r="K131" s="877"/>
      <c r="L131" s="877"/>
      <c r="M131" s="877"/>
      <c r="N131" s="876"/>
      <c r="O131" s="875"/>
      <c r="P131" s="875"/>
      <c r="Q131" s="875"/>
      <c r="R131" s="875"/>
      <c r="S131" s="875"/>
      <c r="T131" s="876"/>
      <c r="U131" s="876"/>
      <c r="V131" s="876"/>
      <c r="W131" s="876"/>
      <c r="X131" s="876"/>
      <c r="Y131" s="875"/>
      <c r="Z131" s="877"/>
      <c r="AA131" s="875"/>
      <c r="AB131" s="876"/>
      <c r="AC131" s="875"/>
    </row>
    <row r="132" spans="1:29" x14ac:dyDescent="0.2">
      <c r="B132" s="881" t="s">
        <v>560</v>
      </c>
      <c r="D132" s="880" t="s">
        <v>561</v>
      </c>
      <c r="G132" s="875"/>
      <c r="H132" s="875"/>
      <c r="I132" s="875"/>
      <c r="J132" s="876"/>
      <c r="K132" s="877"/>
      <c r="L132" s="877"/>
      <c r="M132" s="877"/>
      <c r="N132" s="876"/>
      <c r="O132" s="875"/>
      <c r="P132" s="875"/>
      <c r="Q132" s="875"/>
      <c r="R132" s="875"/>
      <c r="S132" s="875"/>
      <c r="T132" s="876"/>
      <c r="U132" s="876"/>
      <c r="V132" s="876"/>
      <c r="W132" s="876"/>
      <c r="X132" s="876"/>
      <c r="Y132" s="875"/>
      <c r="Z132" s="877"/>
      <c r="AA132" s="875"/>
      <c r="AB132" s="876"/>
      <c r="AC132" s="875"/>
    </row>
    <row r="133" spans="1:29" x14ac:dyDescent="0.2">
      <c r="B133" s="881" t="s">
        <v>562</v>
      </c>
      <c r="D133" s="880" t="s">
        <v>563</v>
      </c>
      <c r="G133" s="875"/>
      <c r="H133" s="875"/>
      <c r="I133" s="875"/>
      <c r="J133" s="876"/>
      <c r="K133" s="877"/>
      <c r="L133" s="877"/>
      <c r="M133" s="877"/>
      <c r="N133" s="876"/>
      <c r="O133" s="875"/>
      <c r="P133" s="875"/>
      <c r="Q133" s="875"/>
      <c r="R133" s="875"/>
      <c r="S133" s="875"/>
      <c r="T133" s="876"/>
      <c r="U133" s="876"/>
      <c r="V133" s="876"/>
      <c r="W133" s="876"/>
      <c r="X133" s="876"/>
      <c r="Y133" s="875"/>
      <c r="Z133" s="877"/>
      <c r="AA133" s="875"/>
      <c r="AB133" s="876"/>
      <c r="AC133" s="875"/>
    </row>
    <row r="134" spans="1:29" x14ac:dyDescent="0.2">
      <c r="B134" s="881" t="s">
        <v>564</v>
      </c>
      <c r="D134" s="880" t="s">
        <v>565</v>
      </c>
      <c r="G134" s="875"/>
      <c r="H134" s="875"/>
      <c r="I134" s="875"/>
      <c r="J134" s="876"/>
      <c r="K134" s="877"/>
      <c r="L134" s="877"/>
      <c r="M134" s="877"/>
      <c r="N134" s="876"/>
      <c r="O134" s="875"/>
      <c r="P134" s="875"/>
      <c r="Q134" s="875"/>
      <c r="R134" s="875"/>
      <c r="S134" s="875"/>
      <c r="T134" s="876"/>
      <c r="U134" s="876"/>
      <c r="V134" s="876"/>
      <c r="W134" s="876"/>
      <c r="X134" s="876"/>
      <c r="Y134" s="875"/>
      <c r="Z134" s="877"/>
      <c r="AA134" s="875"/>
      <c r="AB134" s="876"/>
      <c r="AC134" s="875"/>
    </row>
    <row r="135" spans="1:29" x14ac:dyDescent="0.2">
      <c r="B135" s="881" t="s">
        <v>566</v>
      </c>
      <c r="D135" s="880" t="s">
        <v>567</v>
      </c>
      <c r="G135" s="875"/>
      <c r="H135" s="875"/>
      <c r="I135" s="875"/>
      <c r="J135" s="876"/>
      <c r="K135" s="877"/>
      <c r="L135" s="877"/>
      <c r="M135" s="877"/>
      <c r="N135" s="876"/>
      <c r="O135" s="875"/>
      <c r="P135" s="875"/>
      <c r="Q135" s="875"/>
      <c r="R135" s="875"/>
      <c r="S135" s="875"/>
      <c r="T135" s="876"/>
      <c r="U135" s="876"/>
      <c r="V135" s="876"/>
      <c r="W135" s="876"/>
      <c r="X135" s="876"/>
      <c r="Y135" s="875"/>
      <c r="Z135" s="877"/>
      <c r="AA135" s="875"/>
      <c r="AB135" s="876"/>
      <c r="AC135" s="875"/>
    </row>
    <row r="136" spans="1:29" x14ac:dyDescent="0.2">
      <c r="B136" s="12" t="s">
        <v>568</v>
      </c>
      <c r="G136" s="875"/>
      <c r="H136" s="875"/>
      <c r="I136" s="875"/>
      <c r="J136" s="876"/>
      <c r="K136" s="877"/>
      <c r="L136" s="877"/>
      <c r="M136" s="877"/>
      <c r="N136" s="876"/>
      <c r="O136" s="875"/>
      <c r="P136" s="875"/>
      <c r="Q136" s="875"/>
      <c r="R136" s="875"/>
      <c r="S136" s="875"/>
      <c r="T136" s="876"/>
      <c r="U136" s="876"/>
      <c r="V136" s="876"/>
      <c r="W136" s="876"/>
      <c r="X136" s="876"/>
      <c r="Y136" s="875"/>
      <c r="Z136" s="877"/>
      <c r="AA136" s="875"/>
      <c r="AB136" s="876"/>
      <c r="AC136" s="875"/>
    </row>
    <row r="137" spans="1:29" x14ac:dyDescent="0.2">
      <c r="B137" s="12" t="s">
        <v>569</v>
      </c>
      <c r="G137" s="875"/>
      <c r="H137" s="875"/>
      <c r="I137" s="875"/>
      <c r="J137" s="876"/>
      <c r="K137" s="877"/>
      <c r="L137" s="877"/>
      <c r="M137" s="877"/>
      <c r="N137" s="876"/>
      <c r="O137" s="875"/>
      <c r="P137" s="875"/>
      <c r="Q137" s="875"/>
      <c r="R137" s="875"/>
      <c r="S137" s="875"/>
      <c r="T137" s="876"/>
      <c r="U137" s="876"/>
      <c r="V137" s="876"/>
      <c r="W137" s="876"/>
      <c r="X137" s="876"/>
      <c r="Y137" s="875"/>
      <c r="Z137" s="877"/>
      <c r="AA137" s="875"/>
      <c r="AB137" s="876"/>
      <c r="AC137" s="875"/>
    </row>
    <row r="138" spans="1:29" ht="15.75" x14ac:dyDescent="0.2">
      <c r="A138" s="874">
        <v>2</v>
      </c>
      <c r="B138" s="12" t="s">
        <v>570</v>
      </c>
      <c r="G138" s="875"/>
      <c r="H138" s="875"/>
      <c r="I138" s="875"/>
      <c r="J138" s="876"/>
      <c r="K138" s="877"/>
      <c r="L138" s="877"/>
      <c r="M138" s="877"/>
      <c r="N138" s="876"/>
      <c r="O138" s="875"/>
      <c r="P138" s="875"/>
      <c r="Q138" s="875"/>
      <c r="R138" s="875"/>
      <c r="S138" s="875"/>
      <c r="T138" s="876"/>
      <c r="U138" s="876"/>
      <c r="V138" s="876"/>
      <c r="W138" s="876"/>
      <c r="X138" s="876"/>
      <c r="Y138" s="875"/>
      <c r="Z138" s="877"/>
      <c r="AA138" s="875"/>
      <c r="AB138" s="876"/>
      <c r="AC138" s="875"/>
    </row>
    <row r="139" spans="1:29" ht="12.75" customHeight="1" x14ac:dyDescent="0.2">
      <c r="B139" s="12" t="s">
        <v>571</v>
      </c>
      <c r="G139" s="875"/>
      <c r="H139" s="875"/>
      <c r="I139" s="875"/>
      <c r="J139" s="876"/>
      <c r="K139" s="877"/>
      <c r="L139" s="877"/>
      <c r="M139" s="877"/>
      <c r="N139" s="876"/>
      <c r="O139" s="875"/>
      <c r="P139" s="875"/>
      <c r="Q139" s="875"/>
      <c r="R139" s="875"/>
      <c r="S139" s="875"/>
      <c r="T139" s="876"/>
      <c r="U139" s="876"/>
      <c r="V139" s="876"/>
      <c r="W139" s="876"/>
      <c r="X139" s="876"/>
      <c r="Y139" s="875"/>
      <c r="Z139" s="877"/>
      <c r="AA139" s="875"/>
      <c r="AB139" s="876"/>
      <c r="AC139" s="875"/>
    </row>
    <row r="140" spans="1:29" x14ac:dyDescent="0.2">
      <c r="B140" s="12" t="s">
        <v>572</v>
      </c>
      <c r="G140" s="875"/>
      <c r="H140" s="875"/>
      <c r="I140" s="875"/>
      <c r="J140" s="876"/>
      <c r="K140" s="877"/>
      <c r="L140" s="877"/>
      <c r="M140" s="877"/>
      <c r="N140" s="876"/>
      <c r="O140" s="875"/>
      <c r="P140" s="875"/>
      <c r="Q140" s="875"/>
      <c r="R140" s="875"/>
      <c r="S140" s="875"/>
      <c r="T140" s="876"/>
      <c r="U140" s="876"/>
      <c r="V140" s="876"/>
      <c r="W140" s="876"/>
      <c r="X140" s="876"/>
      <c r="Y140" s="875"/>
      <c r="Z140" s="877"/>
      <c r="AA140" s="875"/>
      <c r="AB140" s="876"/>
      <c r="AC140" s="875"/>
    </row>
    <row r="141" spans="1:29" x14ac:dyDescent="0.2">
      <c r="D141" s="882"/>
      <c r="E141" s="876"/>
      <c r="F141" s="875"/>
      <c r="G141" s="875"/>
      <c r="H141" s="875"/>
      <c r="I141" s="875"/>
      <c r="J141" s="876"/>
      <c r="K141" s="877"/>
      <c r="L141" s="877"/>
      <c r="M141" s="877"/>
      <c r="N141" s="876"/>
      <c r="O141" s="875"/>
      <c r="P141" s="875"/>
      <c r="Q141" s="875"/>
      <c r="R141" s="875"/>
      <c r="S141" s="875"/>
      <c r="T141" s="876"/>
      <c r="U141" s="876"/>
      <c r="V141" s="876"/>
      <c r="W141" s="876"/>
      <c r="X141" s="876"/>
      <c r="Y141" s="875"/>
      <c r="Z141" s="877"/>
      <c r="AA141" s="875"/>
      <c r="AB141" s="876"/>
      <c r="AC141" s="875"/>
    </row>
    <row r="142" spans="1:29" x14ac:dyDescent="0.2">
      <c r="C142" s="655">
        <v>1</v>
      </c>
      <c r="D142" s="655">
        <v>2</v>
      </c>
      <c r="E142" s="655">
        <v>3</v>
      </c>
      <c r="F142" s="655">
        <v>4</v>
      </c>
      <c r="G142" s="655">
        <v>5</v>
      </c>
      <c r="H142" s="655">
        <v>6</v>
      </c>
      <c r="I142" s="655">
        <v>7</v>
      </c>
      <c r="J142" s="655">
        <v>8</v>
      </c>
      <c r="K142" s="655">
        <v>9</v>
      </c>
      <c r="L142" s="655">
        <v>10</v>
      </c>
      <c r="M142" s="655">
        <v>11</v>
      </c>
      <c r="N142" s="655">
        <v>12</v>
      </c>
      <c r="O142" s="655">
        <v>13</v>
      </c>
      <c r="P142" s="655">
        <v>14</v>
      </c>
      <c r="Q142" s="655">
        <v>15</v>
      </c>
      <c r="R142" s="655">
        <v>16</v>
      </c>
      <c r="S142" s="655">
        <v>17</v>
      </c>
      <c r="T142" s="655">
        <v>18</v>
      </c>
      <c r="U142" s="655">
        <v>19</v>
      </c>
      <c r="V142" s="655">
        <v>20</v>
      </c>
      <c r="W142" s="655">
        <v>21</v>
      </c>
      <c r="X142" s="655">
        <v>22</v>
      </c>
      <c r="Y142" s="655">
        <v>23</v>
      </c>
      <c r="Z142" s="655">
        <v>24</v>
      </c>
      <c r="AA142" s="655">
        <v>25</v>
      </c>
      <c r="AB142" s="655">
        <v>26</v>
      </c>
      <c r="AC142" s="655">
        <v>27</v>
      </c>
    </row>
    <row r="147" spans="1:29" x14ac:dyDescent="0.2">
      <c r="A147" s="12" t="s">
        <v>573</v>
      </c>
    </row>
    <row r="149" spans="1:29" x14ac:dyDescent="0.2">
      <c r="C149" s="655">
        <f t="shared" ref="C149:C166" si="50">C39</f>
        <v>2000</v>
      </c>
      <c r="D149" s="655" t="s">
        <v>455</v>
      </c>
      <c r="F149" s="12"/>
      <c r="M149" s="12"/>
      <c r="N149" s="657"/>
      <c r="Q149" s="12"/>
      <c r="R149" s="12"/>
      <c r="S149" s="12"/>
      <c r="W149" s="657"/>
      <c r="X149" s="662"/>
      <c r="Z149" s="12"/>
      <c r="AA149" s="883">
        <f t="shared" ref="AA149:AA171" si="51">AC39</f>
        <v>1826</v>
      </c>
      <c r="AC149" s="657">
        <f>SUM(AC10:AC37)</f>
        <v>22536</v>
      </c>
    </row>
    <row r="150" spans="1:29" x14ac:dyDescent="0.2">
      <c r="C150" s="655">
        <f t="shared" si="50"/>
        <v>2001</v>
      </c>
      <c r="D150" s="655" t="s">
        <v>455</v>
      </c>
      <c r="F150" s="12"/>
      <c r="M150" s="12"/>
      <c r="N150" s="657"/>
      <c r="Q150" s="12"/>
      <c r="R150" s="12"/>
      <c r="S150" s="12"/>
      <c r="W150" s="657"/>
      <c r="X150" s="662"/>
      <c r="Z150" s="12"/>
      <c r="AA150" s="883">
        <f t="shared" si="51"/>
        <v>928</v>
      </c>
      <c r="AC150" s="657">
        <f>SUM(AC93:AC121)</f>
        <v>44330</v>
      </c>
    </row>
    <row r="151" spans="1:29" x14ac:dyDescent="0.2">
      <c r="C151" s="655">
        <f t="shared" si="50"/>
        <v>2002</v>
      </c>
      <c r="D151" s="655" t="s">
        <v>455</v>
      </c>
      <c r="F151" s="12"/>
      <c r="M151" s="12"/>
      <c r="N151" s="657"/>
      <c r="Q151" s="12"/>
      <c r="R151" s="12"/>
      <c r="S151" s="12"/>
      <c r="W151" s="657"/>
      <c r="X151" s="662"/>
      <c r="Z151" s="12"/>
      <c r="AA151" s="883">
        <f t="shared" si="51"/>
        <v>3838</v>
      </c>
    </row>
    <row r="152" spans="1:29" x14ac:dyDescent="0.2">
      <c r="C152" s="655">
        <f t="shared" si="50"/>
        <v>2003</v>
      </c>
      <c r="D152" s="655" t="s">
        <v>455</v>
      </c>
      <c r="F152" s="12"/>
      <c r="M152" s="12"/>
      <c r="N152" s="657"/>
      <c r="Q152" s="12"/>
      <c r="R152" s="12"/>
      <c r="S152" s="12"/>
      <c r="W152" s="657"/>
      <c r="X152" s="662"/>
      <c r="Z152" s="12"/>
      <c r="AA152" s="883">
        <f t="shared" si="51"/>
        <v>3585</v>
      </c>
    </row>
    <row r="153" spans="1:29" x14ac:dyDescent="0.2">
      <c r="C153" s="655">
        <f t="shared" si="50"/>
        <v>2004</v>
      </c>
      <c r="D153" s="655" t="s">
        <v>455</v>
      </c>
      <c r="F153" s="12"/>
      <c r="M153" s="12"/>
      <c r="N153" s="657"/>
      <c r="Q153" s="12"/>
      <c r="R153" s="12"/>
      <c r="S153" s="12"/>
      <c r="W153" s="657"/>
      <c r="X153" s="662"/>
      <c r="Z153" s="12"/>
      <c r="AA153" s="883">
        <f t="shared" si="51"/>
        <v>6270</v>
      </c>
    </row>
    <row r="154" spans="1:29" x14ac:dyDescent="0.2">
      <c r="C154" s="655">
        <f t="shared" si="50"/>
        <v>2005</v>
      </c>
      <c r="D154" s="655" t="s">
        <v>455</v>
      </c>
      <c r="F154" s="12"/>
      <c r="M154" s="12"/>
      <c r="N154" s="657"/>
      <c r="Q154" s="12"/>
      <c r="R154" s="12"/>
      <c r="S154" s="12"/>
      <c r="W154" s="657"/>
      <c r="X154" s="662"/>
      <c r="Z154" s="12"/>
      <c r="AA154" s="883">
        <f t="shared" si="51"/>
        <v>2685</v>
      </c>
    </row>
    <row r="155" spans="1:29" x14ac:dyDescent="0.2">
      <c r="C155" s="655">
        <f t="shared" si="50"/>
        <v>2006</v>
      </c>
      <c r="D155" s="655" t="s">
        <v>455</v>
      </c>
      <c r="F155" s="12"/>
      <c r="M155" s="12"/>
      <c r="N155" s="657"/>
      <c r="Q155" s="12"/>
      <c r="R155" s="12"/>
      <c r="S155" s="12"/>
      <c r="W155" s="657"/>
      <c r="X155" s="662"/>
      <c r="Z155" s="12"/>
      <c r="AA155" s="883">
        <f t="shared" si="51"/>
        <v>3240</v>
      </c>
    </row>
    <row r="156" spans="1:29" x14ac:dyDescent="0.2">
      <c r="C156" s="655">
        <f t="shared" si="50"/>
        <v>2007</v>
      </c>
      <c r="D156" s="655" t="s">
        <v>455</v>
      </c>
      <c r="F156" s="12"/>
      <c r="M156" s="12"/>
      <c r="N156" s="657"/>
      <c r="Q156" s="12"/>
      <c r="R156" s="12"/>
      <c r="S156" s="12"/>
      <c r="W156" s="657"/>
      <c r="X156" s="662"/>
      <c r="Z156" s="12"/>
      <c r="AA156" s="883">
        <f t="shared" si="51"/>
        <v>3443</v>
      </c>
    </row>
    <row r="157" spans="1:29" x14ac:dyDescent="0.2">
      <c r="C157" s="655">
        <f t="shared" si="50"/>
        <v>2008</v>
      </c>
      <c r="D157" s="655" t="s">
        <v>455</v>
      </c>
      <c r="F157" s="12"/>
      <c r="M157" s="12"/>
      <c r="N157" s="657"/>
      <c r="Q157" s="12"/>
      <c r="R157" s="12"/>
      <c r="S157" s="12"/>
      <c r="W157" s="657"/>
      <c r="X157" s="662"/>
      <c r="Z157" s="12"/>
      <c r="AA157" s="883">
        <f t="shared" si="51"/>
        <v>340</v>
      </c>
    </row>
    <row r="158" spans="1:29" x14ac:dyDescent="0.2">
      <c r="C158" s="655">
        <f t="shared" si="50"/>
        <v>2009</v>
      </c>
      <c r="D158" s="655" t="s">
        <v>455</v>
      </c>
      <c r="F158" s="12"/>
      <c r="M158" s="12"/>
      <c r="N158" s="657"/>
      <c r="Q158" s="12"/>
      <c r="R158" s="12"/>
      <c r="S158" s="12"/>
      <c r="W158" s="657"/>
      <c r="X158" s="662"/>
      <c r="Z158" s="12"/>
      <c r="AA158" s="883">
        <f t="shared" si="51"/>
        <v>849</v>
      </c>
    </row>
    <row r="159" spans="1:29" x14ac:dyDescent="0.2">
      <c r="C159" s="655">
        <f t="shared" si="50"/>
        <v>2010</v>
      </c>
      <c r="D159" s="655" t="s">
        <v>455</v>
      </c>
      <c r="F159" s="12"/>
      <c r="M159" s="12"/>
      <c r="N159" s="657"/>
      <c r="Q159" s="12"/>
      <c r="R159" s="12"/>
      <c r="S159" s="12"/>
      <c r="W159" s="657"/>
      <c r="X159" s="662"/>
      <c r="Z159" s="12"/>
      <c r="AA159" s="883">
        <f t="shared" si="51"/>
        <v>554</v>
      </c>
    </row>
    <row r="160" spans="1:29" x14ac:dyDescent="0.2">
      <c r="C160" s="655">
        <f t="shared" si="50"/>
        <v>2011</v>
      </c>
      <c r="D160" s="655" t="s">
        <v>455</v>
      </c>
      <c r="F160" s="12"/>
      <c r="M160" s="12"/>
      <c r="N160" s="657"/>
      <c r="Q160" s="12"/>
      <c r="R160" s="12"/>
      <c r="S160" s="12"/>
      <c r="W160" s="657"/>
      <c r="X160" s="662"/>
      <c r="Z160" s="12"/>
      <c r="AA160" s="883">
        <f t="shared" si="51"/>
        <v>821</v>
      </c>
    </row>
    <row r="161" spans="3:27" x14ac:dyDescent="0.2">
      <c r="C161" s="655">
        <f t="shared" si="50"/>
        <v>2012</v>
      </c>
      <c r="D161" s="655" t="s">
        <v>455</v>
      </c>
      <c r="F161" s="12"/>
      <c r="M161" s="12"/>
      <c r="N161" s="657"/>
      <c r="Q161" s="12"/>
      <c r="R161" s="12"/>
      <c r="S161" s="12"/>
      <c r="W161" s="657"/>
      <c r="X161" s="662"/>
      <c r="Z161" s="12"/>
      <c r="AA161" s="883">
        <f t="shared" si="51"/>
        <v>372</v>
      </c>
    </row>
    <row r="162" spans="3:27" x14ac:dyDescent="0.2">
      <c r="C162" s="655">
        <f t="shared" si="50"/>
        <v>2013</v>
      </c>
      <c r="D162" s="655" t="s">
        <v>455</v>
      </c>
      <c r="F162" s="12"/>
      <c r="M162" s="12"/>
      <c r="N162" s="657"/>
      <c r="Q162" s="12"/>
      <c r="R162" s="12"/>
      <c r="S162" s="12"/>
      <c r="W162" s="657"/>
      <c r="X162" s="662"/>
      <c r="Z162" s="12"/>
      <c r="AA162" s="883">
        <f t="shared" si="51"/>
        <v>904</v>
      </c>
    </row>
    <row r="163" spans="3:27" x14ac:dyDescent="0.2">
      <c r="C163" s="655">
        <f t="shared" si="50"/>
        <v>2014</v>
      </c>
      <c r="D163" s="655" t="s">
        <v>455</v>
      </c>
      <c r="F163" s="12"/>
      <c r="M163" s="12"/>
      <c r="N163" s="657"/>
      <c r="Q163" s="12"/>
      <c r="R163" s="12"/>
      <c r="S163" s="12"/>
      <c r="W163" s="657"/>
      <c r="X163" s="662"/>
      <c r="Z163" s="12"/>
      <c r="AA163" s="883">
        <f t="shared" si="51"/>
        <v>1561</v>
      </c>
    </row>
    <row r="164" spans="3:27" x14ac:dyDescent="0.2">
      <c r="C164" s="655">
        <f t="shared" si="50"/>
        <v>2015</v>
      </c>
      <c r="D164" s="655" t="s">
        <v>455</v>
      </c>
      <c r="F164" s="12"/>
      <c r="M164" s="12"/>
      <c r="N164" s="657"/>
      <c r="Q164" s="12"/>
      <c r="R164" s="12"/>
      <c r="S164" s="12"/>
      <c r="W164" s="657"/>
      <c r="X164" s="662"/>
      <c r="Z164" s="12"/>
      <c r="AA164" s="883">
        <f t="shared" si="51"/>
        <v>1376</v>
      </c>
    </row>
    <row r="165" spans="3:27" x14ac:dyDescent="0.2">
      <c r="C165" s="655">
        <f t="shared" si="50"/>
        <v>2016</v>
      </c>
      <c r="D165" s="655" t="s">
        <v>455</v>
      </c>
      <c r="F165" s="12"/>
      <c r="M165" s="12"/>
      <c r="N165" s="657"/>
      <c r="Q165" s="12"/>
      <c r="R165" s="12"/>
      <c r="S165" s="12"/>
      <c r="W165" s="657"/>
      <c r="X165" s="662"/>
      <c r="Z165" s="12"/>
      <c r="AA165" s="883">
        <f t="shared" si="51"/>
        <v>658</v>
      </c>
    </row>
    <row r="166" spans="3:27" x14ac:dyDescent="0.2">
      <c r="C166" s="655">
        <f t="shared" si="50"/>
        <v>2017</v>
      </c>
      <c r="D166" s="655" t="s">
        <v>455</v>
      </c>
      <c r="F166" s="12"/>
      <c r="M166" s="12"/>
      <c r="N166" s="657"/>
      <c r="Q166" s="12"/>
      <c r="R166" s="12"/>
      <c r="S166" s="12"/>
      <c r="W166" s="657"/>
      <c r="X166" s="662"/>
      <c r="Z166" s="12"/>
      <c r="AA166" s="883">
        <f t="shared" si="51"/>
        <v>998</v>
      </c>
    </row>
    <row r="167" spans="3:27" x14ac:dyDescent="0.2">
      <c r="C167" s="655">
        <v>2018</v>
      </c>
      <c r="D167" s="655" t="s">
        <v>455</v>
      </c>
      <c r="F167" s="12"/>
      <c r="M167" s="12"/>
      <c r="N167" s="657"/>
      <c r="Q167" s="12"/>
      <c r="R167" s="12"/>
      <c r="S167" s="12"/>
      <c r="W167" s="657"/>
      <c r="X167" s="662"/>
      <c r="Z167" s="12"/>
      <c r="AA167" s="883">
        <f t="shared" si="51"/>
        <v>0</v>
      </c>
    </row>
    <row r="168" spans="3:27" x14ac:dyDescent="0.2">
      <c r="C168" s="655">
        <v>2019</v>
      </c>
      <c r="D168" s="655" t="s">
        <v>455</v>
      </c>
      <c r="F168" s="12"/>
      <c r="M168" s="12"/>
      <c r="N168" s="657"/>
      <c r="Q168" s="12"/>
      <c r="R168" s="12"/>
      <c r="S168" s="12"/>
      <c r="W168" s="657"/>
      <c r="X168" s="662"/>
      <c r="Z168" s="12"/>
      <c r="AA168" s="883">
        <f t="shared" si="51"/>
        <v>0</v>
      </c>
    </row>
    <row r="169" spans="3:27" x14ac:dyDescent="0.2">
      <c r="C169" s="655">
        <v>2020</v>
      </c>
      <c r="D169" s="655" t="s">
        <v>455</v>
      </c>
      <c r="F169" s="12"/>
      <c r="M169" s="12"/>
      <c r="N169" s="657"/>
      <c r="Q169" s="12"/>
      <c r="R169" s="12"/>
      <c r="S169" s="12"/>
      <c r="W169" s="657"/>
      <c r="X169" s="662"/>
      <c r="Z169" s="12"/>
      <c r="AA169" s="883">
        <f t="shared" si="51"/>
        <v>0</v>
      </c>
    </row>
    <row r="170" spans="3:27" x14ac:dyDescent="0.2">
      <c r="C170" s="655">
        <v>2021</v>
      </c>
      <c r="D170" s="655" t="s">
        <v>455</v>
      </c>
      <c r="F170" s="12"/>
      <c r="M170" s="12"/>
      <c r="N170" s="657"/>
      <c r="Q170" s="12"/>
      <c r="R170" s="12"/>
      <c r="S170" s="12"/>
      <c r="W170" s="657"/>
      <c r="X170" s="662"/>
      <c r="Z170" s="12"/>
      <c r="AA170" s="883">
        <f t="shared" si="51"/>
        <v>0</v>
      </c>
    </row>
    <row r="171" spans="3:27" x14ac:dyDescent="0.2">
      <c r="C171" s="655">
        <v>2022</v>
      </c>
      <c r="D171" s="655" t="s">
        <v>455</v>
      </c>
      <c r="F171" s="12"/>
      <c r="M171" s="12"/>
      <c r="N171" s="657"/>
      <c r="Q171" s="12"/>
      <c r="R171" s="12"/>
      <c r="S171" s="12"/>
      <c r="W171" s="657"/>
      <c r="X171" s="662"/>
      <c r="Z171" s="12"/>
      <c r="AA171" s="883">
        <f t="shared" si="51"/>
        <v>4</v>
      </c>
    </row>
    <row r="172" spans="3:27" x14ac:dyDescent="0.2">
      <c r="F172" s="12"/>
      <c r="M172" s="12"/>
      <c r="N172" s="657"/>
      <c r="Q172" s="12"/>
      <c r="R172" s="12"/>
      <c r="S172" s="12"/>
      <c r="W172" s="657"/>
      <c r="X172" s="662"/>
      <c r="Z172" s="12"/>
      <c r="AA172" s="883"/>
    </row>
    <row r="173" spans="3:27" x14ac:dyDescent="0.2">
      <c r="F173" s="12"/>
      <c r="M173" s="12"/>
      <c r="N173" s="657"/>
      <c r="Q173" s="12"/>
      <c r="R173" s="12"/>
      <c r="S173" s="12"/>
      <c r="W173" s="657"/>
      <c r="X173" s="662"/>
      <c r="Z173" s="12"/>
      <c r="AA173" s="883"/>
    </row>
    <row r="174" spans="3:27" x14ac:dyDescent="0.2">
      <c r="F174" s="12"/>
      <c r="M174" s="12"/>
      <c r="N174" s="657"/>
      <c r="Q174" s="12"/>
      <c r="R174" s="12"/>
      <c r="S174" s="12"/>
      <c r="W174" s="657"/>
      <c r="X174" s="662"/>
      <c r="Z174" s="12"/>
      <c r="AA174" s="883"/>
    </row>
    <row r="175" spans="3:27" x14ac:dyDescent="0.2">
      <c r="F175" s="12"/>
      <c r="M175" s="12"/>
      <c r="N175" s="657"/>
      <c r="Q175" s="12"/>
      <c r="R175" s="12"/>
      <c r="S175" s="12"/>
      <c r="W175" s="657"/>
      <c r="X175" s="662"/>
      <c r="Z175" s="12"/>
      <c r="AA175" s="883"/>
    </row>
    <row r="176" spans="3:27" x14ac:dyDescent="0.2">
      <c r="F176" s="12"/>
      <c r="M176" s="12"/>
      <c r="N176" s="657"/>
      <c r="Q176" s="12"/>
      <c r="R176" s="12"/>
      <c r="S176" s="12"/>
      <c r="W176" s="657"/>
      <c r="X176" s="662"/>
      <c r="Z176" s="12"/>
      <c r="AA176" s="883"/>
    </row>
    <row r="177" spans="3:27" x14ac:dyDescent="0.2">
      <c r="F177" s="12"/>
      <c r="M177" s="12"/>
      <c r="N177" s="657"/>
      <c r="Q177" s="12"/>
      <c r="R177" s="12"/>
      <c r="S177" s="12"/>
      <c r="W177" s="657"/>
      <c r="X177" s="662"/>
      <c r="Z177" s="12"/>
      <c r="AA177" s="883"/>
    </row>
    <row r="178" spans="3:27" x14ac:dyDescent="0.2">
      <c r="F178" s="12"/>
      <c r="M178" s="12"/>
      <c r="N178" s="657"/>
      <c r="Q178" s="12"/>
      <c r="R178" s="12"/>
      <c r="S178" s="12"/>
      <c r="W178" s="657"/>
      <c r="X178" s="662"/>
      <c r="Z178" s="12"/>
      <c r="AA178" s="883"/>
    </row>
    <row r="179" spans="3:27" x14ac:dyDescent="0.2">
      <c r="F179" s="12"/>
      <c r="M179" s="12"/>
      <c r="N179" s="657"/>
      <c r="Q179" s="12"/>
      <c r="R179" s="12"/>
      <c r="S179" s="12"/>
      <c r="W179" s="657"/>
      <c r="X179" s="662"/>
      <c r="Z179" s="12"/>
      <c r="AA179" s="883"/>
    </row>
    <row r="180" spans="3:27" x14ac:dyDescent="0.2">
      <c r="F180" s="12"/>
      <c r="M180" s="12"/>
      <c r="N180" s="657"/>
      <c r="Q180" s="12"/>
      <c r="R180" s="12"/>
      <c r="S180" s="12"/>
      <c r="W180" s="657"/>
      <c r="X180" s="662"/>
      <c r="Z180" s="12"/>
      <c r="AA180" s="883"/>
    </row>
    <row r="181" spans="3:27" x14ac:dyDescent="0.2">
      <c r="F181" s="12"/>
      <c r="M181" s="12"/>
      <c r="N181" s="657"/>
      <c r="Q181" s="12"/>
      <c r="R181" s="12"/>
      <c r="S181" s="12"/>
      <c r="W181" s="657"/>
      <c r="X181" s="662"/>
      <c r="Z181" s="12"/>
      <c r="AA181" s="883"/>
    </row>
    <row r="182" spans="3:27" x14ac:dyDescent="0.2">
      <c r="C182" s="655">
        <f t="shared" ref="C182:C204" si="52">C149</f>
        <v>2000</v>
      </c>
      <c r="D182" s="655" t="s">
        <v>574</v>
      </c>
      <c r="F182" s="12"/>
      <c r="M182" s="12"/>
      <c r="N182" s="657"/>
      <c r="Q182" s="12"/>
      <c r="R182" s="12"/>
      <c r="S182" s="12"/>
      <c r="W182" s="657"/>
      <c r="X182" s="662"/>
      <c r="Z182" s="12"/>
      <c r="AA182" s="883"/>
    </row>
    <row r="183" spans="3:27" x14ac:dyDescent="0.2">
      <c r="C183" s="655">
        <f t="shared" si="52"/>
        <v>2001</v>
      </c>
      <c r="D183" s="655" t="s">
        <v>574</v>
      </c>
      <c r="F183" s="12"/>
      <c r="M183" s="12"/>
      <c r="N183" s="657"/>
      <c r="Q183" s="12"/>
      <c r="R183" s="12"/>
      <c r="S183" s="12"/>
      <c r="W183" s="657"/>
      <c r="X183" s="662"/>
      <c r="Z183" s="12"/>
      <c r="AA183" s="883"/>
    </row>
    <row r="184" spans="3:27" x14ac:dyDescent="0.2">
      <c r="C184" s="655">
        <f t="shared" si="52"/>
        <v>2002</v>
      </c>
      <c r="D184" s="655" t="s">
        <v>574</v>
      </c>
      <c r="F184" s="12"/>
      <c r="M184" s="12"/>
      <c r="N184" s="657"/>
      <c r="Q184" s="12"/>
      <c r="R184" s="12"/>
      <c r="S184" s="12"/>
      <c r="W184" s="657"/>
      <c r="X184" s="662"/>
      <c r="Z184" s="12"/>
      <c r="AA184" s="883"/>
    </row>
    <row r="185" spans="3:27" x14ac:dyDescent="0.2">
      <c r="C185" s="655">
        <f t="shared" si="52"/>
        <v>2003</v>
      </c>
      <c r="D185" s="655" t="s">
        <v>574</v>
      </c>
      <c r="F185" s="12"/>
      <c r="M185" s="12"/>
      <c r="N185" s="657"/>
      <c r="Q185" s="12"/>
      <c r="R185" s="12"/>
      <c r="S185" s="12"/>
      <c r="W185" s="657"/>
      <c r="X185" s="662"/>
      <c r="Z185" s="12"/>
      <c r="AA185" s="883"/>
    </row>
    <row r="186" spans="3:27" x14ac:dyDescent="0.2">
      <c r="C186" s="655">
        <f t="shared" si="52"/>
        <v>2004</v>
      </c>
      <c r="D186" s="655" t="s">
        <v>574</v>
      </c>
      <c r="F186" s="12"/>
      <c r="M186" s="12"/>
      <c r="N186" s="657"/>
      <c r="Q186" s="12"/>
      <c r="R186" s="12"/>
      <c r="S186" s="12"/>
      <c r="W186" s="657"/>
      <c r="X186" s="662"/>
      <c r="Z186" s="12"/>
      <c r="AA186" s="883"/>
    </row>
    <row r="187" spans="3:27" x14ac:dyDescent="0.2">
      <c r="C187" s="655">
        <f t="shared" si="52"/>
        <v>2005</v>
      </c>
      <c r="D187" s="655" t="s">
        <v>574</v>
      </c>
      <c r="F187" s="12"/>
      <c r="M187" s="12"/>
      <c r="N187" s="657"/>
      <c r="Q187" s="12"/>
      <c r="R187" s="12"/>
      <c r="S187" s="12"/>
      <c r="W187" s="657"/>
      <c r="X187" s="662"/>
      <c r="Z187" s="12"/>
      <c r="AA187" s="883"/>
    </row>
    <row r="188" spans="3:27" x14ac:dyDescent="0.2">
      <c r="C188" s="655">
        <f t="shared" si="52"/>
        <v>2006</v>
      </c>
      <c r="D188" s="655" t="s">
        <v>574</v>
      </c>
      <c r="F188" s="12"/>
      <c r="M188" s="12"/>
      <c r="N188" s="657"/>
      <c r="Q188" s="12"/>
      <c r="R188" s="12"/>
      <c r="S188" s="12"/>
      <c r="W188" s="657"/>
      <c r="X188" s="662"/>
      <c r="Z188" s="12"/>
      <c r="AA188" s="883"/>
    </row>
    <row r="189" spans="3:27" x14ac:dyDescent="0.2">
      <c r="C189" s="655">
        <f t="shared" si="52"/>
        <v>2007</v>
      </c>
      <c r="D189" s="655" t="s">
        <v>574</v>
      </c>
      <c r="F189" s="12"/>
      <c r="M189" s="12"/>
      <c r="N189" s="657"/>
      <c r="Q189" s="12"/>
      <c r="R189" s="12"/>
      <c r="S189" s="12"/>
      <c r="W189" s="657"/>
      <c r="X189" s="662"/>
      <c r="Z189" s="12"/>
      <c r="AA189" s="883"/>
    </row>
    <row r="190" spans="3:27" x14ac:dyDescent="0.2">
      <c r="C190" s="655">
        <f t="shared" si="52"/>
        <v>2008</v>
      </c>
      <c r="D190" s="655" t="s">
        <v>574</v>
      </c>
      <c r="F190" s="12"/>
      <c r="M190" s="12"/>
      <c r="N190" s="657"/>
      <c r="Q190" s="12"/>
      <c r="R190" s="12"/>
      <c r="S190" s="12"/>
      <c r="W190" s="657"/>
      <c r="X190" s="662"/>
      <c r="Z190" s="12"/>
      <c r="AA190" s="883"/>
    </row>
    <row r="191" spans="3:27" x14ac:dyDescent="0.2">
      <c r="C191" s="655">
        <f t="shared" si="52"/>
        <v>2009</v>
      </c>
      <c r="D191" s="655" t="s">
        <v>574</v>
      </c>
      <c r="F191" s="12"/>
      <c r="M191" s="12"/>
      <c r="N191" s="657"/>
      <c r="Q191" s="12"/>
      <c r="R191" s="12"/>
      <c r="S191" s="12"/>
      <c r="W191" s="657"/>
      <c r="X191" s="662"/>
      <c r="Z191" s="12"/>
      <c r="AA191" s="883"/>
    </row>
    <row r="192" spans="3:27" x14ac:dyDescent="0.2">
      <c r="C192" s="655">
        <f t="shared" si="52"/>
        <v>2010</v>
      </c>
      <c r="D192" s="655" t="s">
        <v>574</v>
      </c>
      <c r="F192" s="12"/>
      <c r="M192" s="12"/>
      <c r="N192" s="657"/>
      <c r="Q192" s="12"/>
      <c r="R192" s="12"/>
      <c r="S192" s="12"/>
      <c r="W192" s="657"/>
      <c r="X192" s="662"/>
      <c r="Z192" s="12"/>
      <c r="AA192" s="883"/>
    </row>
    <row r="193" spans="3:27" x14ac:dyDescent="0.2">
      <c r="C193" s="655">
        <f t="shared" si="52"/>
        <v>2011</v>
      </c>
      <c r="D193" s="655" t="s">
        <v>574</v>
      </c>
      <c r="F193" s="12"/>
      <c r="M193" s="12"/>
      <c r="N193" s="657"/>
      <c r="Q193" s="12"/>
      <c r="R193" s="12"/>
      <c r="S193" s="12"/>
      <c r="W193" s="657"/>
      <c r="X193" s="662"/>
      <c r="Z193" s="12"/>
      <c r="AA193" s="883"/>
    </row>
    <row r="194" spans="3:27" x14ac:dyDescent="0.2">
      <c r="C194" s="655">
        <f t="shared" si="52"/>
        <v>2012</v>
      </c>
      <c r="D194" s="655" t="s">
        <v>574</v>
      </c>
      <c r="F194" s="12"/>
      <c r="M194" s="12"/>
      <c r="N194" s="657"/>
      <c r="Q194" s="12"/>
      <c r="R194" s="12"/>
      <c r="S194" s="12"/>
      <c r="W194" s="657"/>
      <c r="X194" s="662"/>
      <c r="Z194" s="12"/>
      <c r="AA194" s="883"/>
    </row>
    <row r="195" spans="3:27" x14ac:dyDescent="0.2">
      <c r="C195" s="655">
        <f t="shared" si="52"/>
        <v>2013</v>
      </c>
      <c r="D195" s="655" t="s">
        <v>574</v>
      </c>
      <c r="F195" s="12"/>
      <c r="M195" s="12"/>
      <c r="N195" s="657"/>
      <c r="Q195" s="12"/>
      <c r="R195" s="12"/>
      <c r="S195" s="12"/>
      <c r="W195" s="657"/>
      <c r="X195" s="662"/>
      <c r="Z195" s="12"/>
      <c r="AA195" s="883"/>
    </row>
    <row r="196" spans="3:27" x14ac:dyDescent="0.2">
      <c r="C196" s="655">
        <f t="shared" si="52"/>
        <v>2014</v>
      </c>
      <c r="D196" s="655" t="s">
        <v>574</v>
      </c>
      <c r="F196" s="12"/>
      <c r="M196" s="12"/>
      <c r="N196" s="657"/>
      <c r="Q196" s="12"/>
      <c r="R196" s="12"/>
      <c r="S196" s="12"/>
      <c r="W196" s="657"/>
      <c r="X196" s="662"/>
      <c r="Z196" s="12"/>
      <c r="AA196" s="883"/>
    </row>
    <row r="197" spans="3:27" x14ac:dyDescent="0.2">
      <c r="C197" s="655">
        <f t="shared" si="52"/>
        <v>2015</v>
      </c>
      <c r="D197" s="655" t="s">
        <v>574</v>
      </c>
      <c r="F197" s="12"/>
      <c r="M197" s="12"/>
      <c r="N197" s="657"/>
      <c r="Q197" s="12"/>
      <c r="R197" s="12"/>
      <c r="S197" s="12"/>
      <c r="W197" s="657"/>
      <c r="X197" s="662"/>
      <c r="Z197" s="12"/>
      <c r="AA197" s="883"/>
    </row>
    <row r="198" spans="3:27" x14ac:dyDescent="0.2">
      <c r="C198" s="655">
        <f t="shared" si="52"/>
        <v>2016</v>
      </c>
      <c r="D198" s="655" t="s">
        <v>574</v>
      </c>
      <c r="F198" s="12"/>
      <c r="M198" s="12"/>
      <c r="N198" s="657"/>
      <c r="Q198" s="12"/>
      <c r="R198" s="12"/>
      <c r="S198" s="12"/>
      <c r="W198" s="657"/>
      <c r="X198" s="662"/>
      <c r="Z198" s="12"/>
      <c r="AA198" s="883"/>
    </row>
    <row r="199" spans="3:27" x14ac:dyDescent="0.2">
      <c r="C199" s="655">
        <f t="shared" si="52"/>
        <v>2017</v>
      </c>
      <c r="D199" s="655" t="s">
        <v>574</v>
      </c>
      <c r="F199" s="12"/>
      <c r="M199" s="12"/>
      <c r="N199" s="657"/>
      <c r="Q199" s="12"/>
      <c r="R199" s="12"/>
      <c r="S199" s="12"/>
      <c r="W199" s="657"/>
      <c r="X199" s="662"/>
      <c r="Z199" s="12"/>
      <c r="AA199" s="883"/>
    </row>
    <row r="200" spans="3:27" x14ac:dyDescent="0.2">
      <c r="C200" s="655">
        <f t="shared" si="52"/>
        <v>2018</v>
      </c>
      <c r="D200" s="655" t="s">
        <v>574</v>
      </c>
      <c r="F200" s="12"/>
      <c r="M200" s="12"/>
      <c r="N200" s="657"/>
      <c r="Q200" s="12"/>
      <c r="R200" s="12"/>
      <c r="S200" s="12"/>
      <c r="W200" s="657"/>
      <c r="X200" s="662"/>
      <c r="Z200" s="12"/>
      <c r="AA200" s="883"/>
    </row>
    <row r="201" spans="3:27" x14ac:dyDescent="0.2">
      <c r="C201" s="655">
        <f t="shared" si="52"/>
        <v>2019</v>
      </c>
      <c r="D201" s="655" t="s">
        <v>574</v>
      </c>
      <c r="F201" s="12"/>
      <c r="M201" s="12"/>
      <c r="N201" s="657"/>
      <c r="Q201" s="12"/>
      <c r="R201" s="12"/>
      <c r="S201" s="12"/>
      <c r="W201" s="657"/>
      <c r="X201" s="662"/>
      <c r="Z201" s="12"/>
      <c r="AA201" s="883"/>
    </row>
    <row r="202" spans="3:27" x14ac:dyDescent="0.2">
      <c r="C202" s="655">
        <f t="shared" si="52"/>
        <v>2020</v>
      </c>
      <c r="D202" s="655" t="s">
        <v>574</v>
      </c>
      <c r="F202" s="12"/>
      <c r="M202" s="12"/>
      <c r="N202" s="657"/>
      <c r="Q202" s="12"/>
      <c r="R202" s="12"/>
      <c r="S202" s="12"/>
      <c r="W202" s="657"/>
      <c r="X202" s="662"/>
      <c r="Z202" s="12"/>
      <c r="AA202" s="883"/>
    </row>
    <row r="203" spans="3:27" x14ac:dyDescent="0.2">
      <c r="C203" s="655">
        <f t="shared" si="52"/>
        <v>2021</v>
      </c>
      <c r="D203" s="655" t="s">
        <v>574</v>
      </c>
      <c r="F203" s="12"/>
      <c r="M203" s="12"/>
      <c r="N203" s="657"/>
      <c r="Q203" s="12"/>
      <c r="R203" s="12"/>
      <c r="S203" s="12"/>
      <c r="W203" s="657"/>
      <c r="X203" s="662"/>
      <c r="Z203" s="12"/>
      <c r="AA203" s="883"/>
    </row>
    <row r="204" spans="3:27" x14ac:dyDescent="0.2">
      <c r="C204" s="655">
        <f t="shared" si="52"/>
        <v>2022</v>
      </c>
      <c r="D204" s="655" t="s">
        <v>574</v>
      </c>
      <c r="F204" s="12"/>
      <c r="M204" s="12"/>
      <c r="N204" s="657"/>
      <c r="Q204" s="12"/>
      <c r="R204" s="12"/>
      <c r="S204" s="12"/>
      <c r="W204" s="657"/>
      <c r="X204" s="662"/>
      <c r="Z204" s="12"/>
      <c r="AA204" s="883"/>
    </row>
    <row r="205" spans="3:27" x14ac:dyDescent="0.2">
      <c r="F205" s="12"/>
      <c r="M205" s="12"/>
      <c r="N205" s="657"/>
      <c r="Q205" s="12"/>
      <c r="R205" s="12"/>
      <c r="S205" s="12"/>
      <c r="W205" s="657"/>
      <c r="X205" s="662"/>
      <c r="Z205" s="12"/>
      <c r="AA205" s="883"/>
    </row>
    <row r="206" spans="3:27" x14ac:dyDescent="0.2">
      <c r="F206" s="12"/>
      <c r="M206" s="12"/>
      <c r="N206" s="657"/>
      <c r="Q206" s="12"/>
      <c r="R206" s="12"/>
      <c r="S206" s="12"/>
      <c r="W206" s="657"/>
      <c r="X206" s="662"/>
      <c r="Z206" s="12"/>
      <c r="AA206" s="883"/>
    </row>
    <row r="207" spans="3:27" x14ac:dyDescent="0.2">
      <c r="F207" s="12"/>
      <c r="M207" s="12"/>
      <c r="N207" s="657"/>
      <c r="Q207" s="12"/>
      <c r="R207" s="12"/>
      <c r="S207" s="12"/>
      <c r="W207" s="657"/>
      <c r="X207" s="662"/>
      <c r="Z207" s="12"/>
      <c r="AA207" s="883"/>
    </row>
    <row r="208" spans="3:27" x14ac:dyDescent="0.2">
      <c r="C208" s="655">
        <f t="shared" ref="C208:C226" si="53">C182</f>
        <v>2000</v>
      </c>
      <c r="D208" s="655" t="s">
        <v>67</v>
      </c>
      <c r="F208" s="12"/>
      <c r="M208" s="12"/>
      <c r="N208" s="657"/>
      <c r="Q208" s="12"/>
      <c r="R208" s="12"/>
      <c r="S208" s="12"/>
      <c r="W208" s="657"/>
      <c r="X208" s="662"/>
      <c r="Z208" s="12"/>
      <c r="AA208" s="883">
        <f>AC66</f>
        <v>0</v>
      </c>
    </row>
    <row r="209" spans="3:27" x14ac:dyDescent="0.2">
      <c r="C209" s="655">
        <f t="shared" si="53"/>
        <v>2001</v>
      </c>
      <c r="D209" s="655" t="s">
        <v>67</v>
      </c>
      <c r="F209" s="12"/>
      <c r="M209" s="12"/>
      <c r="N209" s="657"/>
      <c r="Q209" s="12"/>
      <c r="R209" s="12"/>
      <c r="S209" s="12"/>
      <c r="W209" s="657"/>
      <c r="X209" s="662"/>
      <c r="Z209" s="12"/>
      <c r="AA209" s="883">
        <f t="shared" ref="AA209:AA230" si="54">AC67</f>
        <v>0</v>
      </c>
    </row>
    <row r="210" spans="3:27" x14ac:dyDescent="0.2">
      <c r="C210" s="655">
        <f t="shared" si="53"/>
        <v>2002</v>
      </c>
      <c r="D210" s="655" t="s">
        <v>67</v>
      </c>
      <c r="F210" s="12"/>
      <c r="M210" s="12"/>
      <c r="N210" s="657"/>
      <c r="Q210" s="12"/>
      <c r="R210" s="12"/>
      <c r="S210" s="12"/>
      <c r="W210" s="657"/>
      <c r="X210" s="662"/>
      <c r="Z210" s="12"/>
      <c r="AA210" s="883">
        <f t="shared" si="54"/>
        <v>2142</v>
      </c>
    </row>
    <row r="211" spans="3:27" x14ac:dyDescent="0.2">
      <c r="C211" s="655">
        <f t="shared" si="53"/>
        <v>2003</v>
      </c>
      <c r="D211" s="655" t="s">
        <v>67</v>
      </c>
      <c r="F211" s="12"/>
      <c r="M211" s="12"/>
      <c r="N211" s="657"/>
      <c r="Q211" s="12"/>
      <c r="R211" s="12"/>
      <c r="S211" s="12"/>
      <c r="W211" s="657"/>
      <c r="X211" s="662"/>
      <c r="Z211" s="12"/>
      <c r="AA211" s="883">
        <f t="shared" si="54"/>
        <v>2491</v>
      </c>
    </row>
    <row r="212" spans="3:27" x14ac:dyDescent="0.2">
      <c r="C212" s="655">
        <f t="shared" si="53"/>
        <v>2004</v>
      </c>
      <c r="D212" s="655" t="s">
        <v>67</v>
      </c>
      <c r="F212" s="12"/>
      <c r="M212" s="12"/>
      <c r="N212" s="657"/>
      <c r="Q212" s="12"/>
      <c r="R212" s="12"/>
      <c r="S212" s="12"/>
      <c r="W212" s="657"/>
      <c r="X212" s="662"/>
      <c r="Z212" s="12"/>
      <c r="AA212" s="883">
        <f t="shared" si="54"/>
        <v>419</v>
      </c>
    </row>
    <row r="213" spans="3:27" x14ac:dyDescent="0.2">
      <c r="C213" s="655">
        <f t="shared" si="53"/>
        <v>2005</v>
      </c>
      <c r="D213" s="655" t="s">
        <v>67</v>
      </c>
      <c r="F213" s="12"/>
      <c r="M213" s="12"/>
      <c r="N213" s="657"/>
      <c r="Q213" s="12"/>
      <c r="R213" s="12"/>
      <c r="S213" s="12"/>
      <c r="W213" s="657"/>
      <c r="X213" s="662"/>
      <c r="Z213" s="12"/>
      <c r="AA213" s="883">
        <f t="shared" si="54"/>
        <v>430</v>
      </c>
    </row>
    <row r="214" spans="3:27" x14ac:dyDescent="0.2">
      <c r="C214" s="655">
        <f t="shared" si="53"/>
        <v>2006</v>
      </c>
      <c r="D214" s="655" t="s">
        <v>67</v>
      </c>
      <c r="F214" s="12"/>
      <c r="M214" s="12"/>
      <c r="N214" s="657"/>
      <c r="Q214" s="12"/>
      <c r="R214" s="12"/>
      <c r="S214" s="12"/>
      <c r="W214" s="657"/>
      <c r="X214" s="662"/>
      <c r="Z214" s="12"/>
      <c r="AA214" s="883">
        <f t="shared" si="54"/>
        <v>1273</v>
      </c>
    </row>
    <row r="215" spans="3:27" x14ac:dyDescent="0.2">
      <c r="C215" s="655">
        <f t="shared" si="53"/>
        <v>2007</v>
      </c>
      <c r="D215" s="655" t="s">
        <v>67</v>
      </c>
      <c r="F215" s="12"/>
      <c r="M215" s="12"/>
      <c r="N215" s="657"/>
      <c r="Q215" s="12"/>
      <c r="R215" s="12"/>
      <c r="S215" s="12"/>
      <c r="W215" s="657"/>
      <c r="X215" s="662"/>
      <c r="Z215" s="12"/>
      <c r="AA215" s="883">
        <f t="shared" si="54"/>
        <v>588</v>
      </c>
    </row>
    <row r="216" spans="3:27" x14ac:dyDescent="0.2">
      <c r="C216" s="655">
        <f t="shared" si="53"/>
        <v>2008</v>
      </c>
      <c r="D216" s="655" t="s">
        <v>67</v>
      </c>
      <c r="F216" s="12"/>
      <c r="M216" s="12"/>
      <c r="N216" s="657"/>
      <c r="Q216" s="12"/>
      <c r="R216" s="12"/>
      <c r="S216" s="12"/>
      <c r="W216" s="657"/>
      <c r="X216" s="662"/>
      <c r="Z216" s="12"/>
      <c r="AA216" s="883">
        <f t="shared" si="54"/>
        <v>45</v>
      </c>
    </row>
    <row r="217" spans="3:27" x14ac:dyDescent="0.2">
      <c r="C217" s="655">
        <f t="shared" si="53"/>
        <v>2009</v>
      </c>
      <c r="D217" s="655" t="s">
        <v>67</v>
      </c>
      <c r="F217" s="12"/>
      <c r="M217" s="12"/>
      <c r="N217" s="657"/>
      <c r="Q217" s="12"/>
      <c r="R217" s="12"/>
      <c r="S217" s="12"/>
      <c r="W217" s="657"/>
      <c r="X217" s="662"/>
      <c r="Z217" s="12"/>
      <c r="AA217" s="883">
        <f t="shared" si="54"/>
        <v>274</v>
      </c>
    </row>
    <row r="218" spans="3:27" x14ac:dyDescent="0.2">
      <c r="C218" s="655">
        <f t="shared" si="53"/>
        <v>2010</v>
      </c>
      <c r="D218" s="655" t="s">
        <v>67</v>
      </c>
      <c r="F218" s="12"/>
      <c r="M218" s="12"/>
      <c r="N218" s="657"/>
      <c r="Q218" s="12"/>
      <c r="R218" s="12"/>
      <c r="S218" s="12"/>
      <c r="W218" s="657"/>
      <c r="X218" s="662"/>
      <c r="Z218" s="12"/>
      <c r="AA218" s="883">
        <f t="shared" si="54"/>
        <v>268</v>
      </c>
    </row>
    <row r="219" spans="3:27" x14ac:dyDescent="0.2">
      <c r="C219" s="655">
        <f t="shared" si="53"/>
        <v>2011</v>
      </c>
      <c r="D219" s="655" t="s">
        <v>67</v>
      </c>
      <c r="F219" s="12"/>
      <c r="M219" s="12"/>
      <c r="N219" s="657"/>
      <c r="Q219" s="12"/>
      <c r="R219" s="12"/>
      <c r="S219" s="12"/>
      <c r="W219" s="657"/>
      <c r="X219" s="662"/>
      <c r="Z219" s="12"/>
      <c r="AA219" s="883">
        <f t="shared" si="54"/>
        <v>383</v>
      </c>
    </row>
    <row r="220" spans="3:27" x14ac:dyDescent="0.2">
      <c r="C220" s="655">
        <f t="shared" si="53"/>
        <v>2012</v>
      </c>
      <c r="D220" s="655" t="s">
        <v>67</v>
      </c>
      <c r="F220" s="12"/>
      <c r="M220" s="12"/>
      <c r="N220" s="657"/>
      <c r="Q220" s="12"/>
      <c r="R220" s="12"/>
      <c r="S220" s="12"/>
      <c r="W220" s="657"/>
      <c r="X220" s="662"/>
      <c r="Z220" s="12"/>
      <c r="AA220" s="883">
        <f t="shared" si="54"/>
        <v>422</v>
      </c>
    </row>
    <row r="221" spans="3:27" x14ac:dyDescent="0.2">
      <c r="C221" s="655">
        <f t="shared" si="53"/>
        <v>2013</v>
      </c>
      <c r="D221" s="655" t="s">
        <v>67</v>
      </c>
      <c r="F221" s="12"/>
      <c r="M221" s="12"/>
      <c r="N221" s="657"/>
      <c r="Q221" s="12"/>
      <c r="R221" s="12"/>
      <c r="S221" s="12"/>
      <c r="W221" s="657"/>
      <c r="X221" s="662"/>
      <c r="Z221" s="12"/>
      <c r="AA221" s="883">
        <f t="shared" si="54"/>
        <v>180</v>
      </c>
    </row>
    <row r="222" spans="3:27" x14ac:dyDescent="0.2">
      <c r="C222" s="655">
        <f t="shared" si="53"/>
        <v>2014</v>
      </c>
      <c r="D222" s="655" t="s">
        <v>67</v>
      </c>
      <c r="F222" s="12"/>
      <c r="M222" s="12"/>
      <c r="N222" s="657"/>
      <c r="Q222" s="12"/>
      <c r="R222" s="12"/>
      <c r="S222" s="12"/>
      <c r="W222" s="657"/>
      <c r="X222" s="662"/>
      <c r="Z222" s="12"/>
      <c r="AA222" s="883">
        <f t="shared" si="54"/>
        <v>84</v>
      </c>
    </row>
    <row r="223" spans="3:27" x14ac:dyDescent="0.2">
      <c r="C223" s="655">
        <f t="shared" si="53"/>
        <v>2015</v>
      </c>
      <c r="D223" s="655" t="s">
        <v>67</v>
      </c>
      <c r="F223" s="12"/>
      <c r="M223" s="12"/>
      <c r="N223" s="657"/>
      <c r="Q223" s="12"/>
      <c r="R223" s="12"/>
      <c r="S223" s="12"/>
      <c r="W223" s="657"/>
      <c r="X223" s="662"/>
      <c r="Z223" s="12"/>
      <c r="AA223" s="883">
        <f t="shared" si="54"/>
        <v>424</v>
      </c>
    </row>
    <row r="224" spans="3:27" x14ac:dyDescent="0.2">
      <c r="C224" s="655">
        <f t="shared" si="53"/>
        <v>2016</v>
      </c>
      <c r="D224" s="655" t="s">
        <v>67</v>
      </c>
      <c r="AA224" s="883">
        <f t="shared" si="54"/>
        <v>81</v>
      </c>
    </row>
    <row r="225" spans="3:27" x14ac:dyDescent="0.2">
      <c r="C225" s="655">
        <f t="shared" si="53"/>
        <v>2017</v>
      </c>
      <c r="D225" s="655" t="s">
        <v>67</v>
      </c>
      <c r="F225" s="12"/>
      <c r="M225" s="12"/>
      <c r="N225" s="657"/>
      <c r="Q225" s="12"/>
      <c r="R225" s="12"/>
      <c r="S225" s="12"/>
      <c r="W225" s="657"/>
      <c r="X225" s="662"/>
      <c r="Z225" s="12"/>
      <c r="AA225" s="883">
        <f t="shared" si="54"/>
        <v>49</v>
      </c>
    </row>
    <row r="226" spans="3:27" x14ac:dyDescent="0.2">
      <c r="C226" s="655">
        <f t="shared" si="53"/>
        <v>2018</v>
      </c>
      <c r="D226" s="655" t="s">
        <v>67</v>
      </c>
      <c r="F226" s="12"/>
      <c r="M226" s="12"/>
      <c r="N226" s="657"/>
      <c r="Q226" s="12"/>
      <c r="R226" s="12"/>
      <c r="S226" s="12"/>
      <c r="W226" s="657"/>
      <c r="X226" s="662"/>
      <c r="Z226" s="12"/>
      <c r="AA226" s="883">
        <f t="shared" si="54"/>
        <v>147</v>
      </c>
    </row>
    <row r="227" spans="3:27" x14ac:dyDescent="0.2">
      <c r="C227" s="655">
        <f>C201</f>
        <v>2019</v>
      </c>
      <c r="D227" s="655" t="s">
        <v>67</v>
      </c>
      <c r="F227" s="12"/>
      <c r="M227" s="12"/>
      <c r="N227" s="657"/>
      <c r="Q227" s="12"/>
      <c r="R227" s="12"/>
      <c r="S227" s="12"/>
      <c r="W227" s="657"/>
      <c r="X227" s="662"/>
      <c r="Z227" s="12"/>
      <c r="AA227" s="883">
        <f t="shared" si="54"/>
        <v>0</v>
      </c>
    </row>
    <row r="228" spans="3:27" x14ac:dyDescent="0.2">
      <c r="C228" s="655">
        <f>C202</f>
        <v>2020</v>
      </c>
      <c r="D228" s="655" t="s">
        <v>67</v>
      </c>
      <c r="AA228" s="883">
        <f t="shared" si="54"/>
        <v>61</v>
      </c>
    </row>
    <row r="229" spans="3:27" x14ac:dyDescent="0.2">
      <c r="C229" s="655">
        <f>C203</f>
        <v>2021</v>
      </c>
      <c r="D229" s="655" t="s">
        <v>67</v>
      </c>
      <c r="AA229" s="883">
        <f t="shared" si="54"/>
        <v>20</v>
      </c>
    </row>
    <row r="230" spans="3:27" x14ac:dyDescent="0.2">
      <c r="C230" s="655">
        <f>C204</f>
        <v>2022</v>
      </c>
      <c r="D230" s="655" t="s">
        <v>67</v>
      </c>
      <c r="AA230" s="883">
        <f t="shared" si="54"/>
        <v>67</v>
      </c>
    </row>
  </sheetData>
  <mergeCells count="9">
    <mergeCell ref="AH16:AI16"/>
    <mergeCell ref="AH17:AI17"/>
    <mergeCell ref="F3:R3"/>
    <mergeCell ref="U3:W3"/>
    <mergeCell ref="Y3:AA3"/>
    <mergeCell ref="F4:I4"/>
    <mergeCell ref="K4:M4"/>
    <mergeCell ref="O4:R4"/>
    <mergeCell ref="U4:W4"/>
  </mergeCells>
  <printOptions horizontalCentered="1"/>
  <pageMargins left="0.39" right="0.3" top="0.44" bottom="0.4" header="0.3" footer="0.17"/>
  <pageSetup scale="76" fitToHeight="2" orientation="landscape" r:id="rId1"/>
  <headerFooter alignWithMargins="0">
    <oddHeader>&amp;R&amp;"Calibri"&amp;12&amp;K000000 Unclassified - Non-Classifié&amp;1#_x000D_</oddHeader>
    <oddFooter>&amp;CPage &amp;P of &amp;N</oddFoot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2B9EC-A18D-4707-A2D5-A842ADBF7270}">
  <sheetPr>
    <tabColor rgb="FF00FF00"/>
  </sheetPr>
  <dimension ref="A1:Y40"/>
  <sheetViews>
    <sheetView zoomScaleNormal="100" workbookViewId="0">
      <pane ySplit="6" topLeftCell="A26" activePane="bottomLeft" state="frozen"/>
      <selection activeCell="C49" sqref="C49:E49"/>
      <selection pane="bottomLeft" activeCell="C49" sqref="C49:E49"/>
    </sheetView>
  </sheetViews>
  <sheetFormatPr defaultRowHeight="12.75" x14ac:dyDescent="0.2"/>
  <cols>
    <col min="2" max="2" width="14.42578125" customWidth="1"/>
    <col min="9" max="9" width="10.85546875" bestFit="1" customWidth="1"/>
    <col min="10" max="12" width="13.140625" customWidth="1"/>
    <col min="25" max="25" width="9.140625" style="884"/>
  </cols>
  <sheetData>
    <row r="1" spans="1:25" ht="15.75" x14ac:dyDescent="0.25">
      <c r="A1" s="629" t="s">
        <v>575</v>
      </c>
      <c r="M1" s="629"/>
      <c r="N1" s="629"/>
      <c r="O1" s="629"/>
      <c r="P1" s="629"/>
      <c r="Q1" s="629"/>
      <c r="R1" s="629"/>
      <c r="S1" s="629"/>
      <c r="T1" s="629"/>
      <c r="U1" s="629"/>
      <c r="V1" s="629"/>
    </row>
    <row r="2" spans="1:25" ht="15.75" x14ac:dyDescent="0.25">
      <c r="A2" s="629"/>
      <c r="M2" s="629"/>
      <c r="N2" s="629"/>
      <c r="O2" s="629"/>
      <c r="P2" s="629"/>
      <c r="Q2" s="629"/>
      <c r="R2" s="629"/>
      <c r="S2" s="629"/>
      <c r="T2" s="629"/>
      <c r="U2" s="629"/>
      <c r="V2" s="629"/>
    </row>
    <row r="3" spans="1:25" ht="15.75" x14ac:dyDescent="0.25">
      <c r="A3" s="12"/>
      <c r="B3" s="12" t="s">
        <v>427</v>
      </c>
      <c r="C3" s="630">
        <v>0.15</v>
      </c>
      <c r="D3" s="630">
        <v>0.6</v>
      </c>
      <c r="E3" s="630">
        <v>0.15</v>
      </c>
      <c r="F3" s="630"/>
      <c r="I3" s="630">
        <v>0.15</v>
      </c>
      <c r="J3" s="630"/>
      <c r="K3" s="630"/>
      <c r="L3" s="630"/>
      <c r="M3" s="629"/>
      <c r="N3" s="12"/>
      <c r="O3" s="12"/>
      <c r="P3" s="12"/>
      <c r="Q3" s="12"/>
      <c r="R3" s="12"/>
      <c r="S3" s="629"/>
      <c r="T3" s="12"/>
      <c r="U3" s="12"/>
      <c r="V3" s="629"/>
    </row>
    <row r="4" spans="1:25" ht="15.75" x14ac:dyDescent="0.25">
      <c r="A4" s="12"/>
      <c r="B4" s="12" t="s">
        <v>428</v>
      </c>
      <c r="C4" s="630">
        <v>0.16</v>
      </c>
      <c r="D4" s="630">
        <v>0.8</v>
      </c>
      <c r="E4" s="885">
        <f>'A3.1a_CF-Tidal (Chin)'!Z91</f>
        <v>1.1685346150887039E-3</v>
      </c>
      <c r="F4" s="630"/>
      <c r="I4" s="885">
        <f>'A3.1a_CF-Tidal (Chin)'!Z35</f>
        <v>6.4864049477693555E-3</v>
      </c>
      <c r="J4" s="630"/>
      <c r="K4" s="630"/>
      <c r="L4" s="630"/>
      <c r="M4" s="629"/>
      <c r="N4" s="12"/>
      <c r="O4" s="12"/>
      <c r="P4" s="12"/>
      <c r="Q4" s="12"/>
      <c r="R4" s="12"/>
      <c r="S4" s="636"/>
      <c r="T4" s="12"/>
      <c r="U4" s="12"/>
      <c r="V4" s="636"/>
    </row>
    <row r="5" spans="1:25" ht="15.75" customHeight="1" x14ac:dyDescent="0.25">
      <c r="A5" s="1042" t="s">
        <v>576</v>
      </c>
      <c r="B5" s="1043"/>
      <c r="C5" s="1043"/>
      <c r="D5" s="1043"/>
      <c r="E5" s="1043"/>
      <c r="F5" s="1043"/>
      <c r="G5" s="1043"/>
      <c r="H5" s="1043"/>
      <c r="I5" s="1043"/>
      <c r="J5" s="1043"/>
      <c r="K5" s="1043"/>
      <c r="L5" s="1043"/>
      <c r="M5" s="629"/>
      <c r="N5" s="886" t="s">
        <v>577</v>
      </c>
      <c r="O5" s="886"/>
      <c r="P5" s="886"/>
      <c r="Q5" s="886"/>
      <c r="R5" s="886"/>
      <c r="S5" s="887"/>
      <c r="T5" s="886"/>
      <c r="U5" s="886"/>
      <c r="V5" s="887"/>
    </row>
    <row r="6" spans="1:25" ht="51.75" x14ac:dyDescent="0.25">
      <c r="A6" s="634" t="s">
        <v>36</v>
      </c>
      <c r="B6" s="888" t="s">
        <v>578</v>
      </c>
      <c r="C6" s="889" t="s">
        <v>579</v>
      </c>
      <c r="D6" s="890" t="s">
        <v>580</v>
      </c>
      <c r="E6" s="890" t="s">
        <v>522</v>
      </c>
      <c r="F6" s="891" t="s">
        <v>581</v>
      </c>
      <c r="G6" s="891" t="s">
        <v>582</v>
      </c>
      <c r="H6" s="892" t="s">
        <v>583</v>
      </c>
      <c r="I6" s="892" t="s">
        <v>584</v>
      </c>
      <c r="J6" s="892" t="s">
        <v>585</v>
      </c>
      <c r="K6" s="892" t="s">
        <v>586</v>
      </c>
      <c r="L6" s="892" t="s">
        <v>587</v>
      </c>
      <c r="M6" s="629"/>
      <c r="N6" s="635" t="s">
        <v>574</v>
      </c>
      <c r="O6" s="635" t="s">
        <v>455</v>
      </c>
      <c r="P6" s="893" t="s">
        <v>588</v>
      </c>
      <c r="Q6" s="893" t="s">
        <v>589</v>
      </c>
      <c r="R6" s="894" t="s">
        <v>590</v>
      </c>
      <c r="S6" s="893" t="s">
        <v>591</v>
      </c>
      <c r="T6" s="893" t="s">
        <v>592</v>
      </c>
      <c r="U6" s="893" t="s">
        <v>593</v>
      </c>
      <c r="V6" s="893" t="s">
        <v>594</v>
      </c>
      <c r="Y6" s="895" t="s">
        <v>595</v>
      </c>
    </row>
    <row r="7" spans="1:25" ht="15.75" x14ac:dyDescent="0.25">
      <c r="A7" s="638">
        <v>1992</v>
      </c>
      <c r="B7" s="896">
        <v>5464.5208808217485</v>
      </c>
      <c r="C7" s="897">
        <f t="shared" ref="C7:D38" si="0">N7*C$3*C$4</f>
        <v>0</v>
      </c>
      <c r="D7" s="898">
        <f t="shared" si="0"/>
        <v>0</v>
      </c>
      <c r="E7" s="898"/>
      <c r="F7" s="898">
        <f>SUM(C7:E7)</f>
        <v>0</v>
      </c>
      <c r="G7" s="898">
        <f>SUM(B7,F7)</f>
        <v>5464.5208808217485</v>
      </c>
      <c r="H7" s="899">
        <f>'A6-Chin (NEW2+Khutz)'!AD13</f>
        <v>3207.1457858449157</v>
      </c>
      <c r="I7" s="899"/>
      <c r="J7" s="899"/>
      <c r="K7" s="899">
        <f>SUM(I7:J7)</f>
        <v>0</v>
      </c>
      <c r="L7" s="899">
        <f>K7+H7</f>
        <v>3207.1457858449157</v>
      </c>
      <c r="M7" s="629"/>
      <c r="N7" s="640"/>
      <c r="O7" s="640"/>
      <c r="P7" s="640"/>
      <c r="Q7" s="640"/>
      <c r="R7" s="900"/>
      <c r="S7" s="901"/>
      <c r="T7" s="640"/>
      <c r="U7" s="640"/>
      <c r="V7" s="901"/>
      <c r="Y7" s="902">
        <f t="shared" ref="Y7:Y40" si="1">SUM(G7,L7)</f>
        <v>8671.6666666666642</v>
      </c>
    </row>
    <row r="8" spans="1:25" ht="15.75" x14ac:dyDescent="0.25">
      <c r="A8" s="638">
        <v>1993</v>
      </c>
      <c r="B8" s="896">
        <v>7809.3391238589656</v>
      </c>
      <c r="C8" s="897">
        <f t="shared" si="0"/>
        <v>0</v>
      </c>
      <c r="D8" s="898">
        <f t="shared" si="0"/>
        <v>0</v>
      </c>
      <c r="E8" s="898"/>
      <c r="F8" s="898">
        <f t="shared" ref="F8:F38" si="2">SUM(C8:E8)</f>
        <v>0</v>
      </c>
      <c r="G8" s="898">
        <f t="shared" ref="G8:G40" si="3">SUM(B8,F8)</f>
        <v>7809.3391238589656</v>
      </c>
      <c r="H8" s="899">
        <f>'A6-Chin (NEW2+Khutz)'!AD14</f>
        <v>4583.3275428076986</v>
      </c>
      <c r="I8" s="899"/>
      <c r="J8" s="899"/>
      <c r="K8" s="899">
        <f t="shared" ref="K8:K40" si="4">SUM(I8:J8)</f>
        <v>0</v>
      </c>
      <c r="L8" s="899">
        <f t="shared" ref="L8:L39" si="5">K8+H8</f>
        <v>4583.3275428076986</v>
      </c>
      <c r="M8" s="629"/>
      <c r="N8" s="640"/>
      <c r="O8" s="640"/>
      <c r="P8" s="640"/>
      <c r="Q8" s="640"/>
      <c r="R8" s="900"/>
      <c r="S8" s="901"/>
      <c r="T8" s="640"/>
      <c r="U8" s="640"/>
      <c r="V8" s="901"/>
      <c r="Y8" s="902">
        <f t="shared" si="1"/>
        <v>12392.666666666664</v>
      </c>
    </row>
    <row r="9" spans="1:25" ht="15.75" x14ac:dyDescent="0.25">
      <c r="A9" s="638">
        <v>1994</v>
      </c>
      <c r="B9" s="896">
        <v>6731.4709611830649</v>
      </c>
      <c r="C9" s="897">
        <f t="shared" si="0"/>
        <v>0</v>
      </c>
      <c r="D9" s="898">
        <f t="shared" si="0"/>
        <v>0</v>
      </c>
      <c r="E9" s="898"/>
      <c r="F9" s="898">
        <f t="shared" si="2"/>
        <v>0</v>
      </c>
      <c r="G9" s="898">
        <f t="shared" si="3"/>
        <v>6731.4709611830649</v>
      </c>
      <c r="H9" s="899">
        <f>'A6-Chin (NEW2+Khutz)'!AD15</f>
        <v>3950.723072806556</v>
      </c>
      <c r="I9" s="899"/>
      <c r="J9" s="899"/>
      <c r="K9" s="899">
        <f t="shared" si="4"/>
        <v>0</v>
      </c>
      <c r="L9" s="899">
        <f t="shared" si="5"/>
        <v>3950.723072806556</v>
      </c>
      <c r="M9" s="629"/>
      <c r="N9" s="640"/>
      <c r="O9" s="640"/>
      <c r="P9" s="640"/>
      <c r="Q9" s="640"/>
      <c r="R9" s="900"/>
      <c r="S9" s="901"/>
      <c r="T9" s="640"/>
      <c r="U9" s="640"/>
      <c r="V9" s="901"/>
      <c r="Y9" s="902">
        <f t="shared" si="1"/>
        <v>10682.194033989621</v>
      </c>
    </row>
    <row r="10" spans="1:25" ht="15.75" x14ac:dyDescent="0.25">
      <c r="A10" s="638">
        <v>1995</v>
      </c>
      <c r="B10" s="896">
        <v>3408.7592038463467</v>
      </c>
      <c r="C10" s="897">
        <f t="shared" si="0"/>
        <v>0</v>
      </c>
      <c r="D10" s="898">
        <f t="shared" si="0"/>
        <v>0</v>
      </c>
      <c r="E10" s="898"/>
      <c r="F10" s="898">
        <f t="shared" si="2"/>
        <v>0</v>
      </c>
      <c r="G10" s="898">
        <f t="shared" si="3"/>
        <v>3408.7592038463467</v>
      </c>
      <c r="H10" s="899">
        <f>'A6-Chin (NEW2+Khutz)'!AD16</f>
        <v>2000.6123050868241</v>
      </c>
      <c r="I10" s="899"/>
      <c r="J10" s="899"/>
      <c r="K10" s="899">
        <f t="shared" si="4"/>
        <v>0</v>
      </c>
      <c r="L10" s="899">
        <f t="shared" si="5"/>
        <v>2000.6123050868241</v>
      </c>
      <c r="M10" s="629"/>
      <c r="N10" s="640"/>
      <c r="O10" s="640"/>
      <c r="P10" s="640"/>
      <c r="Q10" s="640"/>
      <c r="R10" s="900"/>
      <c r="S10" s="901"/>
      <c r="T10" s="640"/>
      <c r="U10" s="640"/>
      <c r="V10" s="901"/>
      <c r="Y10" s="902">
        <f t="shared" si="1"/>
        <v>5409.3715089331708</v>
      </c>
    </row>
    <row r="11" spans="1:25" ht="15.75" x14ac:dyDescent="0.25">
      <c r="A11" s="638">
        <v>1996</v>
      </c>
      <c r="B11" s="896">
        <v>6538.2283475257427</v>
      </c>
      <c r="C11" s="897">
        <f t="shared" si="0"/>
        <v>0</v>
      </c>
      <c r="D11" s="898">
        <f t="shared" si="0"/>
        <v>0</v>
      </c>
      <c r="E11" s="898"/>
      <c r="F11" s="898">
        <f t="shared" si="2"/>
        <v>0</v>
      </c>
      <c r="G11" s="898">
        <f t="shared" si="3"/>
        <v>6538.2283475257427</v>
      </c>
      <c r="H11" s="899">
        <f>'A6-Chin (NEW2+Khutz)'!AD17</f>
        <v>3837.308329308762</v>
      </c>
      <c r="I11" s="899"/>
      <c r="J11" s="899"/>
      <c r="K11" s="899">
        <f t="shared" si="4"/>
        <v>0</v>
      </c>
      <c r="L11" s="899">
        <f t="shared" si="5"/>
        <v>3837.308329308762</v>
      </c>
      <c r="M11" s="629"/>
      <c r="N11" s="640"/>
      <c r="O11" s="640"/>
      <c r="P11" s="640"/>
      <c r="Q11" s="640"/>
      <c r="R11" s="900"/>
      <c r="S11" s="901"/>
      <c r="T11" s="640"/>
      <c r="U11" s="640"/>
      <c r="V11" s="901"/>
      <c r="Y11" s="902">
        <f t="shared" si="1"/>
        <v>10375.536676834505</v>
      </c>
    </row>
    <row r="12" spans="1:25" ht="15.75" x14ac:dyDescent="0.25">
      <c r="A12" s="638">
        <v>1997</v>
      </c>
      <c r="B12" s="896">
        <v>5664.4138550437501</v>
      </c>
      <c r="C12" s="897">
        <f t="shared" si="0"/>
        <v>0</v>
      </c>
      <c r="D12" s="898">
        <f t="shared" si="0"/>
        <v>0</v>
      </c>
      <c r="E12" s="898"/>
      <c r="F12" s="898">
        <f t="shared" si="2"/>
        <v>0</v>
      </c>
      <c r="G12" s="898">
        <f t="shared" si="3"/>
        <v>5664.4138550437501</v>
      </c>
      <c r="H12" s="899">
        <f>'A6-Chin (NEW2+Khutz)'!AD18</f>
        <v>3324.463648449494</v>
      </c>
      <c r="I12" s="899"/>
      <c r="J12" s="899"/>
      <c r="K12" s="899">
        <f t="shared" si="4"/>
        <v>0</v>
      </c>
      <c r="L12" s="899">
        <f t="shared" si="5"/>
        <v>3324.463648449494</v>
      </c>
      <c r="M12" s="629"/>
      <c r="N12" s="640"/>
      <c r="O12" s="640"/>
      <c r="P12" s="640"/>
      <c r="Q12" s="640"/>
      <c r="R12" s="900"/>
      <c r="S12" s="901"/>
      <c r="T12" s="640"/>
      <c r="U12" s="640"/>
      <c r="V12" s="901"/>
      <c r="Y12" s="902">
        <f t="shared" si="1"/>
        <v>8988.8775034932441</v>
      </c>
    </row>
    <row r="13" spans="1:25" ht="15.75" x14ac:dyDescent="0.25">
      <c r="A13" s="638">
        <v>1998</v>
      </c>
      <c r="B13" s="896">
        <v>7191.3883245505385</v>
      </c>
      <c r="C13" s="897">
        <f t="shared" si="0"/>
        <v>0</v>
      </c>
      <c r="D13" s="898">
        <f t="shared" si="0"/>
        <v>0</v>
      </c>
      <c r="E13" s="898"/>
      <c r="F13" s="898">
        <f t="shared" si="2"/>
        <v>0</v>
      </c>
      <c r="G13" s="898">
        <f t="shared" si="3"/>
        <v>7191.3883245505385</v>
      </c>
      <c r="H13" s="899">
        <f>'A6-Chin (NEW2+Khutz)'!AD19</f>
        <v>4220.6501287974352</v>
      </c>
      <c r="I13" s="899"/>
      <c r="J13" s="899"/>
      <c r="K13" s="899">
        <f t="shared" si="4"/>
        <v>0</v>
      </c>
      <c r="L13" s="899">
        <f t="shared" si="5"/>
        <v>4220.6501287974352</v>
      </c>
      <c r="M13" s="629"/>
      <c r="N13" s="640"/>
      <c r="O13" s="640"/>
      <c r="P13" s="640"/>
      <c r="Q13" s="640"/>
      <c r="R13" s="900"/>
      <c r="S13" s="901"/>
      <c r="T13" s="640"/>
      <c r="U13" s="640"/>
      <c r="V13" s="901"/>
      <c r="Y13" s="902">
        <f t="shared" si="1"/>
        <v>11412.038453347974</v>
      </c>
    </row>
    <row r="14" spans="1:25" ht="15.75" x14ac:dyDescent="0.25">
      <c r="A14" s="638">
        <v>1999</v>
      </c>
      <c r="B14" s="896">
        <v>4561.9285096861749</v>
      </c>
      <c r="C14" s="897">
        <f t="shared" si="0"/>
        <v>0</v>
      </c>
      <c r="D14" s="898">
        <f t="shared" si="0"/>
        <v>0</v>
      </c>
      <c r="E14" s="898"/>
      <c r="F14" s="898">
        <f t="shared" si="2"/>
        <v>0</v>
      </c>
      <c r="G14" s="898">
        <f t="shared" si="3"/>
        <v>4561.9285096861749</v>
      </c>
      <c r="H14" s="899">
        <f>'A6-Chin (NEW2+Khutz)'!AD20</f>
        <v>2677.4112706777014</v>
      </c>
      <c r="I14" s="899"/>
      <c r="J14" s="899"/>
      <c r="K14" s="899">
        <f t="shared" si="4"/>
        <v>0</v>
      </c>
      <c r="L14" s="899">
        <f t="shared" si="5"/>
        <v>2677.4112706777014</v>
      </c>
      <c r="M14" s="629"/>
      <c r="N14" s="640"/>
      <c r="O14" s="640"/>
      <c r="P14" s="640"/>
      <c r="Q14" s="640"/>
      <c r="R14" s="900"/>
      <c r="S14" s="901"/>
      <c r="T14" s="640"/>
      <c r="U14" s="640"/>
      <c r="V14" s="901"/>
      <c r="Y14" s="902">
        <f t="shared" si="1"/>
        <v>7239.3397803638763</v>
      </c>
    </row>
    <row r="15" spans="1:25" ht="15.75" x14ac:dyDescent="0.25">
      <c r="A15" s="638">
        <v>2000</v>
      </c>
      <c r="B15" s="896">
        <f>'A3.1a_CF-Tidal (Chin)'!AC94</f>
        <v>1826</v>
      </c>
      <c r="C15" s="897">
        <f t="shared" si="0"/>
        <v>0</v>
      </c>
      <c r="D15" s="898">
        <f t="shared" si="0"/>
        <v>0</v>
      </c>
      <c r="E15" s="898"/>
      <c r="F15" s="898">
        <f t="shared" si="2"/>
        <v>0</v>
      </c>
      <c r="G15" s="898">
        <f t="shared" si="3"/>
        <v>1826</v>
      </c>
      <c r="H15" s="899">
        <f>'A3.1a_CF-Tidal (Chin)'!AC10</f>
        <v>986</v>
      </c>
      <c r="I15" s="899"/>
      <c r="J15" s="899"/>
      <c r="K15" s="899">
        <f t="shared" si="4"/>
        <v>0</v>
      </c>
      <c r="L15" s="899">
        <f t="shared" si="5"/>
        <v>986</v>
      </c>
      <c r="M15" s="629"/>
      <c r="N15" s="640"/>
      <c r="O15" s="640"/>
      <c r="P15" s="640"/>
      <c r="Q15" s="640"/>
      <c r="R15" s="900"/>
      <c r="S15" s="901"/>
      <c r="T15" s="640"/>
      <c r="U15" s="640"/>
      <c r="V15" s="901"/>
      <c r="Y15" s="902">
        <f t="shared" si="1"/>
        <v>2812</v>
      </c>
    </row>
    <row r="16" spans="1:25" ht="15.75" x14ac:dyDescent="0.25">
      <c r="A16" s="638">
        <v>2001</v>
      </c>
      <c r="B16" s="896">
        <f>'A3.1a_CF-Tidal (Chin)'!AC95</f>
        <v>928</v>
      </c>
      <c r="C16" s="897">
        <f t="shared" si="0"/>
        <v>0</v>
      </c>
      <c r="D16" s="898">
        <f t="shared" si="0"/>
        <v>0</v>
      </c>
      <c r="E16" s="898"/>
      <c r="F16" s="898">
        <f t="shared" si="2"/>
        <v>0</v>
      </c>
      <c r="G16" s="898">
        <f t="shared" si="3"/>
        <v>928</v>
      </c>
      <c r="H16" s="899">
        <f>'A3.1a_CF-Tidal (Chin)'!AC11</f>
        <v>1705</v>
      </c>
      <c r="I16" s="899"/>
      <c r="J16" s="899"/>
      <c r="K16" s="899">
        <f t="shared" si="4"/>
        <v>0</v>
      </c>
      <c r="L16" s="899">
        <f t="shared" si="5"/>
        <v>1705</v>
      </c>
      <c r="M16" s="629"/>
      <c r="N16" s="640"/>
      <c r="O16" s="640"/>
      <c r="P16" s="640"/>
      <c r="Q16" s="640"/>
      <c r="R16" s="900"/>
      <c r="S16" s="901"/>
      <c r="T16" s="640"/>
      <c r="U16" s="640"/>
      <c r="V16" s="901"/>
      <c r="Y16" s="902">
        <f t="shared" si="1"/>
        <v>2633</v>
      </c>
    </row>
    <row r="17" spans="1:25" ht="15.75" x14ac:dyDescent="0.25">
      <c r="A17" s="638">
        <v>2002</v>
      </c>
      <c r="B17" s="896">
        <f>'A3.1a_CF-Tidal (Chin)'!AC96</f>
        <v>5980</v>
      </c>
      <c r="C17" s="897">
        <f t="shared" si="0"/>
        <v>0</v>
      </c>
      <c r="D17" s="898">
        <f t="shared" si="0"/>
        <v>0</v>
      </c>
      <c r="E17" s="898"/>
      <c r="F17" s="898">
        <f t="shared" si="2"/>
        <v>0</v>
      </c>
      <c r="G17" s="898">
        <f t="shared" si="3"/>
        <v>5980</v>
      </c>
      <c r="H17" s="899">
        <f>'A3.1a_CF-Tidal (Chin)'!AC12</f>
        <v>1116</v>
      </c>
      <c r="I17" s="899"/>
      <c r="J17" s="899"/>
      <c r="K17" s="899">
        <f t="shared" si="4"/>
        <v>0</v>
      </c>
      <c r="L17" s="899">
        <f t="shared" si="5"/>
        <v>1116</v>
      </c>
      <c r="M17" s="629"/>
      <c r="N17" s="640"/>
      <c r="O17" s="640"/>
      <c r="P17" s="640"/>
      <c r="Q17" s="640"/>
      <c r="R17" s="900"/>
      <c r="S17" s="901"/>
      <c r="T17" s="640"/>
      <c r="U17" s="640"/>
      <c r="V17" s="901"/>
      <c r="Y17" s="902">
        <f t="shared" si="1"/>
        <v>7096</v>
      </c>
    </row>
    <row r="18" spans="1:25" ht="15.75" x14ac:dyDescent="0.25">
      <c r="A18" s="638">
        <v>2003</v>
      </c>
      <c r="B18" s="896">
        <f>'A3.1a_CF-Tidal (Chin)'!AC97</f>
        <v>6076</v>
      </c>
      <c r="C18" s="897">
        <f t="shared" si="0"/>
        <v>0</v>
      </c>
      <c r="D18" s="898">
        <f t="shared" si="0"/>
        <v>0</v>
      </c>
      <c r="E18" s="898"/>
      <c r="F18" s="898">
        <f t="shared" si="2"/>
        <v>0</v>
      </c>
      <c r="G18" s="898">
        <f t="shared" si="3"/>
        <v>6076</v>
      </c>
      <c r="H18" s="899">
        <f>'A3.1a_CF-Tidal (Chin)'!AC13</f>
        <v>1167</v>
      </c>
      <c r="I18" s="899"/>
      <c r="J18" s="899"/>
      <c r="K18" s="899">
        <f t="shared" si="4"/>
        <v>0</v>
      </c>
      <c r="L18" s="899">
        <f t="shared" si="5"/>
        <v>1167</v>
      </c>
      <c r="M18" s="629"/>
      <c r="N18" s="640"/>
      <c r="O18" s="640"/>
      <c r="P18" s="640"/>
      <c r="Q18" s="640"/>
      <c r="R18" s="900"/>
      <c r="S18" s="901"/>
      <c r="T18" s="640"/>
      <c r="U18" s="640"/>
      <c r="V18" s="901"/>
      <c r="Y18" s="902">
        <f t="shared" si="1"/>
        <v>7243</v>
      </c>
    </row>
    <row r="19" spans="1:25" ht="15.75" x14ac:dyDescent="0.25">
      <c r="A19" s="638">
        <v>2004</v>
      </c>
      <c r="B19" s="896">
        <f>'A3.1a_CF-Tidal (Chin)'!AC98</f>
        <v>6689</v>
      </c>
      <c r="C19" s="897">
        <f t="shared" si="0"/>
        <v>165.792</v>
      </c>
      <c r="D19" s="898">
        <f t="shared" si="0"/>
        <v>330.72</v>
      </c>
      <c r="E19" s="898"/>
      <c r="F19" s="898">
        <f t="shared" si="2"/>
        <v>496.51200000000006</v>
      </c>
      <c r="G19" s="898">
        <f t="shared" si="3"/>
        <v>7185.5119999999997</v>
      </c>
      <c r="H19" s="899">
        <f>'A3.1a_CF-Tidal (Chin)'!AC14</f>
        <v>1925</v>
      </c>
      <c r="I19" s="899"/>
      <c r="J19" s="899"/>
      <c r="K19" s="899">
        <f t="shared" si="4"/>
        <v>0</v>
      </c>
      <c r="L19" s="899">
        <f t="shared" si="5"/>
        <v>1925</v>
      </c>
      <c r="M19" s="629"/>
      <c r="N19" s="640">
        <f>'[1]Data-Commercial Kept &amp; releases'!M31</f>
        <v>6908</v>
      </c>
      <c r="O19" s="640">
        <f>'[1]Data-Commercial Kept &amp; releases'!M7</f>
        <v>689</v>
      </c>
      <c r="P19" s="640"/>
      <c r="Q19" s="640"/>
      <c r="R19" s="900">
        <f t="shared" ref="R19:R40" si="6">SUM(N19:P19)</f>
        <v>7597</v>
      </c>
      <c r="S19" s="640"/>
      <c r="T19" s="640"/>
      <c r="U19" s="640"/>
      <c r="V19" s="640"/>
      <c r="Y19" s="902">
        <f t="shared" si="1"/>
        <v>9110.5119999999988</v>
      </c>
    </row>
    <row r="20" spans="1:25" ht="15.75" x14ac:dyDescent="0.25">
      <c r="A20" s="638">
        <v>2005</v>
      </c>
      <c r="B20" s="896">
        <f>'A3.1a_CF-Tidal (Chin)'!AC99</f>
        <v>3115</v>
      </c>
      <c r="C20" s="897">
        <f t="shared" si="0"/>
        <v>54.288000000000004</v>
      </c>
      <c r="D20" s="898">
        <f t="shared" si="0"/>
        <v>279.36</v>
      </c>
      <c r="E20" s="898"/>
      <c r="F20" s="898">
        <f t="shared" si="2"/>
        <v>333.64800000000002</v>
      </c>
      <c r="G20" s="898">
        <f t="shared" si="3"/>
        <v>3448.6480000000001</v>
      </c>
      <c r="H20" s="899">
        <f>'A3.1a_CF-Tidal (Chin)'!AC15</f>
        <v>1542</v>
      </c>
      <c r="I20" s="899"/>
      <c r="J20" s="899"/>
      <c r="K20" s="899">
        <f t="shared" si="4"/>
        <v>0</v>
      </c>
      <c r="L20" s="899">
        <f t="shared" si="5"/>
        <v>1542</v>
      </c>
      <c r="M20" s="629"/>
      <c r="N20" s="640">
        <f>'[1]Data-Commercial Kept &amp; releases'!M32</f>
        <v>2262</v>
      </c>
      <c r="O20" s="640">
        <f>'[1]Data-Commercial Kept &amp; releases'!M8</f>
        <v>582</v>
      </c>
      <c r="P20" s="640"/>
      <c r="Q20" s="640"/>
      <c r="R20" s="900">
        <f t="shared" si="6"/>
        <v>2844</v>
      </c>
      <c r="S20" s="640"/>
      <c r="T20" s="640"/>
      <c r="U20" s="640"/>
      <c r="V20" s="640"/>
      <c r="Y20" s="902">
        <f t="shared" si="1"/>
        <v>4990.6480000000001</v>
      </c>
    </row>
    <row r="21" spans="1:25" ht="15.75" x14ac:dyDescent="0.25">
      <c r="A21" s="638">
        <v>2006</v>
      </c>
      <c r="B21" s="896">
        <f>'A3.1a_CF-Tidal (Chin)'!AC100</f>
        <v>4513</v>
      </c>
      <c r="C21" s="897">
        <f t="shared" si="0"/>
        <v>28.824000000000002</v>
      </c>
      <c r="D21" s="898">
        <f t="shared" si="0"/>
        <v>397.44</v>
      </c>
      <c r="E21" s="898"/>
      <c r="F21" s="898">
        <f t="shared" si="2"/>
        <v>426.26400000000001</v>
      </c>
      <c r="G21" s="898">
        <f t="shared" si="3"/>
        <v>4939.2640000000001</v>
      </c>
      <c r="H21" s="899">
        <f>'A3.1a_CF-Tidal (Chin)'!AC16</f>
        <v>983</v>
      </c>
      <c r="I21" s="899"/>
      <c r="J21" s="899"/>
      <c r="K21" s="899">
        <f t="shared" si="4"/>
        <v>0</v>
      </c>
      <c r="L21" s="899">
        <f t="shared" si="5"/>
        <v>983</v>
      </c>
      <c r="M21" s="629"/>
      <c r="N21" s="640">
        <f>'[1]Data-Commercial Kept &amp; releases'!M33</f>
        <v>1201</v>
      </c>
      <c r="O21" s="640">
        <f>'[1]Data-Commercial Kept &amp; releases'!M9</f>
        <v>828</v>
      </c>
      <c r="P21" s="640"/>
      <c r="Q21" s="640"/>
      <c r="R21" s="900">
        <f t="shared" si="6"/>
        <v>2029</v>
      </c>
      <c r="S21" s="640"/>
      <c r="T21" s="640"/>
      <c r="U21" s="640"/>
      <c r="V21" s="640"/>
      <c r="Y21" s="902">
        <f t="shared" si="1"/>
        <v>5922.2640000000001</v>
      </c>
    </row>
    <row r="22" spans="1:25" ht="15.75" x14ac:dyDescent="0.25">
      <c r="A22" s="638">
        <v>2007</v>
      </c>
      <c r="B22" s="896">
        <f>'A3.1a_CF-Tidal (Chin)'!AC101</f>
        <v>4031</v>
      </c>
      <c r="C22" s="897">
        <f t="shared" si="0"/>
        <v>116.68799999999999</v>
      </c>
      <c r="D22" s="898">
        <f t="shared" si="0"/>
        <v>327.36</v>
      </c>
      <c r="E22" s="898"/>
      <c r="F22" s="898">
        <f t="shared" si="2"/>
        <v>444.048</v>
      </c>
      <c r="G22" s="898">
        <f t="shared" si="3"/>
        <v>4475.0479999999998</v>
      </c>
      <c r="H22" s="899">
        <f>'A3.1a_CF-Tidal (Chin)'!AC17</f>
        <v>1810</v>
      </c>
      <c r="I22" s="899"/>
      <c r="J22" s="899"/>
      <c r="K22" s="899">
        <f t="shared" si="4"/>
        <v>0</v>
      </c>
      <c r="L22" s="899">
        <f t="shared" si="5"/>
        <v>1810</v>
      </c>
      <c r="M22" s="629"/>
      <c r="N22" s="640">
        <f>'[1]Data-Commercial Kept &amp; releases'!M34</f>
        <v>4862</v>
      </c>
      <c r="O22" s="640">
        <f>'[1]Data-Commercial Kept &amp; releases'!M10</f>
        <v>682</v>
      </c>
      <c r="P22" s="640"/>
      <c r="Q22" s="640"/>
      <c r="R22" s="900">
        <f t="shared" si="6"/>
        <v>5544</v>
      </c>
      <c r="S22" s="640"/>
      <c r="T22" s="640"/>
      <c r="U22" s="640"/>
      <c r="V22" s="640"/>
      <c r="Y22" s="902">
        <f t="shared" si="1"/>
        <v>6285.0479999999998</v>
      </c>
    </row>
    <row r="23" spans="1:25" ht="15.75" x14ac:dyDescent="0.25">
      <c r="A23" s="638">
        <v>2008</v>
      </c>
      <c r="B23" s="896">
        <f>'A3.1a_CF-Tidal (Chin)'!AC102</f>
        <v>385</v>
      </c>
      <c r="C23" s="897">
        <f t="shared" si="0"/>
        <v>3.8639999999999999</v>
      </c>
      <c r="D23" s="898">
        <f t="shared" si="0"/>
        <v>77.760000000000005</v>
      </c>
      <c r="E23" s="898"/>
      <c r="F23" s="898">
        <f t="shared" si="2"/>
        <v>81.624000000000009</v>
      </c>
      <c r="G23" s="898">
        <f t="shared" si="3"/>
        <v>466.62400000000002</v>
      </c>
      <c r="H23" s="899">
        <f>'A3.1a_CF-Tidal (Chin)'!AC18</f>
        <v>1620</v>
      </c>
      <c r="I23" s="899"/>
      <c r="J23" s="899"/>
      <c r="K23" s="899">
        <f t="shared" si="4"/>
        <v>0</v>
      </c>
      <c r="L23" s="899">
        <f t="shared" si="5"/>
        <v>1620</v>
      </c>
      <c r="M23" s="629"/>
      <c r="N23" s="640">
        <f>'[1]Data-Commercial Kept &amp; releases'!M35</f>
        <v>161</v>
      </c>
      <c r="O23" s="640">
        <f>'[1]Data-Commercial Kept &amp; releases'!M11</f>
        <v>162</v>
      </c>
      <c r="P23" s="640"/>
      <c r="Q23" s="640"/>
      <c r="R23" s="900">
        <f t="shared" si="6"/>
        <v>323</v>
      </c>
      <c r="S23" s="640"/>
      <c r="T23" s="640"/>
      <c r="U23" s="640"/>
      <c r="V23" s="640"/>
      <c r="Y23" s="902">
        <f t="shared" si="1"/>
        <v>2086.6239999999998</v>
      </c>
    </row>
    <row r="24" spans="1:25" ht="15.75" x14ac:dyDescent="0.25">
      <c r="A24" s="638">
        <v>2009</v>
      </c>
      <c r="B24" s="896">
        <f>'A3.1a_CF-Tidal (Chin)'!AC103</f>
        <v>1123</v>
      </c>
      <c r="C24" s="897">
        <f t="shared" si="0"/>
        <v>32.351999999999997</v>
      </c>
      <c r="D24" s="898">
        <f t="shared" si="0"/>
        <v>210.72</v>
      </c>
      <c r="E24" s="898"/>
      <c r="F24" s="898">
        <f t="shared" si="2"/>
        <v>243.072</v>
      </c>
      <c r="G24" s="898">
        <f t="shared" si="3"/>
        <v>1366.0720000000001</v>
      </c>
      <c r="H24" s="899">
        <f>'A3.1a_CF-Tidal (Chin)'!AC19</f>
        <v>1316</v>
      </c>
      <c r="I24" s="899"/>
      <c r="J24" s="899"/>
      <c r="K24" s="899">
        <f t="shared" si="4"/>
        <v>0</v>
      </c>
      <c r="L24" s="899">
        <f t="shared" si="5"/>
        <v>1316</v>
      </c>
      <c r="M24" s="629"/>
      <c r="N24" s="640">
        <f>'[1]Data-Commercial Kept &amp; releases'!M36</f>
        <v>1348</v>
      </c>
      <c r="O24" s="640">
        <f>'[1]Data-Commercial Kept &amp; releases'!M12</f>
        <v>439</v>
      </c>
      <c r="P24" s="640"/>
      <c r="Q24" s="640"/>
      <c r="R24" s="900">
        <f t="shared" si="6"/>
        <v>1787</v>
      </c>
      <c r="S24" s="640"/>
      <c r="T24" s="640"/>
      <c r="U24" s="640"/>
      <c r="V24" s="640"/>
      <c r="Y24" s="902">
        <f t="shared" si="1"/>
        <v>2682.0720000000001</v>
      </c>
    </row>
    <row r="25" spans="1:25" ht="15.75" x14ac:dyDescent="0.25">
      <c r="A25" s="638">
        <v>2010</v>
      </c>
      <c r="B25" s="896">
        <f>'A3.1a_CF-Tidal (Chin)'!AC104</f>
        <v>822</v>
      </c>
      <c r="C25" s="897">
        <f t="shared" si="0"/>
        <v>5.4</v>
      </c>
      <c r="D25" s="898">
        <f t="shared" si="0"/>
        <v>145.92000000000002</v>
      </c>
      <c r="E25" s="898"/>
      <c r="F25" s="898">
        <f t="shared" si="2"/>
        <v>151.32000000000002</v>
      </c>
      <c r="G25" s="898">
        <f t="shared" si="3"/>
        <v>973.32</v>
      </c>
      <c r="H25" s="899">
        <f>'A3.1a_CF-Tidal (Chin)'!AC20</f>
        <v>399</v>
      </c>
      <c r="I25" s="899"/>
      <c r="J25" s="899"/>
      <c r="K25" s="899">
        <f t="shared" si="4"/>
        <v>0</v>
      </c>
      <c r="L25" s="899">
        <f t="shared" si="5"/>
        <v>399</v>
      </c>
      <c r="M25" s="629"/>
      <c r="N25" s="640">
        <f>'[1]Data-Commercial Kept &amp; releases'!M37</f>
        <v>225</v>
      </c>
      <c r="O25" s="640">
        <f>'[1]Data-Commercial Kept &amp; releases'!M13</f>
        <v>304</v>
      </c>
      <c r="P25" s="640"/>
      <c r="Q25" s="640"/>
      <c r="R25" s="900">
        <f t="shared" si="6"/>
        <v>529</v>
      </c>
      <c r="S25" s="640"/>
      <c r="T25" s="640"/>
      <c r="U25" s="640"/>
      <c r="V25" s="640"/>
      <c r="Y25" s="902">
        <f t="shared" si="1"/>
        <v>1372.3200000000002</v>
      </c>
    </row>
    <row r="26" spans="1:25" ht="15.75" x14ac:dyDescent="0.25">
      <c r="A26" s="638">
        <v>2011</v>
      </c>
      <c r="B26" s="896">
        <f>'A3.1a_CF-Tidal (Chin)'!AC105</f>
        <v>1204</v>
      </c>
      <c r="C26" s="897">
        <f t="shared" si="0"/>
        <v>21.791999999999998</v>
      </c>
      <c r="D26" s="898">
        <f t="shared" si="0"/>
        <v>145.44</v>
      </c>
      <c r="E26" s="898"/>
      <c r="F26" s="898">
        <f t="shared" si="2"/>
        <v>167.232</v>
      </c>
      <c r="G26" s="898">
        <f t="shared" si="3"/>
        <v>1371.232</v>
      </c>
      <c r="H26" s="899">
        <f>'A3.1a_CF-Tidal (Chin)'!AC21</f>
        <v>898</v>
      </c>
      <c r="I26" s="899"/>
      <c r="J26" s="899"/>
      <c r="K26" s="899">
        <f t="shared" si="4"/>
        <v>0</v>
      </c>
      <c r="L26" s="899">
        <f t="shared" si="5"/>
        <v>898</v>
      </c>
      <c r="M26" s="629"/>
      <c r="N26" s="640">
        <f>'[1]Data-Commercial Kept &amp; releases'!M38</f>
        <v>908</v>
      </c>
      <c r="O26" s="640">
        <f>'[1]Data-Commercial Kept &amp; releases'!M14</f>
        <v>303</v>
      </c>
      <c r="P26" s="640"/>
      <c r="Q26" s="640"/>
      <c r="R26" s="900">
        <f t="shared" si="6"/>
        <v>1211</v>
      </c>
      <c r="S26" s="640"/>
      <c r="T26" s="640"/>
      <c r="U26" s="640"/>
      <c r="V26" s="640"/>
      <c r="Y26" s="902">
        <f t="shared" si="1"/>
        <v>2269.232</v>
      </c>
    </row>
    <row r="27" spans="1:25" ht="15.75" x14ac:dyDescent="0.25">
      <c r="A27" s="638">
        <v>2012</v>
      </c>
      <c r="B27" s="896">
        <f>'A3.1a_CF-Tidal (Chin)'!AC106</f>
        <v>794</v>
      </c>
      <c r="C27" s="897">
        <f t="shared" si="0"/>
        <v>12.456</v>
      </c>
      <c r="D27" s="898">
        <f t="shared" si="0"/>
        <v>441.12</v>
      </c>
      <c r="E27" s="898"/>
      <c r="F27" s="898">
        <f t="shared" si="2"/>
        <v>453.57600000000002</v>
      </c>
      <c r="G27" s="898">
        <f t="shared" si="3"/>
        <v>1247.576</v>
      </c>
      <c r="H27" s="899">
        <f>'A3.1a_CF-Tidal (Chin)'!AC22</f>
        <v>494</v>
      </c>
      <c r="I27" s="899"/>
      <c r="J27" s="899"/>
      <c r="K27" s="899">
        <f t="shared" si="4"/>
        <v>0</v>
      </c>
      <c r="L27" s="899">
        <f t="shared" si="5"/>
        <v>494</v>
      </c>
      <c r="M27" s="629"/>
      <c r="N27" s="640">
        <f>'[1]Data-Commercial Kept &amp; releases'!M39</f>
        <v>519</v>
      </c>
      <c r="O27" s="640">
        <f>'[1]Data-Commercial Kept &amp; releases'!M15</f>
        <v>919</v>
      </c>
      <c r="P27" s="640"/>
      <c r="Q27" s="640"/>
      <c r="R27" s="900">
        <f t="shared" si="6"/>
        <v>1438</v>
      </c>
      <c r="S27" s="640"/>
      <c r="T27" s="640"/>
      <c r="U27" s="640"/>
      <c r="V27" s="640"/>
      <c r="Y27" s="902">
        <f t="shared" si="1"/>
        <v>1741.576</v>
      </c>
    </row>
    <row r="28" spans="1:25" ht="15.75" x14ac:dyDescent="0.25">
      <c r="A28" s="638">
        <v>2013</v>
      </c>
      <c r="B28" s="896">
        <f>'A3.1a_CF-Tidal (Chin)'!AC107</f>
        <v>1084</v>
      </c>
      <c r="C28" s="897">
        <f t="shared" si="0"/>
        <v>26.471999999999998</v>
      </c>
      <c r="D28" s="898">
        <f t="shared" si="0"/>
        <v>765.6</v>
      </c>
      <c r="E28" s="898"/>
      <c r="F28" s="898">
        <f t="shared" si="2"/>
        <v>792.072</v>
      </c>
      <c r="G28" s="898">
        <f t="shared" si="3"/>
        <v>1876.0720000000001</v>
      </c>
      <c r="H28" s="899">
        <f>'A3.1a_CF-Tidal (Chin)'!AC23</f>
        <v>518</v>
      </c>
      <c r="I28" s="899"/>
      <c r="J28" s="899"/>
      <c r="K28" s="899">
        <f t="shared" si="4"/>
        <v>0</v>
      </c>
      <c r="L28" s="899">
        <f t="shared" si="5"/>
        <v>518</v>
      </c>
      <c r="M28" s="629"/>
      <c r="N28" s="640">
        <f>'[1]Data-Commercial Kept &amp; releases'!M40</f>
        <v>1103</v>
      </c>
      <c r="O28" s="640">
        <f>'[1]Data-Commercial Kept &amp; releases'!M16</f>
        <v>1595</v>
      </c>
      <c r="P28" s="640"/>
      <c r="Q28" s="640"/>
      <c r="R28" s="900">
        <f t="shared" si="6"/>
        <v>2698</v>
      </c>
      <c r="S28" s="640"/>
      <c r="T28" s="640"/>
      <c r="U28" s="640"/>
      <c r="V28" s="640"/>
      <c r="Y28" s="902">
        <f t="shared" si="1"/>
        <v>2394.0720000000001</v>
      </c>
    </row>
    <row r="29" spans="1:25" ht="15.75" x14ac:dyDescent="0.25">
      <c r="A29" s="638">
        <v>2014</v>
      </c>
      <c r="B29" s="896">
        <f>'A3.1a_CF-Tidal (Chin)'!AC108</f>
        <v>1645</v>
      </c>
      <c r="C29" s="897">
        <f t="shared" si="0"/>
        <v>16.968</v>
      </c>
      <c r="D29" s="898">
        <f t="shared" si="0"/>
        <v>384.48</v>
      </c>
      <c r="E29" s="898"/>
      <c r="F29" s="898">
        <f t="shared" si="2"/>
        <v>401.44800000000004</v>
      </c>
      <c r="G29" s="898">
        <f t="shared" si="3"/>
        <v>2046.4480000000001</v>
      </c>
      <c r="H29" s="899">
        <f>'A3.1a_CF-Tidal (Chin)'!AC24</f>
        <v>734</v>
      </c>
      <c r="I29" s="899"/>
      <c r="J29" s="899"/>
      <c r="K29" s="899">
        <f t="shared" si="4"/>
        <v>0</v>
      </c>
      <c r="L29" s="899">
        <f t="shared" si="5"/>
        <v>734</v>
      </c>
      <c r="M29" s="629"/>
      <c r="N29" s="640">
        <f>'[1]Data-Commercial Kept &amp; releases'!M41</f>
        <v>707</v>
      </c>
      <c r="O29" s="640">
        <f>'[1]Data-Commercial Kept &amp; releases'!M17</f>
        <v>801</v>
      </c>
      <c r="P29" s="640"/>
      <c r="Q29" s="640"/>
      <c r="R29" s="900">
        <f t="shared" si="6"/>
        <v>1508</v>
      </c>
      <c r="S29" s="640"/>
      <c r="T29" s="640"/>
      <c r="U29" s="640"/>
      <c r="V29" s="640"/>
      <c r="Y29" s="902">
        <f t="shared" si="1"/>
        <v>2780.4480000000003</v>
      </c>
    </row>
    <row r="30" spans="1:25" ht="15.75" x14ac:dyDescent="0.25">
      <c r="A30" s="638">
        <v>2015</v>
      </c>
      <c r="B30" s="896">
        <f>'A3.1a_CF-Tidal (Chin)'!AC109</f>
        <v>1800</v>
      </c>
      <c r="C30" s="897">
        <f>N30*C$3*C$4</f>
        <v>20.231999999999999</v>
      </c>
      <c r="D30" s="898">
        <f t="shared" si="0"/>
        <v>680.64</v>
      </c>
      <c r="E30" s="898"/>
      <c r="F30" s="898">
        <f t="shared" si="2"/>
        <v>700.87199999999996</v>
      </c>
      <c r="G30" s="898">
        <f t="shared" si="3"/>
        <v>2500.8719999999998</v>
      </c>
      <c r="H30" s="899">
        <f>'A3.1a_CF-Tidal (Chin)'!AC25</f>
        <v>686</v>
      </c>
      <c r="I30" s="899"/>
      <c r="J30" s="899"/>
      <c r="K30" s="899">
        <f t="shared" si="4"/>
        <v>0</v>
      </c>
      <c r="L30" s="899">
        <f t="shared" si="5"/>
        <v>686</v>
      </c>
      <c r="M30" s="629"/>
      <c r="N30" s="640">
        <f>'[1]Data-Commercial Kept &amp; releases'!M42</f>
        <v>843</v>
      </c>
      <c r="O30" s="640">
        <f>'[1]Data-Commercial Kept &amp; releases'!M18</f>
        <v>1418</v>
      </c>
      <c r="P30" s="640"/>
      <c r="Q30" s="640"/>
      <c r="R30" s="900">
        <f t="shared" si="6"/>
        <v>2261</v>
      </c>
      <c r="S30" s="640"/>
      <c r="T30" s="640"/>
      <c r="U30" s="640"/>
      <c r="V30" s="640"/>
      <c r="Y30" s="902">
        <f t="shared" si="1"/>
        <v>3186.8719999999998</v>
      </c>
    </row>
    <row r="31" spans="1:25" ht="15.75" x14ac:dyDescent="0.25">
      <c r="A31" s="638">
        <v>2016</v>
      </c>
      <c r="B31" s="896">
        <f>'A3.1a_CF-Tidal (Chin)'!AC110</f>
        <v>739</v>
      </c>
      <c r="C31" s="897">
        <f t="shared" si="0"/>
        <v>31.464000000000002</v>
      </c>
      <c r="D31" s="898">
        <f t="shared" si="0"/>
        <v>85.92</v>
      </c>
      <c r="E31" s="898"/>
      <c r="F31" s="898">
        <f t="shared" si="2"/>
        <v>117.384</v>
      </c>
      <c r="G31" s="898">
        <f t="shared" si="3"/>
        <v>856.38400000000001</v>
      </c>
      <c r="H31" s="899">
        <f>'A3.1a_CF-Tidal (Chin)'!AC26</f>
        <v>764</v>
      </c>
      <c r="I31" s="899"/>
      <c r="J31" s="899"/>
      <c r="K31" s="899">
        <f t="shared" si="4"/>
        <v>0</v>
      </c>
      <c r="L31" s="899">
        <f t="shared" si="5"/>
        <v>764</v>
      </c>
      <c r="M31" s="629"/>
      <c r="N31" s="640">
        <f>'[1]Data-Commercial Kept &amp; releases'!M43</f>
        <v>1311</v>
      </c>
      <c r="O31" s="640">
        <f>'[1]Data-Commercial Kept &amp; releases'!M19</f>
        <v>179</v>
      </c>
      <c r="P31" s="640"/>
      <c r="Q31" s="640"/>
      <c r="R31" s="900">
        <f t="shared" si="6"/>
        <v>1490</v>
      </c>
      <c r="S31" s="640"/>
      <c r="T31" s="640"/>
      <c r="U31" s="640"/>
      <c r="V31" s="640"/>
      <c r="Y31" s="902">
        <f t="shared" si="1"/>
        <v>1620.384</v>
      </c>
    </row>
    <row r="32" spans="1:25" ht="15.75" x14ac:dyDescent="0.25">
      <c r="A32" s="638">
        <v>2017</v>
      </c>
      <c r="B32" s="896">
        <f>'A3.1a_CF-Tidal (Chin)'!AC111</f>
        <v>1047</v>
      </c>
      <c r="C32" s="897">
        <f t="shared" si="0"/>
        <v>21.12</v>
      </c>
      <c r="D32" s="898">
        <f t="shared" si="0"/>
        <v>287.04000000000002</v>
      </c>
      <c r="E32" s="898"/>
      <c r="F32" s="898">
        <f t="shared" si="2"/>
        <v>308.16000000000003</v>
      </c>
      <c r="G32" s="898">
        <f t="shared" si="3"/>
        <v>1355.16</v>
      </c>
      <c r="H32" s="899">
        <f>'A3.1a_CF-Tidal (Chin)'!AC27</f>
        <v>776</v>
      </c>
      <c r="I32" s="899"/>
      <c r="J32" s="899"/>
      <c r="K32" s="899">
        <f t="shared" si="4"/>
        <v>0</v>
      </c>
      <c r="L32" s="899">
        <f t="shared" si="5"/>
        <v>776</v>
      </c>
      <c r="M32" s="629"/>
      <c r="N32" s="640">
        <f>'[1]Data-Commercial Kept &amp; releases'!M44</f>
        <v>880</v>
      </c>
      <c r="O32" s="640">
        <f>'[1]Data-Commercial Kept &amp; releases'!M20</f>
        <v>598</v>
      </c>
      <c r="P32" s="640"/>
      <c r="Q32" s="640"/>
      <c r="R32" s="900">
        <f t="shared" si="6"/>
        <v>1478</v>
      </c>
      <c r="S32" s="640"/>
      <c r="T32" s="640"/>
      <c r="U32" s="640"/>
      <c r="V32" s="640"/>
      <c r="Y32" s="902">
        <f t="shared" si="1"/>
        <v>2131.16</v>
      </c>
    </row>
    <row r="33" spans="1:25" ht="15.75" x14ac:dyDescent="0.25">
      <c r="A33" s="638">
        <v>2018</v>
      </c>
      <c r="B33" s="896">
        <f>'A3.1a_CF-Tidal (Chin)'!AC112</f>
        <v>147</v>
      </c>
      <c r="C33" s="897">
        <f t="shared" si="0"/>
        <v>18.48</v>
      </c>
      <c r="D33" s="898">
        <f t="shared" si="0"/>
        <v>188.16</v>
      </c>
      <c r="E33" s="898"/>
      <c r="F33" s="898">
        <f t="shared" si="2"/>
        <v>206.64</v>
      </c>
      <c r="G33" s="898">
        <f t="shared" si="3"/>
        <v>353.64</v>
      </c>
      <c r="H33" s="899">
        <f>'A3.1a_CF-Tidal (Chin)'!AC28</f>
        <v>237</v>
      </c>
      <c r="I33" s="899"/>
      <c r="J33" s="899"/>
      <c r="K33" s="899">
        <f t="shared" si="4"/>
        <v>0</v>
      </c>
      <c r="L33" s="899">
        <f t="shared" si="5"/>
        <v>237</v>
      </c>
      <c r="M33" s="629"/>
      <c r="N33" s="640">
        <f>'[1]Data-Commercial Kept &amp; releases'!M45</f>
        <v>770</v>
      </c>
      <c r="O33" s="640">
        <f>'[1]Data-Commercial Kept &amp; releases'!M21</f>
        <v>392</v>
      </c>
      <c r="P33" s="640"/>
      <c r="Q33" s="640"/>
      <c r="R33" s="900">
        <f t="shared" si="6"/>
        <v>1162</v>
      </c>
      <c r="S33" s="640"/>
      <c r="T33" s="640"/>
      <c r="U33" s="640"/>
      <c r="V33" s="640"/>
      <c r="Y33" s="902">
        <f t="shared" si="1"/>
        <v>590.64</v>
      </c>
    </row>
    <row r="34" spans="1:25" ht="15.75" x14ac:dyDescent="0.25">
      <c r="A34" s="638">
        <v>2019</v>
      </c>
      <c r="B34" s="896">
        <f>'A3.1a_CF-Tidal (Chin)'!AC113</f>
        <v>0</v>
      </c>
      <c r="C34" s="897">
        <f t="shared" si="0"/>
        <v>6.3119999999999994</v>
      </c>
      <c r="D34" s="898">
        <f t="shared" si="0"/>
        <v>358.56</v>
      </c>
      <c r="E34" s="898"/>
      <c r="F34" s="898">
        <f t="shared" si="2"/>
        <v>364.87200000000001</v>
      </c>
      <c r="G34" s="898">
        <f t="shared" si="3"/>
        <v>364.87200000000001</v>
      </c>
      <c r="H34" s="899">
        <f>'A3.1a_CF-Tidal (Chin)'!AC29</f>
        <v>879</v>
      </c>
      <c r="I34" s="899"/>
      <c r="J34" s="899"/>
      <c r="K34" s="899">
        <f t="shared" si="4"/>
        <v>0</v>
      </c>
      <c r="L34" s="899">
        <f t="shared" si="5"/>
        <v>879</v>
      </c>
      <c r="M34" s="629"/>
      <c r="N34" s="640">
        <f>'[1]Data-Commercial Kept &amp; releases'!M46</f>
        <v>263</v>
      </c>
      <c r="O34" s="640">
        <f>'[1]Data-Commercial Kept &amp; releases'!M22</f>
        <v>747</v>
      </c>
      <c r="P34" s="640"/>
      <c r="Q34" s="640"/>
      <c r="R34" s="900">
        <f t="shared" si="6"/>
        <v>1010</v>
      </c>
      <c r="S34" s="640"/>
      <c r="T34" s="640"/>
      <c r="U34" s="640"/>
      <c r="V34" s="640"/>
      <c r="Y34" s="902">
        <f t="shared" si="1"/>
        <v>1243.8720000000001</v>
      </c>
    </row>
    <row r="35" spans="1:25" ht="15.75" x14ac:dyDescent="0.25">
      <c r="A35" s="638">
        <v>2020</v>
      </c>
      <c r="B35" s="896">
        <f>'A3.1a_CF-Tidal (Chin)'!AC114</f>
        <v>61</v>
      </c>
      <c r="C35" s="897">
        <f t="shared" si="0"/>
        <v>0</v>
      </c>
      <c r="D35" s="898">
        <f t="shared" si="0"/>
        <v>77.28</v>
      </c>
      <c r="E35" s="898"/>
      <c r="F35" s="898">
        <f t="shared" si="2"/>
        <v>77.28</v>
      </c>
      <c r="G35" s="898">
        <f t="shared" si="3"/>
        <v>138.28</v>
      </c>
      <c r="H35" s="899">
        <f>'A3.1a_CF-Tidal (Chin)'!AC30</f>
        <v>330</v>
      </c>
      <c r="I35" s="899"/>
      <c r="J35" s="899"/>
      <c r="K35" s="899">
        <f t="shared" si="4"/>
        <v>0</v>
      </c>
      <c r="L35" s="899">
        <f t="shared" si="5"/>
        <v>330</v>
      </c>
      <c r="M35" s="629"/>
      <c r="N35" s="640">
        <f>'[1]Data-Commercial Kept &amp; releases'!M47</f>
        <v>0</v>
      </c>
      <c r="O35" s="640">
        <f>'[1]Data-Commercial Kept &amp; releases'!M23</f>
        <v>161</v>
      </c>
      <c r="P35" s="640"/>
      <c r="Q35" s="640"/>
      <c r="R35" s="900">
        <f t="shared" si="6"/>
        <v>161</v>
      </c>
      <c r="S35" s="640"/>
      <c r="T35" s="640"/>
      <c r="U35" s="640"/>
      <c r="V35" s="640"/>
      <c r="Y35" s="902">
        <f t="shared" si="1"/>
        <v>468.28</v>
      </c>
    </row>
    <row r="36" spans="1:25" ht="15.75" x14ac:dyDescent="0.25">
      <c r="A36" s="638">
        <v>2021</v>
      </c>
      <c r="B36" s="896">
        <f>'A3.1a_CF-Tidal (Chin)'!AC115</f>
        <v>20</v>
      </c>
      <c r="C36" s="897">
        <f t="shared" si="0"/>
        <v>1.6559999999999999</v>
      </c>
      <c r="D36" s="898">
        <f t="shared" si="0"/>
        <v>0</v>
      </c>
      <c r="E36" s="898"/>
      <c r="F36" s="898">
        <f t="shared" si="2"/>
        <v>1.6559999999999999</v>
      </c>
      <c r="G36" s="898">
        <f t="shared" si="3"/>
        <v>21.655999999999999</v>
      </c>
      <c r="H36" s="899">
        <f>'A3.1a_CF-Tidal (Chin)'!AC31</f>
        <v>379</v>
      </c>
      <c r="I36" s="899"/>
      <c r="J36" s="899"/>
      <c r="K36" s="899">
        <f t="shared" si="4"/>
        <v>0</v>
      </c>
      <c r="L36" s="899">
        <f t="shared" si="5"/>
        <v>379</v>
      </c>
      <c r="M36" s="629"/>
      <c r="N36" s="640">
        <f>'[1]Data-Commercial Kept &amp; releases'!M48</f>
        <v>69</v>
      </c>
      <c r="O36" s="640">
        <f>'[1]Data-Commercial Kept &amp; releases'!M24</f>
        <v>0</v>
      </c>
      <c r="P36" s="640"/>
      <c r="Q36" s="640"/>
      <c r="R36" s="900">
        <f t="shared" si="6"/>
        <v>69</v>
      </c>
      <c r="S36" s="640"/>
      <c r="T36" s="640"/>
      <c r="U36" s="640"/>
      <c r="V36" s="640"/>
      <c r="Y36" s="902">
        <f t="shared" si="1"/>
        <v>400.65600000000001</v>
      </c>
    </row>
    <row r="37" spans="1:25" ht="15.75" x14ac:dyDescent="0.25">
      <c r="A37" s="638">
        <v>2022</v>
      </c>
      <c r="B37" s="896">
        <f>'A3.1a_CF-Tidal (Chin)'!AC116</f>
        <v>71</v>
      </c>
      <c r="C37" s="897">
        <f t="shared" si="0"/>
        <v>1.8240000000000001</v>
      </c>
      <c r="D37" s="898">
        <f t="shared" si="0"/>
        <v>0</v>
      </c>
      <c r="E37" s="898"/>
      <c r="F37" s="898">
        <f t="shared" si="2"/>
        <v>1.8240000000000001</v>
      </c>
      <c r="G37" s="898">
        <f t="shared" si="3"/>
        <v>72.823999999999998</v>
      </c>
      <c r="H37" s="899">
        <f>'A3.1a_CF-Tidal (Chin)'!AC32</f>
        <v>291</v>
      </c>
      <c r="I37" s="899"/>
      <c r="J37" s="899"/>
      <c r="K37" s="899">
        <f t="shared" si="4"/>
        <v>0</v>
      </c>
      <c r="L37" s="899">
        <f t="shared" si="5"/>
        <v>291</v>
      </c>
      <c r="M37" s="629"/>
      <c r="N37" s="640">
        <f>'[1]Data-Commercial Kept &amp; releases'!M49</f>
        <v>76</v>
      </c>
      <c r="O37" s="640">
        <f>'[1]Data-Commercial Kept &amp; releases'!M25</f>
        <v>0</v>
      </c>
      <c r="P37" s="640"/>
      <c r="Q37" s="640"/>
      <c r="R37" s="900">
        <f t="shared" si="6"/>
        <v>76</v>
      </c>
      <c r="S37" s="640"/>
      <c r="T37" s="640"/>
      <c r="U37" s="640"/>
      <c r="V37" s="640"/>
      <c r="Y37" s="902">
        <f t="shared" si="1"/>
        <v>363.82400000000001</v>
      </c>
    </row>
    <row r="38" spans="1:25" ht="15.75" x14ac:dyDescent="0.25">
      <c r="A38" s="638">
        <v>2023</v>
      </c>
      <c r="B38" s="896">
        <f>'A3.1a_CF-Tidal (Chin)'!AC117</f>
        <v>61</v>
      </c>
      <c r="C38" s="897">
        <f t="shared" si="0"/>
        <v>8.6880000000000006</v>
      </c>
      <c r="D38" s="898">
        <f t="shared" si="0"/>
        <v>0</v>
      </c>
      <c r="E38" s="898"/>
      <c r="F38" s="898">
        <f t="shared" si="2"/>
        <v>8.6880000000000006</v>
      </c>
      <c r="G38" s="898">
        <f t="shared" si="3"/>
        <v>69.688000000000002</v>
      </c>
      <c r="H38" s="899">
        <f>'A3.1a_CF-Tidal (Chin)'!AC33</f>
        <v>263</v>
      </c>
      <c r="I38" s="899"/>
      <c r="J38" s="899"/>
      <c r="K38" s="899">
        <f t="shared" si="4"/>
        <v>0</v>
      </c>
      <c r="L38" s="899">
        <f t="shared" si="5"/>
        <v>263</v>
      </c>
      <c r="M38" s="629"/>
      <c r="N38" s="640">
        <f>'[1]Data-Commercial Kept &amp; releases'!M50</f>
        <v>362</v>
      </c>
      <c r="O38" s="640">
        <f>'[1]Data-Commercial Kept &amp; releases'!M26</f>
        <v>0</v>
      </c>
      <c r="P38" s="640"/>
      <c r="Q38" s="640"/>
      <c r="R38" s="900">
        <f t="shared" si="6"/>
        <v>362</v>
      </c>
      <c r="S38" s="640"/>
      <c r="T38" s="640"/>
      <c r="U38" s="640"/>
      <c r="V38" s="640"/>
      <c r="Y38" s="902">
        <f t="shared" si="1"/>
        <v>332.68799999999999</v>
      </c>
    </row>
    <row r="39" spans="1:25" ht="15.75" x14ac:dyDescent="0.25">
      <c r="A39" s="638">
        <v>2024</v>
      </c>
      <c r="B39" s="896">
        <f>'A3.1a_CF-Tidal (Chin)'!AC118</f>
        <v>89</v>
      </c>
      <c r="C39" s="897">
        <f t="shared" ref="C39:D40" si="7">N39*C$3*C$4</f>
        <v>16.632000000000001</v>
      </c>
      <c r="D39" s="898">
        <f t="shared" si="7"/>
        <v>30.24</v>
      </c>
      <c r="E39" s="898"/>
      <c r="F39" s="898">
        <f t="shared" ref="F39:F40" si="8">SUM(C39:E39)</f>
        <v>46.872</v>
      </c>
      <c r="G39" s="898">
        <f t="shared" si="3"/>
        <v>135.87200000000001</v>
      </c>
      <c r="H39" s="899">
        <f>'A3.1a_CF-Tidal (Chin)'!AC34</f>
        <v>345</v>
      </c>
      <c r="I39" s="899"/>
      <c r="J39" s="899"/>
      <c r="K39" s="899">
        <f t="shared" si="4"/>
        <v>0</v>
      </c>
      <c r="L39" s="899">
        <f t="shared" si="5"/>
        <v>345</v>
      </c>
      <c r="M39" s="629"/>
      <c r="N39" s="640">
        <f>'[1]Data-Commercial Kept &amp; releases'!M51</f>
        <v>693</v>
      </c>
      <c r="O39" s="640">
        <f>'[1]Data-Commercial Kept &amp; releases'!M27</f>
        <v>63</v>
      </c>
      <c r="P39" s="640"/>
      <c r="Q39" s="640"/>
      <c r="R39" s="900">
        <f t="shared" si="6"/>
        <v>756</v>
      </c>
      <c r="S39" s="640"/>
      <c r="T39" s="640"/>
      <c r="U39" s="640"/>
      <c r="V39" s="640"/>
      <c r="Y39" s="902">
        <f t="shared" si="1"/>
        <v>480.87200000000001</v>
      </c>
    </row>
    <row r="40" spans="1:25" ht="15.75" x14ac:dyDescent="0.25">
      <c r="A40" s="638">
        <v>2025</v>
      </c>
      <c r="B40" s="896">
        <f>'A3.1a_CF-Tidal (Chin)'!AC119</f>
        <v>80</v>
      </c>
      <c r="C40" s="897">
        <f t="shared" si="7"/>
        <v>16.776</v>
      </c>
      <c r="D40" s="898">
        <f t="shared" si="7"/>
        <v>35.520000000000003</v>
      </c>
      <c r="E40" s="898"/>
      <c r="F40" s="898">
        <f t="shared" si="8"/>
        <v>52.296000000000006</v>
      </c>
      <c r="G40" s="898">
        <f t="shared" si="3"/>
        <v>132.29599999999999</v>
      </c>
      <c r="H40" s="899">
        <f>'A3.1a_CF-Tidal (Chin)'!AC35</f>
        <v>373</v>
      </c>
      <c r="I40" s="899">
        <f>'A3.2a_CF-Tidal (Ch-rel)'!AA35</f>
        <v>226.10310366934419</v>
      </c>
      <c r="J40" s="899"/>
      <c r="K40" s="899">
        <f t="shared" si="4"/>
        <v>226.10310366934419</v>
      </c>
      <c r="L40" s="899">
        <f>K40+H40</f>
        <v>599.10310366934414</v>
      </c>
      <c r="M40" s="629"/>
      <c r="N40" s="640">
        <f>'[1]Data-Commercial Kept &amp; releases'!M52</f>
        <v>699</v>
      </c>
      <c r="O40" s="640">
        <f>'[1]Data-Commercial Kept &amp; releases'!M28</f>
        <v>74</v>
      </c>
      <c r="P40" s="640"/>
      <c r="Q40" s="640"/>
      <c r="R40" s="900">
        <f t="shared" si="6"/>
        <v>773</v>
      </c>
      <c r="S40" s="640"/>
      <c r="T40" s="640"/>
      <c r="U40" s="640"/>
      <c r="V40" s="640"/>
      <c r="Y40" s="902">
        <f t="shared" si="1"/>
        <v>731.39910366934419</v>
      </c>
    </row>
  </sheetData>
  <mergeCells count="1">
    <mergeCell ref="A5:L5"/>
  </mergeCells>
  <pageMargins left="0.7" right="0.7" top="0.75" bottom="0.75" header="0.3" footer="0.3"/>
  <headerFooter>
    <oddHeader>&amp;R&amp;"Calibri"&amp;12&amp;K000000 Unclassified - Non-Classifié&amp;1#_x000D_</oddHead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D2B37-2D30-4050-8A94-8A1A42A0E094}">
  <sheetPr>
    <tabColor rgb="FF00FF00"/>
  </sheetPr>
  <dimension ref="A1:BE230"/>
  <sheetViews>
    <sheetView zoomScale="90" zoomScaleNormal="90" zoomScaleSheetLayoutView="75" workbookViewId="0">
      <pane xSplit="5" ySplit="5" topLeftCell="F19" activePane="bottomRight" state="frozen"/>
      <selection activeCell="C49" sqref="C49:E49"/>
      <selection pane="topRight" activeCell="C49" sqref="C49:E49"/>
      <selection pane="bottomLeft" activeCell="C49" sqref="C49:E49"/>
      <selection pane="bottomRight" activeCell="C49" sqref="C49:E49"/>
    </sheetView>
  </sheetViews>
  <sheetFormatPr defaultColWidth="9.140625" defaultRowHeight="12.75" x14ac:dyDescent="0.2"/>
  <cols>
    <col min="1" max="2" width="1.5703125" style="12" customWidth="1"/>
    <col min="3" max="3" width="5.42578125" style="655" customWidth="1"/>
    <col min="4" max="4" width="5.5703125" style="655" customWidth="1"/>
    <col min="5" max="5" width="0.5703125" style="12" customWidth="1"/>
    <col min="6" max="6" width="8.85546875" style="657" customWidth="1"/>
    <col min="7" max="7" width="10.42578125" style="657" customWidth="1"/>
    <col min="8" max="9" width="8.140625" style="657" customWidth="1"/>
    <col min="10" max="10" width="0.5703125" style="12" customWidth="1"/>
    <col min="11" max="11" width="7" style="662" customWidth="1"/>
    <col min="12" max="12" width="6.85546875" style="662" customWidth="1"/>
    <col min="13" max="13" width="8.5703125" style="662" bestFit="1" customWidth="1"/>
    <col min="14" max="14" width="0.5703125" style="12" customWidth="1"/>
    <col min="15" max="15" width="5.42578125" style="657" bestFit="1" customWidth="1"/>
    <col min="16" max="16" width="6" style="657" bestFit="1" customWidth="1"/>
    <col min="17" max="17" width="6.140625" style="657" bestFit="1" customWidth="1"/>
    <col min="18" max="18" width="6.42578125" style="657" bestFit="1" customWidth="1"/>
    <col min="19" max="19" width="6" style="657" customWidth="1"/>
    <col min="20" max="20" width="1.5703125" style="12" customWidth="1"/>
    <col min="21" max="21" width="4.5703125" style="12" bestFit="1" customWidth="1"/>
    <col min="22" max="23" width="6" style="12" bestFit="1" customWidth="1"/>
    <col min="24" max="24" width="1.42578125" style="12" customWidth="1"/>
    <col min="25" max="25" width="9.5703125" style="657" customWidth="1"/>
    <col min="26" max="26" width="11.42578125" style="662" bestFit="1" customWidth="1"/>
    <col min="27" max="27" width="5.42578125" style="657" bestFit="1" customWidth="1"/>
    <col min="28" max="28" width="1" style="12" customWidth="1"/>
    <col min="29" max="29" width="5.85546875" style="657" bestFit="1" customWidth="1"/>
    <col min="30" max="30" width="7.42578125" style="12" customWidth="1"/>
    <col min="31" max="31" width="76.42578125" style="12" customWidth="1"/>
    <col min="32" max="32" width="5.42578125" style="12" customWidth="1"/>
    <col min="33" max="33" width="6" style="12" customWidth="1"/>
    <col min="34" max="36" width="9.42578125" style="12" bestFit="1" customWidth="1"/>
    <col min="37" max="37" width="19.5703125" style="12" customWidth="1"/>
    <col min="38" max="38" width="9.140625" style="12"/>
    <col min="39" max="39" width="6.42578125" style="12" customWidth="1"/>
    <col min="40" max="42" width="9.140625" style="12"/>
    <col min="43" max="43" width="1.85546875" style="12" customWidth="1"/>
    <col min="44" max="16384" width="9.140625" style="12"/>
  </cols>
  <sheetData>
    <row r="1" spans="1:56" s="641" customFormat="1" ht="15.75" x14ac:dyDescent="0.25">
      <c r="A1" s="641" t="s">
        <v>432</v>
      </c>
      <c r="C1" s="642"/>
      <c r="D1" s="642"/>
      <c r="F1" s="643" t="s">
        <v>433</v>
      </c>
      <c r="G1" s="644"/>
      <c r="H1" s="644"/>
      <c r="I1" s="644"/>
      <c r="K1" s="645"/>
      <c r="L1" s="645"/>
      <c r="M1" s="645"/>
      <c r="O1" s="644"/>
      <c r="P1" s="644"/>
      <c r="Q1" s="644"/>
      <c r="R1" s="644"/>
      <c r="S1" s="644"/>
      <c r="Y1" s="644"/>
      <c r="Z1" s="645"/>
      <c r="AA1" s="644"/>
      <c r="AC1" s="644"/>
      <c r="AH1" s="641">
        <v>407</v>
      </c>
      <c r="AI1" s="646">
        <f>AH1-AH47</f>
        <v>384</v>
      </c>
    </row>
    <row r="2" spans="1:56" s="641" customFormat="1" ht="6" customHeight="1" x14ac:dyDescent="0.25">
      <c r="A2" s="647"/>
      <c r="B2" s="647"/>
      <c r="C2" s="648"/>
      <c r="D2" s="648"/>
      <c r="E2" s="647"/>
      <c r="F2" s="649"/>
      <c r="G2" s="644"/>
      <c r="H2" s="644"/>
      <c r="I2" s="644"/>
      <c r="K2" s="645"/>
      <c r="L2" s="645"/>
      <c r="M2" s="645"/>
      <c r="O2" s="644"/>
      <c r="P2" s="644"/>
      <c r="Q2" s="644"/>
      <c r="R2" s="644"/>
      <c r="S2" s="644"/>
      <c r="Y2" s="644"/>
      <c r="Z2" s="645"/>
      <c r="AA2" s="644"/>
      <c r="AC2" s="644"/>
    </row>
    <row r="3" spans="1:56" x14ac:dyDescent="0.2">
      <c r="A3" s="12" t="s">
        <v>434</v>
      </c>
      <c r="B3" s="650"/>
      <c r="C3" s="650"/>
      <c r="D3" s="650"/>
      <c r="E3" s="650"/>
      <c r="F3" s="1039" t="s">
        <v>435</v>
      </c>
      <c r="G3" s="1040"/>
      <c r="H3" s="1040"/>
      <c r="I3" s="1040"/>
      <c r="J3" s="1040"/>
      <c r="K3" s="1040"/>
      <c r="L3" s="1040"/>
      <c r="M3" s="1040"/>
      <c r="N3" s="1040"/>
      <c r="O3" s="1040"/>
      <c r="P3" s="1040"/>
      <c r="Q3" s="1040"/>
      <c r="R3" s="1040"/>
      <c r="S3" s="652"/>
      <c r="T3" s="650"/>
      <c r="U3" s="1040" t="s">
        <v>436</v>
      </c>
      <c r="V3" s="1040"/>
      <c r="W3" s="1040"/>
      <c r="X3" s="650"/>
      <c r="Y3" s="1040" t="s">
        <v>437</v>
      </c>
      <c r="Z3" s="1040"/>
      <c r="AA3" s="1040"/>
      <c r="AB3" s="650"/>
      <c r="AC3" s="653"/>
      <c r="AD3" s="654" t="s">
        <v>438</v>
      </c>
    </row>
    <row r="4" spans="1:56" x14ac:dyDescent="0.2">
      <c r="B4" s="12" t="s">
        <v>439</v>
      </c>
      <c r="F4" s="1041" t="s">
        <v>218</v>
      </c>
      <c r="G4" s="1041"/>
      <c r="H4" s="1041"/>
      <c r="I4" s="1041"/>
      <c r="K4" s="1040" t="s">
        <v>440</v>
      </c>
      <c r="L4" s="1040"/>
      <c r="M4" s="1040"/>
      <c r="O4" s="1041" t="s">
        <v>441</v>
      </c>
      <c r="P4" s="1041"/>
      <c r="Q4" s="1041"/>
      <c r="R4" s="1041"/>
      <c r="S4" s="656" t="s">
        <v>284</v>
      </c>
      <c r="U4" s="1041" t="s">
        <v>441</v>
      </c>
      <c r="V4" s="1041"/>
      <c r="W4" s="1041"/>
      <c r="Y4" s="657" t="s">
        <v>43</v>
      </c>
      <c r="Z4" s="12"/>
      <c r="AA4" s="657" t="s">
        <v>428</v>
      </c>
      <c r="AC4" s="657" t="s">
        <v>43</v>
      </c>
      <c r="AD4" s="654" t="s">
        <v>225</v>
      </c>
      <c r="AY4" s="12" t="s">
        <v>442</v>
      </c>
      <c r="BC4" s="12" t="s">
        <v>443</v>
      </c>
    </row>
    <row r="5" spans="1:56" x14ac:dyDescent="0.2">
      <c r="A5" s="658"/>
      <c r="B5" s="658"/>
      <c r="C5" s="651" t="s">
        <v>36</v>
      </c>
      <c r="D5" s="651" t="s">
        <v>444</v>
      </c>
      <c r="E5" s="658"/>
      <c r="F5" s="659" t="s">
        <v>445</v>
      </c>
      <c r="G5" s="659" t="s">
        <v>446</v>
      </c>
      <c r="H5" s="659" t="s">
        <v>447</v>
      </c>
      <c r="I5" s="659" t="s">
        <v>43</v>
      </c>
      <c r="J5" s="658"/>
      <c r="K5" s="659" t="s">
        <v>445</v>
      </c>
      <c r="L5" s="659" t="s">
        <v>446</v>
      </c>
      <c r="M5" s="659" t="s">
        <v>447</v>
      </c>
      <c r="N5" s="658"/>
      <c r="O5" s="659" t="s">
        <v>445</v>
      </c>
      <c r="P5" s="659" t="s">
        <v>446</v>
      </c>
      <c r="Q5" s="659" t="s">
        <v>447</v>
      </c>
      <c r="R5" s="659" t="s">
        <v>43</v>
      </c>
      <c r="S5" s="659" t="s">
        <v>428</v>
      </c>
      <c r="T5" s="658"/>
      <c r="U5" s="659" t="s">
        <v>448</v>
      </c>
      <c r="V5" s="659" t="s">
        <v>449</v>
      </c>
      <c r="W5" s="659" t="s">
        <v>43</v>
      </c>
      <c r="X5" s="658"/>
      <c r="Y5" s="659" t="s">
        <v>450</v>
      </c>
      <c r="Z5" s="660" t="s">
        <v>440</v>
      </c>
      <c r="AA5" s="659" t="s">
        <v>451</v>
      </c>
      <c r="AB5" s="658"/>
      <c r="AC5" s="659" t="s">
        <v>428</v>
      </c>
      <c r="AD5" s="661"/>
      <c r="AE5" s="634" t="s">
        <v>417</v>
      </c>
      <c r="AL5" s="12" t="s">
        <v>452</v>
      </c>
      <c r="AO5" s="12" t="s">
        <v>453</v>
      </c>
      <c r="AY5" s="12" t="s">
        <v>454</v>
      </c>
      <c r="AZ5" s="12" t="s">
        <v>447</v>
      </c>
      <c r="BC5" s="12" t="s">
        <v>454</v>
      </c>
      <c r="BD5" s="12" t="s">
        <v>447</v>
      </c>
    </row>
    <row r="6" spans="1:56" ht="3" customHeight="1" x14ac:dyDescent="0.2">
      <c r="AE6" s="634"/>
    </row>
    <row r="7" spans="1:56" x14ac:dyDescent="0.2">
      <c r="A7" s="663" t="s">
        <v>407</v>
      </c>
      <c r="B7" s="663"/>
      <c r="AE7" s="634"/>
      <c r="AL7" s="12" t="s">
        <v>455</v>
      </c>
      <c r="AO7" s="12" t="s">
        <v>452</v>
      </c>
      <c r="AP7" s="12" t="s">
        <v>456</v>
      </c>
      <c r="AT7" s="12" t="s">
        <v>457</v>
      </c>
    </row>
    <row r="8" spans="1:56" ht="3" customHeight="1" x14ac:dyDescent="0.2">
      <c r="A8" s="663"/>
      <c r="B8" s="663"/>
      <c r="AE8" s="634"/>
    </row>
    <row r="9" spans="1:56" ht="15.75" x14ac:dyDescent="0.2">
      <c r="B9" s="664" t="s">
        <v>458</v>
      </c>
      <c r="AE9" s="634"/>
      <c r="AK9" s="12" t="s">
        <v>459</v>
      </c>
      <c r="AL9" s="12">
        <v>2189</v>
      </c>
      <c r="AN9" s="12">
        <v>2000</v>
      </c>
      <c r="AO9" s="12">
        <v>1082</v>
      </c>
      <c r="AP9" s="12">
        <v>250</v>
      </c>
      <c r="AS9" s="634" t="s">
        <v>460</v>
      </c>
      <c r="AT9" s="39" t="s">
        <v>461</v>
      </c>
      <c r="AU9" s="39" t="s">
        <v>462</v>
      </c>
      <c r="AV9" s="39" t="s">
        <v>43</v>
      </c>
    </row>
    <row r="10" spans="1:56" x14ac:dyDescent="0.2">
      <c r="C10" s="655">
        <v>2000</v>
      </c>
      <c r="D10" s="655" t="s">
        <v>463</v>
      </c>
      <c r="F10" s="665"/>
      <c r="G10" s="665"/>
      <c r="H10" s="665"/>
      <c r="I10" s="666"/>
      <c r="K10" s="764">
        <f>'A3.1a_CF-Tidal (Chin)'!K10</f>
        <v>0.16</v>
      </c>
      <c r="L10" s="667">
        <v>0.8</v>
      </c>
      <c r="M10" s="667"/>
      <c r="R10" s="668"/>
      <c r="S10" s="667">
        <f>'A3.1a_CF-Tidal (Chin)'!S10</f>
        <v>0.21516279748557832</v>
      </c>
      <c r="Y10" s="665"/>
      <c r="Z10" s="669">
        <f>'A3.1a_CF-Tidal (Chin)'!Z10</f>
        <v>5.6561085972850677E-3</v>
      </c>
      <c r="AA10" s="670"/>
      <c r="AB10" s="11"/>
      <c r="AC10" s="671">
        <f>ROUND(R10+AA10,0)</f>
        <v>0</v>
      </c>
      <c r="AD10" s="672">
        <v>986</v>
      </c>
      <c r="AE10" s="634" t="s">
        <v>464</v>
      </c>
      <c r="AJ10" s="66" t="e">
        <f>R10/I10</f>
        <v>#DIV/0!</v>
      </c>
      <c r="AK10" s="12" t="s">
        <v>465</v>
      </c>
      <c r="AL10" s="12">
        <v>808</v>
      </c>
      <c r="AN10" s="12">
        <v>2001</v>
      </c>
      <c r="AO10" s="12">
        <v>722</v>
      </c>
      <c r="AP10" s="12">
        <v>99</v>
      </c>
      <c r="AS10" s="634"/>
      <c r="AT10" s="79"/>
      <c r="AU10" s="79"/>
      <c r="AV10" s="634"/>
    </row>
    <row r="11" spans="1:56" x14ac:dyDescent="0.2">
      <c r="C11" s="655">
        <v>2001</v>
      </c>
      <c r="D11" s="655" t="s">
        <v>463</v>
      </c>
      <c r="F11" s="673"/>
      <c r="G11" s="673"/>
      <c r="H11" s="673"/>
      <c r="I11" s="665">
        <f t="shared" ref="I11:I29" si="0">SUM(F11:H11)</f>
        <v>0</v>
      </c>
      <c r="K11" s="764">
        <f>'A3.1a_CF-Tidal (Chin)'!K11</f>
        <v>0.16</v>
      </c>
      <c r="L11" s="667">
        <v>0.8</v>
      </c>
      <c r="M11" s="667"/>
      <c r="R11" s="674">
        <f t="shared" ref="R11:R32" si="1">SUM(O11:Q11)</f>
        <v>0</v>
      </c>
      <c r="S11" s="667">
        <f>'A3.1a_CF-Tidal (Chin)'!S11</f>
        <v>0.22481302243730752</v>
      </c>
      <c r="Y11" s="665"/>
      <c r="Z11" s="669">
        <f>'A3.1a_CF-Tidal (Chin)'!Z11</f>
        <v>5.6578947368421057E-3</v>
      </c>
      <c r="AA11" s="670"/>
      <c r="AB11" s="11"/>
      <c r="AC11" s="671">
        <f t="shared" ref="AC11:AC34" si="2">ROUND(R11+AA11,0)</f>
        <v>0</v>
      </c>
      <c r="AD11" s="672">
        <v>1705</v>
      </c>
      <c r="AE11" s="634"/>
      <c r="AJ11" s="66" t="e">
        <f t="shared" ref="AJ11:AJ35" si="3">R11/I11</f>
        <v>#DIV/0!</v>
      </c>
      <c r="AK11" s="12" t="s">
        <v>466</v>
      </c>
      <c r="AL11" s="12">
        <v>653</v>
      </c>
      <c r="AN11" s="12">
        <v>2002</v>
      </c>
      <c r="AO11" s="12">
        <v>565</v>
      </c>
      <c r="AP11" s="12">
        <v>36</v>
      </c>
      <c r="AS11" s="675">
        <f>I11</f>
        <v>0</v>
      </c>
      <c r="AT11" s="79" t="e">
        <f>F11/$I11</f>
        <v>#DIV/0!</v>
      </c>
      <c r="AU11" s="79" t="e">
        <f>G11/$I11</f>
        <v>#DIV/0!</v>
      </c>
      <c r="AV11" s="676" t="e">
        <f>SUM(AT11:AU11)</f>
        <v>#DIV/0!</v>
      </c>
    </row>
    <row r="12" spans="1:56" ht="13.5" thickBot="1" x14ac:dyDescent="0.25">
      <c r="C12" s="655">
        <v>2002</v>
      </c>
      <c r="D12" s="655" t="s">
        <v>463</v>
      </c>
      <c r="F12" s="673"/>
      <c r="G12" s="673"/>
      <c r="H12" s="673"/>
      <c r="I12" s="665">
        <f t="shared" si="0"/>
        <v>0</v>
      </c>
      <c r="K12" s="764">
        <f>'A3.1a_CF-Tidal (Chin)'!K12</f>
        <v>0.16</v>
      </c>
      <c r="L12" s="667">
        <v>0.8</v>
      </c>
      <c r="M12" s="667"/>
      <c r="R12" s="674">
        <f>SUM(O12:Q12)</f>
        <v>0</v>
      </c>
      <c r="S12" s="667">
        <f>'A3.1a_CF-Tidal (Chin)'!S12</f>
        <v>0.20551257253384914</v>
      </c>
      <c r="Y12" s="665"/>
      <c r="Z12" s="669">
        <f>'A3.1a_CF-Tidal (Chin)'!Z12</f>
        <v>5.6475583864118899E-3</v>
      </c>
      <c r="AA12" s="670"/>
      <c r="AB12" s="11"/>
      <c r="AC12" s="671">
        <f t="shared" si="2"/>
        <v>0</v>
      </c>
      <c r="AD12" s="672">
        <v>1116</v>
      </c>
      <c r="AE12" s="634" t="s">
        <v>467</v>
      </c>
      <c r="AJ12" s="66" t="e">
        <f t="shared" si="3"/>
        <v>#DIV/0!</v>
      </c>
      <c r="AK12" s="12" t="s">
        <v>468</v>
      </c>
      <c r="AL12" s="12">
        <v>422</v>
      </c>
      <c r="AN12" s="12">
        <v>2003</v>
      </c>
      <c r="AS12" s="675">
        <f>I12</f>
        <v>0</v>
      </c>
      <c r="AT12" s="79" t="e">
        <f>F12/$I12</f>
        <v>#DIV/0!</v>
      </c>
      <c r="AU12" s="79" t="e">
        <f>G12/$I12</f>
        <v>#DIV/0!</v>
      </c>
      <c r="AV12" s="676" t="e">
        <f>SUM(AT12:AU12)</f>
        <v>#DIV/0!</v>
      </c>
    </row>
    <row r="13" spans="1:56" ht="13.5" thickBot="1" x14ac:dyDescent="0.25">
      <c r="C13" s="655">
        <v>2003</v>
      </c>
      <c r="D13" s="655" t="s">
        <v>463</v>
      </c>
      <c r="F13" s="665"/>
      <c r="G13" s="665"/>
      <c r="H13" s="665"/>
      <c r="I13" s="665">
        <f t="shared" si="0"/>
        <v>0</v>
      </c>
      <c r="K13" s="764">
        <f>'A3.1a_CF-Tidal (Chin)'!K13</f>
        <v>0.16</v>
      </c>
      <c r="L13" s="667">
        <v>0.8</v>
      </c>
      <c r="M13" s="667"/>
      <c r="R13" s="674">
        <f>SUM(O13:Q13)</f>
        <v>0</v>
      </c>
      <c r="S13" s="667">
        <f>'A3.1a_CF-Tidal (Chin)'!S13</f>
        <v>0.20551257253384916</v>
      </c>
      <c r="Y13" s="665"/>
      <c r="Z13" s="669">
        <f>'A3.1a_CF-Tidal (Chin)'!Z13</f>
        <v>4.2725598526703497E-3</v>
      </c>
      <c r="AA13" s="670"/>
      <c r="AB13" s="11"/>
      <c r="AC13" s="671">
        <f t="shared" si="2"/>
        <v>0</v>
      </c>
      <c r="AD13" s="672">
        <v>1167</v>
      </c>
      <c r="AE13" s="634" t="s">
        <v>469</v>
      </c>
      <c r="AJ13" s="66" t="e">
        <f t="shared" si="3"/>
        <v>#DIV/0!</v>
      </c>
      <c r="AL13" s="677">
        <f>SUM(AL8:AL11)</f>
        <v>3650</v>
      </c>
      <c r="AN13" s="12" t="s">
        <v>470</v>
      </c>
      <c r="AO13" s="12">
        <f>AVERAGE(AO8:AO10)</f>
        <v>902</v>
      </c>
      <c r="AP13" s="12">
        <f>AVERAGE(AP8:AP10)</f>
        <v>174.5</v>
      </c>
      <c r="AS13" s="634"/>
      <c r="AT13" s="79"/>
      <c r="AU13" s="79"/>
      <c r="AV13" s="676"/>
    </row>
    <row r="14" spans="1:56" ht="13.5" thickBot="1" x14ac:dyDescent="0.25">
      <c r="C14" s="655">
        <v>2004</v>
      </c>
      <c r="D14" s="655" t="s">
        <v>463</v>
      </c>
      <c r="F14" s="665"/>
      <c r="G14" s="665"/>
      <c r="H14" s="665"/>
      <c r="I14" s="665">
        <f t="shared" si="0"/>
        <v>0</v>
      </c>
      <c r="K14" s="764">
        <f>'A3.1a_CF-Tidal (Chin)'!K14</f>
        <v>0.16</v>
      </c>
      <c r="L14" s="667">
        <v>0.8</v>
      </c>
      <c r="M14" s="667"/>
      <c r="R14" s="674">
        <f t="shared" si="1"/>
        <v>0</v>
      </c>
      <c r="S14" s="667">
        <f>'A3.1a_CF-Tidal (Chin)'!S14</f>
        <v>0.20551257253384916</v>
      </c>
      <c r="Y14" s="665"/>
      <c r="Z14" s="669">
        <f>'A3.1a_CF-Tidal (Chin)'!Z14</f>
        <v>1.3378378378378379E-2</v>
      </c>
      <c r="AA14" s="670"/>
      <c r="AB14" s="11"/>
      <c r="AC14" s="671">
        <f t="shared" si="2"/>
        <v>0</v>
      </c>
      <c r="AD14" s="672">
        <v>1925</v>
      </c>
      <c r="AE14" s="634" t="s">
        <v>471</v>
      </c>
      <c r="AJ14" s="66" t="e">
        <f t="shared" si="3"/>
        <v>#DIV/0!</v>
      </c>
      <c r="AL14" s="677">
        <f>SUM(AL9:AL12)</f>
        <v>4072</v>
      </c>
      <c r="AN14" s="12" t="s">
        <v>470</v>
      </c>
      <c r="AO14" s="12">
        <f>AVERAGE(AO9:AO11)</f>
        <v>789.66666666666663</v>
      </c>
      <c r="AP14" s="12">
        <f>AVERAGE(AP9:AP11)</f>
        <v>128.33333333333334</v>
      </c>
      <c r="AS14" s="634"/>
      <c r="AT14" s="79"/>
      <c r="AU14" s="79"/>
      <c r="AV14" s="676"/>
    </row>
    <row r="15" spans="1:56" x14ac:dyDescent="0.2">
      <c r="C15" s="655">
        <v>2005</v>
      </c>
      <c r="D15" s="655" t="s">
        <v>463</v>
      </c>
      <c r="F15" s="665"/>
      <c r="G15" s="665"/>
      <c r="H15" s="665"/>
      <c r="I15" s="665">
        <f t="shared" si="0"/>
        <v>0</v>
      </c>
      <c r="K15" s="764">
        <f>'A3.1a_CF-Tidal (Chin)'!K15</f>
        <v>0.16</v>
      </c>
      <c r="L15" s="667">
        <v>0.8</v>
      </c>
      <c r="M15" s="667"/>
      <c r="R15" s="674">
        <f t="shared" si="1"/>
        <v>0</v>
      </c>
      <c r="S15" s="667">
        <f>'A3.1a_CF-Tidal (Chin)'!S15</f>
        <v>0.20551257253384914</v>
      </c>
      <c r="Y15" s="665"/>
      <c r="Z15" s="669">
        <f>'A3.1a_CF-Tidal (Chin)'!Z15</f>
        <v>1.0058139534883721E-2</v>
      </c>
      <c r="AA15" s="670"/>
      <c r="AB15" s="11"/>
      <c r="AC15" s="671">
        <f t="shared" si="2"/>
        <v>0</v>
      </c>
      <c r="AD15" s="672">
        <v>1542</v>
      </c>
      <c r="AE15" s="634" t="s">
        <v>472</v>
      </c>
      <c r="AH15" s="655"/>
      <c r="AI15" s="655"/>
      <c r="AJ15" s="66" t="e">
        <f t="shared" si="3"/>
        <v>#DIV/0!</v>
      </c>
      <c r="AS15" s="634"/>
      <c r="AT15" s="79"/>
      <c r="AU15" s="79"/>
      <c r="AV15" s="676"/>
    </row>
    <row r="16" spans="1:56" x14ac:dyDescent="0.2">
      <c r="C16" s="655">
        <v>2006</v>
      </c>
      <c r="D16" s="655" t="s">
        <v>463</v>
      </c>
      <c r="F16" s="665"/>
      <c r="G16" s="665"/>
      <c r="H16" s="665"/>
      <c r="I16" s="665">
        <f t="shared" si="0"/>
        <v>0</v>
      </c>
      <c r="K16" s="764">
        <f>'A3.1a_CF-Tidal (Chin)'!K16</f>
        <v>0.16</v>
      </c>
      <c r="L16" s="667">
        <v>0.8</v>
      </c>
      <c r="M16" s="667"/>
      <c r="R16" s="674">
        <f t="shared" si="1"/>
        <v>0</v>
      </c>
      <c r="S16" s="667">
        <f>'A3.1a_CF-Tidal (Chin)'!S16</f>
        <v>0.20551257253384914</v>
      </c>
      <c r="Y16" s="665"/>
      <c r="Z16" s="669">
        <f>'A3.1a_CF-Tidal (Chin)'!Z16</f>
        <v>2.0620155038759691E-3</v>
      </c>
      <c r="AA16" s="670"/>
      <c r="AB16" s="11"/>
      <c r="AC16" s="671">
        <f t="shared" si="2"/>
        <v>0</v>
      </c>
      <c r="AD16" s="672">
        <v>983</v>
      </c>
      <c r="AE16" s="634" t="s">
        <v>473</v>
      </c>
      <c r="AH16" s="1038" t="s">
        <v>474</v>
      </c>
      <c r="AI16" s="1038"/>
      <c r="AJ16" s="66" t="e">
        <f t="shared" si="3"/>
        <v>#DIV/0!</v>
      </c>
      <c r="AS16" s="634"/>
      <c r="AT16" s="79"/>
      <c r="AU16" s="79"/>
      <c r="AV16" s="676"/>
    </row>
    <row r="17" spans="3:57" x14ac:dyDescent="0.2">
      <c r="C17" s="655">
        <v>2007</v>
      </c>
      <c r="D17" s="655" t="s">
        <v>463</v>
      </c>
      <c r="F17" s="678"/>
      <c r="G17" s="678"/>
      <c r="H17" s="678"/>
      <c r="I17" s="665">
        <f t="shared" si="0"/>
        <v>0</v>
      </c>
      <c r="K17" s="764">
        <f>'A3.1a_CF-Tidal (Chin)'!K17</f>
        <v>0.16</v>
      </c>
      <c r="L17" s="667">
        <v>0.8</v>
      </c>
      <c r="M17" s="667"/>
      <c r="R17" s="674">
        <f t="shared" si="1"/>
        <v>0</v>
      </c>
      <c r="S17" s="667">
        <f>'A3.1a_CF-Tidal (Chin)'!S17</f>
        <v>0.20551257253384914</v>
      </c>
      <c r="Y17" s="665"/>
      <c r="Z17" s="669">
        <f>'A3.1a_CF-Tidal (Chin)'!Z17</f>
        <v>1.5737704918032787E-2</v>
      </c>
      <c r="AA17" s="670"/>
      <c r="AB17" s="679"/>
      <c r="AC17" s="671">
        <f t="shared" si="2"/>
        <v>0</v>
      </c>
      <c r="AD17" s="672">
        <v>1810</v>
      </c>
      <c r="AE17" s="634" t="s">
        <v>475</v>
      </c>
      <c r="AH17" s="1038"/>
      <c r="AI17" s="1038"/>
      <c r="AJ17" s="66" t="e">
        <f t="shared" si="3"/>
        <v>#DIV/0!</v>
      </c>
      <c r="AL17" s="12" t="s">
        <v>476</v>
      </c>
      <c r="AM17" s="12" t="s">
        <v>477</v>
      </c>
      <c r="AS17" s="634"/>
      <c r="AT17" s="79"/>
      <c r="AU17" s="79"/>
      <c r="AV17" s="676"/>
    </row>
    <row r="18" spans="3:57" x14ac:dyDescent="0.2">
      <c r="C18" s="655">
        <v>2008</v>
      </c>
      <c r="D18" s="655" t="s">
        <v>463</v>
      </c>
      <c r="F18" s="666"/>
      <c r="G18" s="680"/>
      <c r="H18" s="666"/>
      <c r="I18" s="666">
        <f t="shared" si="0"/>
        <v>0</v>
      </c>
      <c r="K18" s="764">
        <f>'A3.1a_CF-Tidal (Chin)'!K18</f>
        <v>0.11076366030283082</v>
      </c>
      <c r="L18" s="667">
        <v>0.8</v>
      </c>
      <c r="M18" s="681" t="e">
        <f>Q18/H18</f>
        <v>#DIV/0!</v>
      </c>
      <c r="Q18" s="666"/>
      <c r="R18" s="682">
        <f t="shared" si="1"/>
        <v>0</v>
      </c>
      <c r="S18" s="667">
        <f>'A3.1a_CF-Tidal (Chin)'!S18</f>
        <v>0.10200501253132832</v>
      </c>
      <c r="Y18" s="666"/>
      <c r="Z18" s="669">
        <f>'A3.1a_CF-Tidal (Chin)'!Z18</f>
        <v>9.1724137931034483E-3</v>
      </c>
      <c r="AA18" s="684"/>
      <c r="AB18" s="685"/>
      <c r="AC18" s="686">
        <f t="shared" si="2"/>
        <v>0</v>
      </c>
      <c r="AD18" s="672">
        <v>1620</v>
      </c>
      <c r="AE18" s="687" t="s">
        <v>478</v>
      </c>
      <c r="AF18" s="688"/>
      <c r="AH18" s="623" t="e">
        <f>F18/I18</f>
        <v>#DIV/0!</v>
      </c>
      <c r="AI18" s="655"/>
      <c r="AJ18" s="66" t="e">
        <f t="shared" si="3"/>
        <v>#DIV/0!</v>
      </c>
      <c r="AL18" s="66" t="e">
        <f>F18/$I18</f>
        <v>#DIV/0!</v>
      </c>
      <c r="AM18" s="66" t="e">
        <f>H18/$I18</f>
        <v>#DIV/0!</v>
      </c>
      <c r="AS18" s="675">
        <f>I18</f>
        <v>0</v>
      </c>
      <c r="AT18" s="79" t="e">
        <f t="shared" ref="AT18:AU32" si="4">F18/$I18</f>
        <v>#DIV/0!</v>
      </c>
      <c r="AU18" s="79" t="e">
        <f t="shared" si="4"/>
        <v>#DIV/0!</v>
      </c>
      <c r="AV18" s="676" t="e">
        <f t="shared" ref="AV18:AV29" si="5">SUM(AT18:AU18)</f>
        <v>#DIV/0!</v>
      </c>
      <c r="AY18" s="12">
        <v>673</v>
      </c>
      <c r="AZ18" s="12">
        <v>548</v>
      </c>
      <c r="BA18" s="12">
        <f>SUM(AY18:AZ18)</f>
        <v>1221</v>
      </c>
      <c r="BC18" s="12">
        <v>6076</v>
      </c>
      <c r="BD18" s="12">
        <v>5894</v>
      </c>
      <c r="BE18" s="12">
        <f>SUM(BC18:BD18)</f>
        <v>11970</v>
      </c>
    </row>
    <row r="19" spans="3:57" x14ac:dyDescent="0.2">
      <c r="C19" s="655">
        <v>2009</v>
      </c>
      <c r="D19" s="655" t="s">
        <v>463</v>
      </c>
      <c r="F19" s="689"/>
      <c r="G19" s="690"/>
      <c r="H19" s="689"/>
      <c r="I19" s="689">
        <f t="shared" si="0"/>
        <v>0</v>
      </c>
      <c r="K19" s="764">
        <f>'A3.1a_CF-Tidal (Chin)'!K19</f>
        <v>0.1809578988026265</v>
      </c>
      <c r="L19" s="667">
        <v>0.8</v>
      </c>
      <c r="M19" s="681" t="e">
        <f>Q19/H19</f>
        <v>#DIV/0!</v>
      </c>
      <c r="Q19" s="689"/>
      <c r="R19" s="691">
        <f t="shared" si="1"/>
        <v>0</v>
      </c>
      <c r="S19" s="667">
        <f>'A3.1a_CF-Tidal (Chin)'!S19</f>
        <v>0.11301220575414124</v>
      </c>
      <c r="Y19" s="689"/>
      <c r="Z19" s="669">
        <f>'A3.1a_CF-Tidal (Chin)'!Z19</f>
        <v>8.4176763234113522E-3</v>
      </c>
      <c r="AA19" s="693"/>
      <c r="AB19" s="685"/>
      <c r="AC19" s="686">
        <f t="shared" si="2"/>
        <v>0</v>
      </c>
      <c r="AD19" s="672">
        <v>1316</v>
      </c>
      <c r="AE19" s="694" t="s">
        <v>478</v>
      </c>
      <c r="AF19" s="695"/>
      <c r="AH19" s="623" t="e">
        <f>F19/I19</f>
        <v>#DIV/0!</v>
      </c>
      <c r="AI19" s="655"/>
      <c r="AJ19" s="66" t="e">
        <f t="shared" si="3"/>
        <v>#DIV/0!</v>
      </c>
      <c r="AL19" s="66" t="e">
        <f>F19/$I19</f>
        <v>#DIV/0!</v>
      </c>
      <c r="AM19" s="66" t="e">
        <f>H19/$I19</f>
        <v>#DIV/0!</v>
      </c>
      <c r="AS19" s="696">
        <v>9304</v>
      </c>
      <c r="AT19" s="79" t="e">
        <f t="shared" si="4"/>
        <v>#DIV/0!</v>
      </c>
      <c r="AU19" s="79" t="e">
        <f t="shared" si="4"/>
        <v>#DIV/0!</v>
      </c>
      <c r="AV19" s="676" t="e">
        <f t="shared" si="5"/>
        <v>#DIV/0!</v>
      </c>
      <c r="AY19" s="12">
        <v>937</v>
      </c>
      <c r="AZ19" s="12">
        <v>100</v>
      </c>
      <c r="BA19" s="12">
        <f>SUM(AY19:AZ19)</f>
        <v>1037</v>
      </c>
      <c r="BC19" s="12">
        <v>5178</v>
      </c>
      <c r="BD19" s="12">
        <v>3998</v>
      </c>
      <c r="BE19" s="12">
        <f>SUM(BC19:BD19)</f>
        <v>9176</v>
      </c>
    </row>
    <row r="20" spans="3:57" ht="13.5" x14ac:dyDescent="0.25">
      <c r="C20" s="655">
        <v>2010</v>
      </c>
      <c r="D20" s="655" t="s">
        <v>463</v>
      </c>
      <c r="F20" s="666"/>
      <c r="G20" s="680"/>
      <c r="H20" s="666"/>
      <c r="I20" s="666">
        <f t="shared" si="0"/>
        <v>0</v>
      </c>
      <c r="J20" s="697"/>
      <c r="K20" s="764">
        <f>'A3.1a_CF-Tidal (Chin)'!K20</f>
        <v>1.6914552347623214E-2</v>
      </c>
      <c r="L20" s="667">
        <v>0.8</v>
      </c>
      <c r="M20" s="681" t="e">
        <f>Q20/H20</f>
        <v>#DIV/0!</v>
      </c>
      <c r="Q20" s="666"/>
      <c r="R20" s="682">
        <f t="shared" si="1"/>
        <v>0</v>
      </c>
      <c r="S20" s="667">
        <f>'A3.1a_CF-Tidal (Chin)'!S20</f>
        <v>8.9828269484808453E-3</v>
      </c>
      <c r="T20" s="697"/>
      <c r="U20" s="697"/>
      <c r="V20" s="697"/>
      <c r="W20" s="697"/>
      <c r="X20" s="697"/>
      <c r="Y20" s="666"/>
      <c r="Z20" s="669">
        <f>'A3.1a_CF-Tidal (Chin)'!Z20</f>
        <v>7.6267281105990787E-3</v>
      </c>
      <c r="AA20" s="699"/>
      <c r="AB20" s="700"/>
      <c r="AC20" s="701">
        <f t="shared" si="2"/>
        <v>0</v>
      </c>
      <c r="AD20" s="672">
        <v>399</v>
      </c>
      <c r="AE20" s="702" t="s">
        <v>479</v>
      </c>
      <c r="AF20" s="703"/>
      <c r="AH20" s="623" t="e">
        <f>F20/I20</f>
        <v>#DIV/0!</v>
      </c>
      <c r="AI20" s="655"/>
      <c r="AJ20" s="66" t="e">
        <f t="shared" si="3"/>
        <v>#DIV/0!</v>
      </c>
      <c r="AL20" s="66" t="e">
        <f>F20/$I20</f>
        <v>#DIV/0!</v>
      </c>
      <c r="AM20" s="66" t="e">
        <f>H20/$I20</f>
        <v>#DIV/0!</v>
      </c>
      <c r="AS20" s="696">
        <v>9304</v>
      </c>
      <c r="AT20" s="79" t="e">
        <f t="shared" si="4"/>
        <v>#DIV/0!</v>
      </c>
      <c r="AU20" s="79" t="e">
        <f t="shared" si="4"/>
        <v>#DIV/0!</v>
      </c>
      <c r="AV20" s="676" t="e">
        <f t="shared" si="5"/>
        <v>#DIV/0!</v>
      </c>
    </row>
    <row r="21" spans="3:57" ht="13.5" x14ac:dyDescent="0.25">
      <c r="C21" s="655">
        <v>2011</v>
      </c>
      <c r="D21" s="655" t="s">
        <v>463</v>
      </c>
      <c r="F21" s="704"/>
      <c r="G21" s="680"/>
      <c r="H21" s="704"/>
      <c r="I21" s="704">
        <f t="shared" si="0"/>
        <v>0</v>
      </c>
      <c r="J21" s="697"/>
      <c r="K21" s="764">
        <f>'A3.1a_CF-Tidal (Chin)'!K21</f>
        <v>5.9367013957145665E-2</v>
      </c>
      <c r="L21" s="667">
        <v>0.8</v>
      </c>
      <c r="M21" s="681" t="e">
        <f>Q21/H21</f>
        <v>#DIV/0!</v>
      </c>
      <c r="Q21" s="705"/>
      <c r="R21" s="706">
        <f t="shared" si="1"/>
        <v>0</v>
      </c>
      <c r="S21" s="667">
        <f>'A3.1a_CF-Tidal (Chin)'!S21</f>
        <v>4.1902296109559173E-2</v>
      </c>
      <c r="T21" s="697"/>
      <c r="U21" s="697"/>
      <c r="V21" s="697"/>
      <c r="W21" s="697"/>
      <c r="X21" s="697"/>
      <c r="Y21" s="705"/>
      <c r="Z21" s="669">
        <f>'A3.1a_CF-Tidal (Chin)'!Z21</f>
        <v>5.8958333333333337E-3</v>
      </c>
      <c r="AA21" s="699"/>
      <c r="AB21" s="700"/>
      <c r="AC21" s="701">
        <f t="shared" si="2"/>
        <v>0</v>
      </c>
      <c r="AD21" s="672">
        <v>898</v>
      </c>
      <c r="AE21" s="702" t="s">
        <v>479</v>
      </c>
      <c r="AF21" s="703"/>
      <c r="AH21" s="623" t="e">
        <f>F21/I21</f>
        <v>#DIV/0!</v>
      </c>
      <c r="AI21" s="655"/>
      <c r="AJ21" s="66" t="e">
        <f t="shared" si="3"/>
        <v>#DIV/0!</v>
      </c>
      <c r="AL21" s="66" t="e">
        <f>F21/$I21</f>
        <v>#DIV/0!</v>
      </c>
      <c r="AM21" s="66" t="e">
        <f>H21/$I21</f>
        <v>#DIV/0!</v>
      </c>
      <c r="AS21" s="696">
        <v>9304</v>
      </c>
      <c r="AT21" s="79" t="e">
        <f t="shared" si="4"/>
        <v>#DIV/0!</v>
      </c>
      <c r="AU21" s="79" t="e">
        <f t="shared" si="4"/>
        <v>#DIV/0!</v>
      </c>
      <c r="AV21" s="676" t="e">
        <f t="shared" si="5"/>
        <v>#DIV/0!</v>
      </c>
    </row>
    <row r="22" spans="3:57" ht="13.5" x14ac:dyDescent="0.25">
      <c r="C22" s="655">
        <v>2012</v>
      </c>
      <c r="D22" s="655" t="s">
        <v>463</v>
      </c>
      <c r="F22" s="708"/>
      <c r="G22" s="680"/>
      <c r="H22" s="708"/>
      <c r="I22" s="708">
        <f t="shared" si="0"/>
        <v>0</v>
      </c>
      <c r="J22" s="697"/>
      <c r="K22" s="764">
        <f>'A3.1a_CF-Tidal (Chin)'!K22</f>
        <v>5.9367013957145665E-2</v>
      </c>
      <c r="L22" s="667">
        <v>0.8</v>
      </c>
      <c r="M22" s="709" t="e">
        <f>M21</f>
        <v>#DIV/0!</v>
      </c>
      <c r="P22" s="710"/>
      <c r="Q22" s="708"/>
      <c r="R22" s="711">
        <f t="shared" si="1"/>
        <v>0</v>
      </c>
      <c r="S22" s="667">
        <f>'A3.1a_CF-Tidal (Chin)'!S22</f>
        <v>3.6701172519175325E-2</v>
      </c>
      <c r="T22" s="697"/>
      <c r="U22" s="697"/>
      <c r="V22" s="697"/>
      <c r="W22" s="697"/>
      <c r="X22" s="697"/>
      <c r="Y22" s="712"/>
      <c r="Z22" s="669">
        <f>'A3.1a_CF-Tidal (Chin)'!Z22</f>
        <v>5.8958333333333337E-3</v>
      </c>
      <c r="AA22" s="714"/>
      <c r="AB22" s="700"/>
      <c r="AC22" s="701">
        <f t="shared" si="2"/>
        <v>0</v>
      </c>
      <c r="AD22" s="672"/>
      <c r="AE22" s="715" t="s">
        <v>480</v>
      </c>
      <c r="AF22" s="716"/>
      <c r="AG22" s="655">
        <v>7000</v>
      </c>
      <c r="AH22" s="717" t="e">
        <f>AVERAGE(AH18:AH21)</f>
        <v>#DIV/0!</v>
      </c>
      <c r="AI22" s="630" t="e">
        <f>1-AH22</f>
        <v>#DIV/0!</v>
      </c>
      <c r="AJ22" s="66" t="e">
        <f t="shared" si="3"/>
        <v>#DIV/0!</v>
      </c>
      <c r="AL22" s="66" t="e">
        <f>F22/$I22</f>
        <v>#DIV/0!</v>
      </c>
      <c r="AM22" s="66" t="e">
        <f>H22/$I22</f>
        <v>#DIV/0!</v>
      </c>
      <c r="AS22" s="696">
        <v>9304</v>
      </c>
      <c r="AT22" s="79" t="e">
        <f t="shared" si="4"/>
        <v>#DIV/0!</v>
      </c>
      <c r="AU22" s="79" t="e">
        <f t="shared" si="4"/>
        <v>#DIV/0!</v>
      </c>
      <c r="AV22" s="676" t="e">
        <f t="shared" si="5"/>
        <v>#DIV/0!</v>
      </c>
    </row>
    <row r="23" spans="3:57" ht="13.5" x14ac:dyDescent="0.25">
      <c r="C23" s="655">
        <v>2013</v>
      </c>
      <c r="D23" s="655" t="s">
        <v>463</v>
      </c>
      <c r="F23" s="718"/>
      <c r="G23" s="719"/>
      <c r="H23" s="718"/>
      <c r="I23" s="718">
        <f t="shared" si="0"/>
        <v>0</v>
      </c>
      <c r="J23" s="697"/>
      <c r="K23" s="764">
        <f>'A3.1a_CF-Tidal (Chin)'!K23</f>
        <v>5.9367013957145665E-2</v>
      </c>
      <c r="L23" s="667">
        <v>0.8</v>
      </c>
      <c r="M23" s="720" t="e">
        <f>M22</f>
        <v>#DIV/0!</v>
      </c>
      <c r="P23" s="721"/>
      <c r="Q23" s="718"/>
      <c r="R23" s="722">
        <f t="shared" si="1"/>
        <v>0</v>
      </c>
      <c r="S23" s="667">
        <f>'A3.1a_CF-Tidal (Chin)'!S23</f>
        <v>2.3666625001459055E-2</v>
      </c>
      <c r="T23" s="697"/>
      <c r="U23" s="697"/>
      <c r="V23" s="697"/>
      <c r="W23" s="697"/>
      <c r="X23" s="697"/>
      <c r="Y23" s="723"/>
      <c r="Z23" s="669">
        <f>'A3.1a_CF-Tidal (Chin)'!Z23</f>
        <v>5.8958333333333337E-3</v>
      </c>
      <c r="AA23" s="725"/>
      <c r="AB23" s="700"/>
      <c r="AC23" s="701">
        <f t="shared" si="2"/>
        <v>0</v>
      </c>
      <c r="AD23" s="672"/>
      <c r="AE23" s="726" t="s">
        <v>481</v>
      </c>
      <c r="AF23" s="727"/>
      <c r="AG23" s="655"/>
      <c r="AH23" s="717"/>
      <c r="AI23" s="630"/>
      <c r="AJ23" s="66" t="e">
        <f t="shared" si="3"/>
        <v>#DIV/0!</v>
      </c>
      <c r="AS23" s="696"/>
      <c r="AT23" s="79" t="e">
        <f t="shared" si="4"/>
        <v>#DIV/0!</v>
      </c>
      <c r="AU23" s="79" t="e">
        <f t="shared" si="4"/>
        <v>#DIV/0!</v>
      </c>
      <c r="AV23" s="676" t="e">
        <f t="shared" si="5"/>
        <v>#DIV/0!</v>
      </c>
    </row>
    <row r="24" spans="3:57" ht="13.5" x14ac:dyDescent="0.25">
      <c r="C24" s="655">
        <v>2014</v>
      </c>
      <c r="D24" s="655" t="s">
        <v>463</v>
      </c>
      <c r="F24" s="728"/>
      <c r="G24" s="719"/>
      <c r="H24" s="728"/>
      <c r="I24" s="728">
        <f t="shared" si="0"/>
        <v>0</v>
      </c>
      <c r="J24" s="729"/>
      <c r="K24" s="764">
        <f>'A3.1a_CF-Tidal (Chin)'!K24</f>
        <v>5.9367013957145665E-2</v>
      </c>
      <c r="L24" s="667">
        <v>0.8</v>
      </c>
      <c r="M24" s="730" t="e">
        <f>M23</f>
        <v>#DIV/0!</v>
      </c>
      <c r="P24" s="731"/>
      <c r="Q24" s="728"/>
      <c r="R24" s="722">
        <f t="shared" si="1"/>
        <v>0</v>
      </c>
      <c r="S24" s="667">
        <f>'A3.1a_CF-Tidal (Chin)'!S24</f>
        <v>3.6161853864034532E-2</v>
      </c>
      <c r="T24" s="697"/>
      <c r="U24" s="697"/>
      <c r="V24" s="697"/>
      <c r="W24" s="697"/>
      <c r="X24" s="697"/>
      <c r="Y24" s="732"/>
      <c r="Z24" s="669">
        <f>'A3.1a_CF-Tidal (Chin)'!Z24</f>
        <v>5.8958333333333337E-3</v>
      </c>
      <c r="AA24" s="725"/>
      <c r="AB24" s="700"/>
      <c r="AC24" s="734">
        <f>ROUND(R24+AA24,0)</f>
        <v>0</v>
      </c>
      <c r="AD24" s="672"/>
      <c r="AE24" s="735" t="s">
        <v>482</v>
      </c>
      <c r="AF24" s="736"/>
      <c r="AG24" s="655"/>
      <c r="AH24" s="717"/>
      <c r="AI24" s="630"/>
      <c r="AJ24" s="66" t="e">
        <f t="shared" si="3"/>
        <v>#DIV/0!</v>
      </c>
      <c r="AL24" s="630" t="e">
        <f t="shared" ref="AL24:AM26" si="6">AVERAGE(AL18:AL23)</f>
        <v>#DIV/0!</v>
      </c>
      <c r="AM24" s="630" t="e">
        <f t="shared" si="6"/>
        <v>#DIV/0!</v>
      </c>
      <c r="AN24" s="634"/>
      <c r="AS24" s="696"/>
      <c r="AT24" s="79" t="e">
        <f t="shared" si="4"/>
        <v>#DIV/0!</v>
      </c>
      <c r="AU24" s="79" t="e">
        <f t="shared" si="4"/>
        <v>#DIV/0!</v>
      </c>
      <c r="AV24" s="676" t="e">
        <f t="shared" si="5"/>
        <v>#DIV/0!</v>
      </c>
    </row>
    <row r="25" spans="3:57" ht="13.5" x14ac:dyDescent="0.25">
      <c r="C25" s="655">
        <v>2015</v>
      </c>
      <c r="D25" s="655" t="s">
        <v>463</v>
      </c>
      <c r="F25" s="737"/>
      <c r="G25" s="738"/>
      <c r="H25" s="737"/>
      <c r="I25" s="737">
        <f t="shared" si="0"/>
        <v>0</v>
      </c>
      <c r="J25" s="729"/>
      <c r="K25" s="764">
        <f>'A3.1a_CF-Tidal (Chin)'!K25</f>
        <v>6.7561168113654299E-2</v>
      </c>
      <c r="L25" s="667">
        <v>0.8</v>
      </c>
      <c r="M25" s="730" t="e">
        <f>Q25/H25</f>
        <v>#DIV/0!</v>
      </c>
      <c r="P25" s="731"/>
      <c r="Q25" s="737"/>
      <c r="R25" s="740">
        <f t="shared" si="1"/>
        <v>0</v>
      </c>
      <c r="S25" s="667">
        <f>'A3.1a_CF-Tidal (Chin)'!S25</f>
        <v>3.9197240514267796E-2</v>
      </c>
      <c r="T25" s="697"/>
      <c r="U25" s="697"/>
      <c r="V25" s="697"/>
      <c r="W25" s="697"/>
      <c r="X25" s="697"/>
      <c r="Y25" s="741"/>
      <c r="Z25" s="669">
        <f>'A3.1a_CF-Tidal (Chin)'!Z25</f>
        <v>5.849056603773585E-3</v>
      </c>
      <c r="AA25" s="742"/>
      <c r="AB25" s="700"/>
      <c r="AC25" s="701">
        <f t="shared" si="2"/>
        <v>0</v>
      </c>
      <c r="AD25" s="672"/>
      <c r="AE25" s="743" t="s">
        <v>483</v>
      </c>
      <c r="AF25" s="736"/>
      <c r="AG25" s="655"/>
      <c r="AH25" s="717"/>
      <c r="AI25" s="630"/>
      <c r="AJ25" s="66" t="e">
        <f t="shared" si="3"/>
        <v>#DIV/0!</v>
      </c>
      <c r="AL25" s="630" t="e">
        <f t="shared" si="6"/>
        <v>#DIV/0!</v>
      </c>
      <c r="AM25" s="630" t="e">
        <f t="shared" si="6"/>
        <v>#DIV/0!</v>
      </c>
      <c r="AN25" s="634"/>
      <c r="AS25" s="696"/>
      <c r="AT25" s="79" t="e">
        <f t="shared" si="4"/>
        <v>#DIV/0!</v>
      </c>
      <c r="AU25" s="79" t="e">
        <f t="shared" si="4"/>
        <v>#DIV/0!</v>
      </c>
      <c r="AV25" s="676" t="e">
        <f t="shared" si="5"/>
        <v>#DIV/0!</v>
      </c>
      <c r="AX25" s="12">
        <f>1-0.59</f>
        <v>0.41000000000000003</v>
      </c>
    </row>
    <row r="26" spans="3:57" ht="13.5" x14ac:dyDescent="0.25">
      <c r="C26" s="655">
        <v>2016</v>
      </c>
      <c r="D26" s="655" t="s">
        <v>463</v>
      </c>
      <c r="F26" s="744"/>
      <c r="G26" s="745"/>
      <c r="H26" s="744"/>
      <c r="I26" s="744">
        <f t="shared" si="0"/>
        <v>0</v>
      </c>
      <c r="J26" s="746"/>
      <c r="K26" s="764">
        <f>'A3.1a_CF-Tidal (Chin)'!K26</f>
        <v>5.8654496281271132E-2</v>
      </c>
      <c r="L26" s="667">
        <v>0.8</v>
      </c>
      <c r="M26" s="747" t="e">
        <f>Q26/H26</f>
        <v>#DIV/0!</v>
      </c>
      <c r="N26" s="748"/>
      <c r="P26" s="749"/>
      <c r="Q26" s="744"/>
      <c r="R26" s="750">
        <f t="shared" si="1"/>
        <v>0</v>
      </c>
      <c r="S26" s="667">
        <f>'A3.1a_CF-Tidal (Chin)'!S26</f>
        <v>4.6699193468087222E-2</v>
      </c>
      <c r="T26" s="746"/>
      <c r="U26" s="746"/>
      <c r="V26" s="746"/>
      <c r="W26" s="746"/>
      <c r="X26" s="746"/>
      <c r="Y26" s="744"/>
      <c r="Z26" s="669">
        <f>'A3.1a_CF-Tidal (Chin)'!Z26</f>
        <v>1.1302681992337164E-2</v>
      </c>
      <c r="AA26" s="752"/>
      <c r="AB26" s="753"/>
      <c r="AC26" s="744">
        <f t="shared" si="2"/>
        <v>0</v>
      </c>
      <c r="AD26" s="672"/>
      <c r="AE26" s="735" t="s">
        <v>484</v>
      </c>
      <c r="AF26" s="736"/>
      <c r="AG26" s="655"/>
      <c r="AH26" s="717"/>
      <c r="AI26" s="630"/>
      <c r="AJ26" s="66" t="e">
        <f t="shared" si="3"/>
        <v>#DIV/0!</v>
      </c>
      <c r="AL26" s="630" t="e">
        <f t="shared" si="6"/>
        <v>#DIV/0!</v>
      </c>
      <c r="AM26" s="630" t="e">
        <f t="shared" si="6"/>
        <v>#DIV/0!</v>
      </c>
      <c r="AN26" s="634"/>
      <c r="AS26" s="696"/>
      <c r="AT26" s="79" t="e">
        <f t="shared" si="4"/>
        <v>#DIV/0!</v>
      </c>
      <c r="AU26" s="79" t="e">
        <f t="shared" si="4"/>
        <v>#DIV/0!</v>
      </c>
      <c r="AV26" s="676" t="e">
        <f t="shared" si="5"/>
        <v>#DIV/0!</v>
      </c>
    </row>
    <row r="27" spans="3:57" ht="13.5" x14ac:dyDescent="0.25">
      <c r="C27" s="655">
        <v>2017</v>
      </c>
      <c r="D27" s="655" t="s">
        <v>463</v>
      </c>
      <c r="F27" s="754"/>
      <c r="G27" s="755"/>
      <c r="H27" s="754"/>
      <c r="I27" s="754">
        <f t="shared" si="0"/>
        <v>0</v>
      </c>
      <c r="J27" s="729"/>
      <c r="K27" s="764">
        <f>'A3.1a_CF-Tidal (Chin)'!K27</f>
        <v>0.13683000000000001</v>
      </c>
      <c r="L27" s="667">
        <v>0.8</v>
      </c>
      <c r="M27" s="756">
        <v>6.6649999999999999E-3</v>
      </c>
      <c r="P27" s="757"/>
      <c r="Q27" s="754"/>
      <c r="R27" s="758">
        <f t="shared" si="1"/>
        <v>0</v>
      </c>
      <c r="S27" s="667">
        <f>'A3.1a_CF-Tidal (Chin)'!S27</f>
        <v>7.187627423822715E-2</v>
      </c>
      <c r="T27" s="697"/>
      <c r="U27" s="697"/>
      <c r="V27" s="697"/>
      <c r="W27" s="697"/>
      <c r="X27" s="697"/>
      <c r="Y27" s="759"/>
      <c r="Z27" s="669">
        <f>'A3.1a_CF-Tidal (Chin)'!Z27</f>
        <v>1.92E-3</v>
      </c>
      <c r="AA27" s="761"/>
      <c r="AB27" s="762"/>
      <c r="AC27" s="754">
        <f t="shared" si="2"/>
        <v>0</v>
      </c>
      <c r="AD27" s="672"/>
      <c r="AE27" s="726" t="s">
        <v>485</v>
      </c>
      <c r="AF27" s="736"/>
      <c r="AG27" s="655"/>
      <c r="AH27" s="717"/>
      <c r="AI27" s="630"/>
      <c r="AJ27" s="66" t="e">
        <f t="shared" si="3"/>
        <v>#DIV/0!</v>
      </c>
      <c r="AL27" s="630" t="e">
        <f t="shared" ref="AL27:AM32" si="7">AL26</f>
        <v>#DIV/0!</v>
      </c>
      <c r="AM27" s="630" t="e">
        <f t="shared" si="7"/>
        <v>#DIV/0!</v>
      </c>
      <c r="AN27" s="634">
        <v>3668</v>
      </c>
      <c r="AS27" s="763"/>
      <c r="AT27" s="79" t="e">
        <f t="shared" si="4"/>
        <v>#DIV/0!</v>
      </c>
      <c r="AU27" s="79" t="e">
        <f t="shared" si="4"/>
        <v>#DIV/0!</v>
      </c>
      <c r="AV27" s="676" t="e">
        <f t="shared" si="5"/>
        <v>#DIV/0!</v>
      </c>
    </row>
    <row r="28" spans="3:57" ht="13.5" x14ac:dyDescent="0.25">
      <c r="C28" s="655">
        <v>2018</v>
      </c>
      <c r="D28" s="655" t="s">
        <v>463</v>
      </c>
      <c r="F28" s="744"/>
      <c r="G28" s="745"/>
      <c r="H28" s="744"/>
      <c r="I28" s="744">
        <f t="shared" si="0"/>
        <v>0</v>
      </c>
      <c r="J28" s="729"/>
      <c r="K28" s="764">
        <f>'A3.1a_CF-Tidal (Chin)'!K28</f>
        <v>3.4039485364192407E-2</v>
      </c>
      <c r="L28" s="667">
        <v>0.8</v>
      </c>
      <c r="M28" s="764">
        <v>3.4039485364192407E-2</v>
      </c>
      <c r="P28" s="749"/>
      <c r="Q28" s="744"/>
      <c r="R28" s="750">
        <f t="shared" si="1"/>
        <v>0</v>
      </c>
      <c r="S28" s="667">
        <f>'A3.1a_CF-Tidal (Chin)'!S28</f>
        <v>3.4039485364192407E-2</v>
      </c>
      <c r="T28" s="697"/>
      <c r="U28" s="697"/>
      <c r="V28" s="697"/>
      <c r="W28" s="697"/>
      <c r="X28" s="697"/>
      <c r="Y28" s="765"/>
      <c r="Z28" s="669">
        <f>'A3.1a_CF-Tidal (Chin)'!Z28</f>
        <v>1.0700671723100649E-3</v>
      </c>
      <c r="AA28" s="752"/>
      <c r="AB28" s="753"/>
      <c r="AC28" s="744">
        <f t="shared" si="2"/>
        <v>0</v>
      </c>
      <c r="AD28" s="672"/>
      <c r="AE28" s="767" t="s">
        <v>486</v>
      </c>
      <c r="AF28" s="736"/>
      <c r="AG28" s="655"/>
      <c r="AH28" s="717"/>
      <c r="AI28" s="630"/>
      <c r="AJ28" s="66" t="e">
        <f t="shared" si="3"/>
        <v>#DIV/0!</v>
      </c>
      <c r="AL28" s="630" t="e">
        <f t="shared" si="7"/>
        <v>#DIV/0!</v>
      </c>
      <c r="AM28" s="630" t="e">
        <f t="shared" si="7"/>
        <v>#DIV/0!</v>
      </c>
      <c r="AN28" s="634">
        <v>3668</v>
      </c>
      <c r="AS28" s="763"/>
      <c r="AT28" s="79" t="e">
        <f t="shared" si="4"/>
        <v>#DIV/0!</v>
      </c>
      <c r="AU28" s="79" t="e">
        <f t="shared" si="4"/>
        <v>#DIV/0!</v>
      </c>
      <c r="AV28" s="676" t="e">
        <f t="shared" si="5"/>
        <v>#DIV/0!</v>
      </c>
    </row>
    <row r="29" spans="3:57" ht="13.5" x14ac:dyDescent="0.25">
      <c r="C29" s="655">
        <v>2019</v>
      </c>
      <c r="D29" s="655" t="s">
        <v>463</v>
      </c>
      <c r="F29" s="744"/>
      <c r="G29" s="745"/>
      <c r="H29" s="744"/>
      <c r="I29" s="744">
        <f t="shared" si="0"/>
        <v>0</v>
      </c>
      <c r="J29" s="729"/>
      <c r="K29" s="764">
        <f>'A3.1a_CF-Tidal (Chin)'!K29</f>
        <v>3.4039485364192407E-2</v>
      </c>
      <c r="L29" s="667">
        <v>0.8</v>
      </c>
      <c r="M29" s="764">
        <v>3.4039485364192407E-2</v>
      </c>
      <c r="P29" s="749"/>
      <c r="Q29" s="744"/>
      <c r="R29" s="750">
        <f t="shared" si="1"/>
        <v>0</v>
      </c>
      <c r="S29" s="667">
        <f>'A3.1a_CF-Tidal (Chin)'!S29</f>
        <v>3.4039485364192407E-2</v>
      </c>
      <c r="T29" s="697"/>
      <c r="U29" s="697"/>
      <c r="V29" s="697"/>
      <c r="W29" s="697"/>
      <c r="X29" s="697"/>
      <c r="Y29" s="765"/>
      <c r="Z29" s="669">
        <f>'A3.1a_CF-Tidal (Chin)'!Z29</f>
        <v>8.0300000000000007E-3</v>
      </c>
      <c r="AA29" s="752"/>
      <c r="AB29" s="753"/>
      <c r="AC29" s="744">
        <f t="shared" si="2"/>
        <v>0</v>
      </c>
      <c r="AD29" s="672">
        <f>$Y29*$Z29</f>
        <v>0</v>
      </c>
      <c r="AE29" s="767" t="s">
        <v>487</v>
      </c>
      <c r="AF29" s="736"/>
      <c r="AG29" s="655"/>
      <c r="AH29" s="717"/>
      <c r="AI29" s="630"/>
      <c r="AJ29" s="66" t="e">
        <f t="shared" si="3"/>
        <v>#DIV/0!</v>
      </c>
      <c r="AL29" s="630" t="e">
        <f t="shared" si="7"/>
        <v>#DIV/0!</v>
      </c>
      <c r="AM29" s="630" t="e">
        <f t="shared" si="7"/>
        <v>#DIV/0!</v>
      </c>
      <c r="AN29" s="634">
        <v>3668</v>
      </c>
      <c r="AS29" s="763"/>
      <c r="AT29" s="79" t="e">
        <f t="shared" si="4"/>
        <v>#DIV/0!</v>
      </c>
      <c r="AU29" s="79" t="e">
        <f t="shared" si="4"/>
        <v>#DIV/0!</v>
      </c>
      <c r="AV29" s="676" t="e">
        <f t="shared" si="5"/>
        <v>#DIV/0!</v>
      </c>
    </row>
    <row r="30" spans="3:57" ht="13.5" x14ac:dyDescent="0.25">
      <c r="C30" s="655">
        <v>2020</v>
      </c>
      <c r="D30" s="655" t="s">
        <v>463</v>
      </c>
      <c r="F30" s="744"/>
      <c r="G30" s="745"/>
      <c r="H30" s="744"/>
      <c r="I30" s="744">
        <f>SUM(F30:H30)</f>
        <v>0</v>
      </c>
      <c r="J30" s="729"/>
      <c r="K30" s="764">
        <f>'A3.1a_CF-Tidal (Chin)'!K30</f>
        <v>3.4039485364192407E-2</v>
      </c>
      <c r="L30" s="667">
        <v>0.8</v>
      </c>
      <c r="M30" s="764">
        <v>3.4039485364192407E-2</v>
      </c>
      <c r="P30" s="749"/>
      <c r="Q30" s="744"/>
      <c r="R30" s="750">
        <f t="shared" si="1"/>
        <v>0</v>
      </c>
      <c r="S30" s="667">
        <f>'A3.1a_CF-Tidal (Chin)'!S30</f>
        <v>3.4039485364192407E-2</v>
      </c>
      <c r="T30" s="697"/>
      <c r="U30" s="697"/>
      <c r="V30" s="697"/>
      <c r="W30" s="697"/>
      <c r="X30" s="697"/>
      <c r="Y30" s="765"/>
      <c r="Z30" s="669">
        <f>'A3.1a_CF-Tidal (Chin)'!Z30</f>
        <v>8.0300000000000007E-3</v>
      </c>
      <c r="AA30" s="752"/>
      <c r="AB30" s="753"/>
      <c r="AC30" s="744">
        <f t="shared" si="2"/>
        <v>0</v>
      </c>
      <c r="AD30" s="672"/>
      <c r="AE30" s="767" t="s">
        <v>488</v>
      </c>
      <c r="AF30" s="736"/>
      <c r="AG30" s="655"/>
      <c r="AH30" s="717"/>
      <c r="AI30" s="630"/>
      <c r="AJ30" s="66" t="e">
        <f t="shared" si="3"/>
        <v>#DIV/0!</v>
      </c>
      <c r="AL30" s="630" t="e">
        <f t="shared" si="7"/>
        <v>#DIV/0!</v>
      </c>
      <c r="AM30" s="630" t="e">
        <f t="shared" si="7"/>
        <v>#DIV/0!</v>
      </c>
      <c r="AN30" s="634">
        <v>3668</v>
      </c>
      <c r="AS30" s="763"/>
      <c r="AT30" s="79" t="e">
        <f t="shared" si="4"/>
        <v>#DIV/0!</v>
      </c>
      <c r="AU30" s="79" t="e">
        <f t="shared" si="4"/>
        <v>#DIV/0!</v>
      </c>
      <c r="AV30" s="676" t="e">
        <f>SUM(AT30:AU30)</f>
        <v>#DIV/0!</v>
      </c>
    </row>
    <row r="31" spans="3:57" ht="13.5" x14ac:dyDescent="0.25">
      <c r="C31" s="655">
        <v>2021</v>
      </c>
      <c r="D31" s="655" t="s">
        <v>463</v>
      </c>
      <c r="F31" s="744"/>
      <c r="G31" s="745"/>
      <c r="H31" s="744"/>
      <c r="I31" s="744">
        <f>SUM(F31:H31)</f>
        <v>0</v>
      </c>
      <c r="J31" s="729"/>
      <c r="K31" s="764">
        <f>'A3.1a_CF-Tidal (Chin)'!K31</f>
        <v>2.8000000000000001E-2</v>
      </c>
      <c r="L31" s="667">
        <v>0.8</v>
      </c>
      <c r="M31" s="769">
        <v>2.8000000000000001E-2</v>
      </c>
      <c r="P31" s="749"/>
      <c r="Q31" s="744"/>
      <c r="R31" s="750">
        <f t="shared" si="1"/>
        <v>0</v>
      </c>
      <c r="S31" s="667">
        <f>'A3.1a_CF-Tidal (Chin)'!S31</f>
        <v>2.8000000000000004E-2</v>
      </c>
      <c r="T31" s="697"/>
      <c r="U31" s="697"/>
      <c r="V31" s="697"/>
      <c r="W31" s="697"/>
      <c r="X31" s="697"/>
      <c r="Y31" s="765"/>
      <c r="Z31" s="669">
        <f>'A3.1a_CF-Tidal (Chin)'!Z31</f>
        <v>6.4864049477693555E-3</v>
      </c>
      <c r="AA31" s="771"/>
      <c r="AB31" s="753"/>
      <c r="AC31" s="744">
        <f t="shared" si="2"/>
        <v>0</v>
      </c>
      <c r="AD31" s="672"/>
      <c r="AE31" s="772" t="s">
        <v>489</v>
      </c>
      <c r="AF31" s="736"/>
      <c r="AG31" s="655"/>
      <c r="AH31" s="717"/>
      <c r="AI31" s="630"/>
      <c r="AJ31" s="66" t="e">
        <f t="shared" si="3"/>
        <v>#DIV/0!</v>
      </c>
      <c r="AL31" s="630" t="e">
        <f t="shared" si="7"/>
        <v>#DIV/0!</v>
      </c>
      <c r="AM31" s="630" t="e">
        <f t="shared" si="7"/>
        <v>#DIV/0!</v>
      </c>
      <c r="AN31" s="634">
        <v>3668</v>
      </c>
      <c r="AS31" s="763"/>
      <c r="AT31" s="79" t="e">
        <f t="shared" si="4"/>
        <v>#DIV/0!</v>
      </c>
      <c r="AU31" s="79" t="e">
        <f t="shared" si="4"/>
        <v>#DIV/0!</v>
      </c>
      <c r="AV31" s="676" t="e">
        <f>SUM(AT31:AU31)</f>
        <v>#DIV/0!</v>
      </c>
    </row>
    <row r="32" spans="3:57" ht="13.5" x14ac:dyDescent="0.25">
      <c r="C32" s="655">
        <v>2022</v>
      </c>
      <c r="D32" s="655" t="s">
        <v>463</v>
      </c>
      <c r="F32" s="744"/>
      <c r="G32" s="745"/>
      <c r="H32" s="744"/>
      <c r="I32" s="744">
        <f>SUM(F32:H32)</f>
        <v>0</v>
      </c>
      <c r="J32" s="729"/>
      <c r="K32" s="764">
        <f>'A3.1a_CF-Tidal (Chin)'!K32</f>
        <v>2.8000000000000001E-2</v>
      </c>
      <c r="L32" s="667">
        <v>0.8</v>
      </c>
      <c r="M32" s="764">
        <f>M31</f>
        <v>2.8000000000000001E-2</v>
      </c>
      <c r="P32" s="749"/>
      <c r="Q32" s="744"/>
      <c r="R32" s="750">
        <f t="shared" si="1"/>
        <v>0</v>
      </c>
      <c r="S32" s="667">
        <f>'A3.1a_CF-Tidal (Chin)'!S32</f>
        <v>2.8000000000000001E-2</v>
      </c>
      <c r="T32" s="697"/>
      <c r="U32" s="697"/>
      <c r="V32" s="697"/>
      <c r="W32" s="697"/>
      <c r="X32" s="697"/>
      <c r="Y32" s="773"/>
      <c r="Z32" s="669">
        <f>'A3.1a_CF-Tidal (Chin)'!Z32</f>
        <v>6.4864049477693555E-3</v>
      </c>
      <c r="AA32" s="752"/>
      <c r="AB32" s="753"/>
      <c r="AC32" s="744">
        <f t="shared" si="2"/>
        <v>0</v>
      </c>
      <c r="AD32" s="672"/>
      <c r="AE32" s="767" t="s">
        <v>490</v>
      </c>
      <c r="AF32" s="736"/>
      <c r="AG32" s="655"/>
      <c r="AH32" s="717"/>
      <c r="AI32" s="630"/>
      <c r="AJ32" s="66" t="e">
        <f t="shared" si="3"/>
        <v>#DIV/0!</v>
      </c>
      <c r="AL32" s="630" t="e">
        <f t="shared" si="7"/>
        <v>#DIV/0!</v>
      </c>
      <c r="AM32" s="630" t="e">
        <f t="shared" si="7"/>
        <v>#DIV/0!</v>
      </c>
      <c r="AN32" s="634">
        <v>3668</v>
      </c>
      <c r="AS32" s="763"/>
      <c r="AT32" s="79" t="e">
        <f t="shared" si="4"/>
        <v>#DIV/0!</v>
      </c>
      <c r="AU32" s="79" t="e">
        <f t="shared" si="4"/>
        <v>#DIV/0!</v>
      </c>
      <c r="AV32" s="676" t="e">
        <f>SUM(AT32:AU32)</f>
        <v>#DIV/0!</v>
      </c>
    </row>
    <row r="33" spans="2:48" ht="13.5" x14ac:dyDescent="0.25">
      <c r="C33" s="655">
        <v>2023</v>
      </c>
      <c r="D33" s="655" t="s">
        <v>463</v>
      </c>
      <c r="F33" s="744"/>
      <c r="G33" s="745"/>
      <c r="H33" s="744"/>
      <c r="I33" s="744">
        <f>SUM(F33:H33)</f>
        <v>0</v>
      </c>
      <c r="J33" s="729"/>
      <c r="K33" s="764">
        <f>'A3.1a_CF-Tidal (Chin)'!K33</f>
        <v>2.8000000000000001E-2</v>
      </c>
      <c r="L33" s="667">
        <v>0.8</v>
      </c>
      <c r="M33" s="764">
        <v>2.8000000000000001E-2</v>
      </c>
      <c r="P33" s="749"/>
      <c r="Q33" s="744"/>
      <c r="R33" s="750"/>
      <c r="S33" s="667">
        <f>'A3.1a_CF-Tidal (Chin)'!S33</f>
        <v>2.8000000000000001E-2</v>
      </c>
      <c r="T33" s="697"/>
      <c r="U33" s="697"/>
      <c r="V33" s="697"/>
      <c r="W33" s="697"/>
      <c r="X33" s="697"/>
      <c r="Y33" s="773"/>
      <c r="Z33" s="669">
        <f>'A3.1a_CF-Tidal (Chin)'!Z33</f>
        <v>6.4864049477693555E-3</v>
      </c>
      <c r="AA33" s="752"/>
      <c r="AB33" s="753"/>
      <c r="AC33" s="744">
        <f t="shared" si="2"/>
        <v>0</v>
      </c>
      <c r="AD33" s="672"/>
      <c r="AE33" s="767" t="s">
        <v>491</v>
      </c>
      <c r="AF33" s="736"/>
      <c r="AG33" s="655"/>
      <c r="AH33" s="717"/>
      <c r="AI33" s="630"/>
      <c r="AJ33" s="66"/>
      <c r="AL33" s="630"/>
      <c r="AM33" s="630"/>
      <c r="AN33" s="634"/>
      <c r="AS33" s="763"/>
      <c r="AT33" s="79"/>
      <c r="AU33" s="79"/>
      <c r="AV33" s="676"/>
    </row>
    <row r="34" spans="2:48" ht="13.5" x14ac:dyDescent="0.25">
      <c r="C34" s="655">
        <v>2024</v>
      </c>
      <c r="D34" s="655" t="s">
        <v>463</v>
      </c>
      <c r="F34" s="744"/>
      <c r="G34" s="745"/>
      <c r="H34" s="744"/>
      <c r="I34" s="744">
        <f t="shared" ref="I34:I35" si="8">SUM(F34:H34)</f>
        <v>0</v>
      </c>
      <c r="J34" s="729"/>
      <c r="K34" s="764">
        <f>'A3.1a_CF-Tidal (Chin)'!K34</f>
        <v>2.8000000000000001E-2</v>
      </c>
      <c r="L34" s="667">
        <v>0.8</v>
      </c>
      <c r="M34" s="764">
        <v>2.8000000000000001E-2</v>
      </c>
      <c r="P34" s="749"/>
      <c r="Q34" s="744"/>
      <c r="R34" s="750"/>
      <c r="S34" s="667">
        <f>'A3.1a_CF-Tidal (Chin)'!S34</f>
        <v>2.8000000000000001E-2</v>
      </c>
      <c r="T34" s="697"/>
      <c r="U34" s="697"/>
      <c r="V34" s="697"/>
      <c r="W34" s="697"/>
      <c r="X34" s="697"/>
      <c r="Y34" s="773"/>
      <c r="Z34" s="669">
        <f>'A3.1a_CF-Tidal (Chin)'!Z34</f>
        <v>6.4864049477693555E-3</v>
      </c>
      <c r="AA34" s="752"/>
      <c r="AB34" s="753"/>
      <c r="AC34" s="744">
        <f t="shared" si="2"/>
        <v>0</v>
      </c>
      <c r="AD34" s="672"/>
      <c r="AE34" s="767" t="s">
        <v>492</v>
      </c>
      <c r="AF34" s="736"/>
      <c r="AG34" s="655"/>
      <c r="AH34" s="717"/>
      <c r="AI34" s="630">
        <v>5604</v>
      </c>
      <c r="AJ34" s="66">
        <v>2.8000000000000001E-2</v>
      </c>
      <c r="AL34" s="630">
        <v>0.57744422283488683</v>
      </c>
      <c r="AM34" s="630">
        <v>0.42255577716511328</v>
      </c>
      <c r="AN34" s="634">
        <v>3668</v>
      </c>
      <c r="AS34" s="763"/>
      <c r="AT34" s="79">
        <v>0.31691741530468664</v>
      </c>
      <c r="AU34" s="79">
        <v>0</v>
      </c>
      <c r="AV34" s="676">
        <v>0.31691741530468664</v>
      </c>
    </row>
    <row r="35" spans="2:48" ht="13.5" x14ac:dyDescent="0.25">
      <c r="C35" s="655">
        <v>2025</v>
      </c>
      <c r="D35" s="655" t="s">
        <v>463</v>
      </c>
      <c r="F35" s="744"/>
      <c r="G35" s="745"/>
      <c r="H35" s="744"/>
      <c r="I35" s="744">
        <f t="shared" si="8"/>
        <v>0</v>
      </c>
      <c r="J35" s="729"/>
      <c r="K35" s="764">
        <f>'A3.1a_CF-Tidal (Chin)'!K35</f>
        <v>2.8000000000000001E-2</v>
      </c>
      <c r="L35" s="667">
        <v>0.8</v>
      </c>
      <c r="M35" s="764">
        <f>M32</f>
        <v>2.8000000000000001E-2</v>
      </c>
      <c r="P35" s="749"/>
      <c r="Q35" s="744"/>
      <c r="R35" s="750">
        <f>SUM(O35:Q35)</f>
        <v>0</v>
      </c>
      <c r="S35" s="667">
        <f>'A3.1a_CF-Tidal (Chin)'!S35</f>
        <v>2.8000000000000001E-2</v>
      </c>
      <c r="T35" s="697"/>
      <c r="U35" s="697"/>
      <c r="V35" s="697"/>
      <c r="W35" s="697"/>
      <c r="X35" s="697"/>
      <c r="Y35" s="773">
        <v>34858</v>
      </c>
      <c r="Z35" s="669">
        <f>'A3.1a_CF-Tidal (Chin)'!Z35</f>
        <v>6.4864049477693555E-3</v>
      </c>
      <c r="AA35" s="752">
        <f>$Y35*$Z35</f>
        <v>226.10310366934419</v>
      </c>
      <c r="AB35" s="753"/>
      <c r="AC35" s="744">
        <f>ROUND(R35+AA35,0)</f>
        <v>226</v>
      </c>
      <c r="AD35" s="672"/>
      <c r="AE35" s="767" t="s">
        <v>493</v>
      </c>
      <c r="AF35" s="736"/>
      <c r="AG35" s="655"/>
      <c r="AH35" s="717"/>
      <c r="AI35" s="11">
        <f>SUM(1091,3323,1190)</f>
        <v>5604</v>
      </c>
      <c r="AJ35" s="66" t="e">
        <f t="shared" si="3"/>
        <v>#DIV/0!</v>
      </c>
      <c r="AL35" s="630" t="e">
        <f>AL32</f>
        <v>#DIV/0!</v>
      </c>
      <c r="AM35" s="630" t="e">
        <f>AM32</f>
        <v>#DIV/0!</v>
      </c>
      <c r="AN35" s="634">
        <v>3668</v>
      </c>
      <c r="AS35" s="763"/>
      <c r="AT35" s="79" t="e">
        <f t="shared" ref="AT35:AU35" si="9">F35/$I35</f>
        <v>#DIV/0!</v>
      </c>
      <c r="AU35" s="79" t="e">
        <f t="shared" si="9"/>
        <v>#DIV/0!</v>
      </c>
      <c r="AV35" s="676" t="e">
        <f>SUM(AT35:AU35)</f>
        <v>#DIV/0!</v>
      </c>
    </row>
    <row r="36" spans="2:48" ht="3" customHeight="1" x14ac:dyDescent="0.2">
      <c r="B36" s="658"/>
      <c r="C36" s="651"/>
      <c r="D36" s="651"/>
      <c r="E36" s="658"/>
      <c r="F36" s="774"/>
      <c r="G36" s="774"/>
      <c r="H36" s="774"/>
      <c r="I36" s="774"/>
      <c r="J36" s="658"/>
      <c r="K36" s="660"/>
      <c r="L36" s="660"/>
      <c r="M36" s="660"/>
      <c r="N36" s="658"/>
      <c r="O36" s="659"/>
      <c r="P36" s="659"/>
      <c r="Q36" s="659"/>
      <c r="R36" s="659"/>
      <c r="S36" s="659"/>
      <c r="T36" s="658"/>
      <c r="U36" s="658"/>
      <c r="V36" s="658"/>
      <c r="W36" s="658"/>
      <c r="X36" s="658"/>
      <c r="Y36" s="775"/>
      <c r="Z36" s="660"/>
      <c r="AA36" s="776"/>
      <c r="AB36" s="777"/>
      <c r="AC36" s="776"/>
      <c r="AE36" s="634"/>
    </row>
    <row r="37" spans="2:48" ht="3" customHeight="1" x14ac:dyDescent="0.2">
      <c r="F37" s="665"/>
      <c r="G37" s="665"/>
      <c r="H37" s="665"/>
      <c r="I37" s="665"/>
      <c r="Y37" s="778"/>
      <c r="AA37" s="15"/>
      <c r="AB37" s="11"/>
      <c r="AC37" s="15"/>
      <c r="AE37" s="634"/>
    </row>
    <row r="38" spans="2:48" ht="15.75" x14ac:dyDescent="0.2">
      <c r="B38" s="663" t="s">
        <v>494</v>
      </c>
      <c r="F38" s="665"/>
      <c r="G38" s="665"/>
      <c r="H38" s="665"/>
      <c r="I38" s="665"/>
      <c r="Y38" s="778"/>
      <c r="AA38" s="15"/>
      <c r="AB38" s="11"/>
      <c r="AC38" s="15"/>
      <c r="AE38" s="634"/>
      <c r="AH38" s="98" t="s">
        <v>448</v>
      </c>
      <c r="AI38" s="98" t="s">
        <v>449</v>
      </c>
      <c r="AJ38" s="39" t="s">
        <v>43</v>
      </c>
      <c r="AL38" s="634" t="s">
        <v>495</v>
      </c>
      <c r="AR38" s="12" t="s">
        <v>150</v>
      </c>
      <c r="AS38" s="634"/>
      <c r="AT38" s="676" t="e">
        <f>AVERAGE(AT11:AT18)</f>
        <v>#DIV/0!</v>
      </c>
      <c r="AU38" s="779" t="e">
        <f>AV38-AT38</f>
        <v>#DIV/0!</v>
      </c>
      <c r="AV38" s="79">
        <v>1</v>
      </c>
    </row>
    <row r="39" spans="2:48" x14ac:dyDescent="0.2">
      <c r="C39" s="655">
        <v>2000</v>
      </c>
      <c r="D39" s="655" t="s">
        <v>496</v>
      </c>
      <c r="F39" s="665"/>
      <c r="G39" s="665"/>
      <c r="H39" s="665"/>
      <c r="I39" s="780">
        <f t="shared" ref="I39:I56" si="10">F39+G39</f>
        <v>0</v>
      </c>
      <c r="K39" s="667">
        <v>0.16</v>
      </c>
      <c r="L39" s="667">
        <v>0.8</v>
      </c>
      <c r="M39" s="667"/>
      <c r="O39" s="665">
        <f t="shared" ref="O39:P54" si="11">ROUND(F39*K39,0)</f>
        <v>0</v>
      </c>
      <c r="P39" s="665">
        <f t="shared" si="11"/>
        <v>0</v>
      </c>
      <c r="Q39" s="665"/>
      <c r="R39" s="665">
        <f t="shared" ref="R39:R56" si="12">SUM(O39:P39)</f>
        <v>0</v>
      </c>
      <c r="S39" s="667" t="e">
        <f>R39/I39</f>
        <v>#DIV/0!</v>
      </c>
      <c r="U39" s="665" t="e">
        <f>ROUND(O39/$I39*$AJ39,0)</f>
        <v>#DIV/0!</v>
      </c>
      <c r="V39" s="665" t="e">
        <f t="shared" ref="U39:V46" si="13">ROUND(P39/$I39*$AJ39,0)</f>
        <v>#DIV/0!</v>
      </c>
      <c r="W39" s="781" t="e">
        <f t="shared" ref="W39:W52" si="14">SUM(U39:V39)</f>
        <v>#DIV/0!</v>
      </c>
      <c r="Y39" s="665"/>
      <c r="AA39" s="782"/>
      <c r="AB39" s="11"/>
      <c r="AC39" s="782" t="e">
        <f t="shared" ref="AC39:AC62" si="15">ROUND(W39+AA39,0)</f>
        <v>#DIV/0!</v>
      </c>
      <c r="AD39" s="672">
        <v>1826</v>
      </c>
      <c r="AE39" s="634"/>
      <c r="AH39" s="103">
        <v>2739.9</v>
      </c>
      <c r="AI39" s="783">
        <v>329.04</v>
      </c>
      <c r="AJ39" s="783">
        <f t="shared" ref="AJ39:AJ62" si="16">SUM(AH39:AI39)</f>
        <v>3068.94</v>
      </c>
      <c r="AL39" s="675">
        <f>I39</f>
        <v>0</v>
      </c>
    </row>
    <row r="40" spans="2:48" x14ac:dyDescent="0.2">
      <c r="C40" s="655">
        <v>2001</v>
      </c>
      <c r="D40" s="655" t="s">
        <v>496</v>
      </c>
      <c r="F40" s="665"/>
      <c r="G40" s="665"/>
      <c r="H40" s="665"/>
      <c r="I40" s="780">
        <f t="shared" si="10"/>
        <v>0</v>
      </c>
      <c r="K40" s="667">
        <v>0.16</v>
      </c>
      <c r="L40" s="667">
        <v>0.8</v>
      </c>
      <c r="M40" s="667"/>
      <c r="O40" s="665">
        <f t="shared" si="11"/>
        <v>0</v>
      </c>
      <c r="P40" s="665">
        <f t="shared" si="11"/>
        <v>0</v>
      </c>
      <c r="Q40" s="665"/>
      <c r="R40" s="665">
        <f t="shared" si="12"/>
        <v>0</v>
      </c>
      <c r="S40" s="667" t="e">
        <f t="shared" ref="S40:S53" si="17">R40/I40</f>
        <v>#DIV/0!</v>
      </c>
      <c r="U40" s="665" t="e">
        <f t="shared" si="13"/>
        <v>#DIV/0!</v>
      </c>
      <c r="V40" s="665" t="e">
        <f t="shared" si="13"/>
        <v>#DIV/0!</v>
      </c>
      <c r="W40" s="781" t="e">
        <f t="shared" si="14"/>
        <v>#DIV/0!</v>
      </c>
      <c r="Y40" s="665"/>
      <c r="AA40" s="782"/>
      <c r="AB40" s="11"/>
      <c r="AC40" s="782" t="e">
        <f t="shared" si="15"/>
        <v>#DIV/0!</v>
      </c>
      <c r="AD40" s="672">
        <v>928</v>
      </c>
      <c r="AE40" s="634"/>
      <c r="AH40" s="103">
        <v>2700.22</v>
      </c>
      <c r="AI40" s="103">
        <v>599.48</v>
      </c>
      <c r="AJ40" s="783">
        <f t="shared" si="16"/>
        <v>3299.7</v>
      </c>
      <c r="AL40" s="675">
        <f t="shared" ref="AL40:AL46" si="18">I40</f>
        <v>0</v>
      </c>
      <c r="AR40" s="12" t="s">
        <v>497</v>
      </c>
    </row>
    <row r="41" spans="2:48" x14ac:dyDescent="0.2">
      <c r="C41" s="655">
        <v>2002</v>
      </c>
      <c r="D41" s="655" t="s">
        <v>496</v>
      </c>
      <c r="F41" s="665"/>
      <c r="G41" s="665"/>
      <c r="H41" s="665"/>
      <c r="I41" s="780">
        <f t="shared" si="10"/>
        <v>0</v>
      </c>
      <c r="K41" s="667">
        <v>0.16</v>
      </c>
      <c r="L41" s="667">
        <v>0.8</v>
      </c>
      <c r="M41" s="667"/>
      <c r="O41" s="665">
        <f t="shared" si="11"/>
        <v>0</v>
      </c>
      <c r="P41" s="665">
        <f t="shared" si="11"/>
        <v>0</v>
      </c>
      <c r="Q41" s="665"/>
      <c r="R41" s="665">
        <f t="shared" si="12"/>
        <v>0</v>
      </c>
      <c r="S41" s="667" t="e">
        <f t="shared" si="17"/>
        <v>#DIV/0!</v>
      </c>
      <c r="U41" s="665" t="e">
        <f t="shared" si="13"/>
        <v>#DIV/0!</v>
      </c>
      <c r="V41" s="665" t="e">
        <f t="shared" si="13"/>
        <v>#DIV/0!</v>
      </c>
      <c r="W41" s="781" t="e">
        <f t="shared" si="14"/>
        <v>#DIV/0!</v>
      </c>
      <c r="Y41" s="665"/>
      <c r="AA41" s="782"/>
      <c r="AB41" s="11"/>
      <c r="AC41" s="782" t="e">
        <f t="shared" si="15"/>
        <v>#DIV/0!</v>
      </c>
      <c r="AD41" s="672">
        <v>3838</v>
      </c>
      <c r="AE41" s="634"/>
      <c r="AH41" s="103">
        <v>4672</v>
      </c>
      <c r="AI41" s="103">
        <v>429.52</v>
      </c>
      <c r="AJ41" s="783">
        <f t="shared" si="16"/>
        <v>5101.5200000000004</v>
      </c>
      <c r="AL41" s="675">
        <f t="shared" si="18"/>
        <v>0</v>
      </c>
      <c r="AR41" s="12" t="s">
        <v>498</v>
      </c>
    </row>
    <row r="42" spans="2:48" x14ac:dyDescent="0.2">
      <c r="C42" s="655">
        <v>2003</v>
      </c>
      <c r="D42" s="655" t="s">
        <v>496</v>
      </c>
      <c r="F42" s="665"/>
      <c r="G42" s="665"/>
      <c r="H42" s="665"/>
      <c r="I42" s="780">
        <f t="shared" si="10"/>
        <v>0</v>
      </c>
      <c r="K42" s="667">
        <v>0.16</v>
      </c>
      <c r="L42" s="667">
        <v>0.8</v>
      </c>
      <c r="M42" s="667"/>
      <c r="O42" s="665">
        <f t="shared" si="11"/>
        <v>0</v>
      </c>
      <c r="P42" s="665">
        <f t="shared" si="11"/>
        <v>0</v>
      </c>
      <c r="Q42" s="665"/>
      <c r="R42" s="665">
        <f t="shared" si="12"/>
        <v>0</v>
      </c>
      <c r="S42" s="667" t="e">
        <f t="shared" si="17"/>
        <v>#DIV/0!</v>
      </c>
      <c r="U42" s="665" t="e">
        <f t="shared" si="13"/>
        <v>#DIV/0!</v>
      </c>
      <c r="V42" s="665" t="e">
        <f t="shared" si="13"/>
        <v>#DIV/0!</v>
      </c>
      <c r="W42" s="781" t="e">
        <f t="shared" si="14"/>
        <v>#DIV/0!</v>
      </c>
      <c r="Y42" s="665"/>
      <c r="AA42" s="782"/>
      <c r="AB42" s="11"/>
      <c r="AC42" s="782" t="e">
        <f t="shared" si="15"/>
        <v>#DIV/0!</v>
      </c>
      <c r="AD42" s="672">
        <v>3585</v>
      </c>
      <c r="AE42" s="634"/>
      <c r="AH42" s="103">
        <v>3624.36</v>
      </c>
      <c r="AI42" s="103">
        <v>1275.1600000000001</v>
      </c>
      <c r="AJ42" s="783">
        <f t="shared" si="16"/>
        <v>4899.5200000000004</v>
      </c>
      <c r="AL42" s="675">
        <f t="shared" si="18"/>
        <v>0</v>
      </c>
      <c r="AR42" s="12" t="s">
        <v>499</v>
      </c>
    </row>
    <row r="43" spans="2:48" x14ac:dyDescent="0.2">
      <c r="C43" s="655">
        <v>2004</v>
      </c>
      <c r="D43" s="655" t="s">
        <v>496</v>
      </c>
      <c r="F43" s="665"/>
      <c r="G43" s="665"/>
      <c r="H43" s="665"/>
      <c r="I43" s="780">
        <f t="shared" si="10"/>
        <v>0</v>
      </c>
      <c r="K43" s="667">
        <v>0.16</v>
      </c>
      <c r="L43" s="667">
        <v>0.8</v>
      </c>
      <c r="M43" s="667"/>
      <c r="O43" s="665">
        <f t="shared" si="11"/>
        <v>0</v>
      </c>
      <c r="P43" s="665">
        <f t="shared" si="11"/>
        <v>0</v>
      </c>
      <c r="Q43" s="665"/>
      <c r="R43" s="665">
        <f t="shared" si="12"/>
        <v>0</v>
      </c>
      <c r="S43" s="667" t="e">
        <f t="shared" si="17"/>
        <v>#DIV/0!</v>
      </c>
      <c r="U43" s="665" t="e">
        <f t="shared" si="13"/>
        <v>#DIV/0!</v>
      </c>
      <c r="V43" s="665" t="e">
        <f t="shared" si="13"/>
        <v>#DIV/0!</v>
      </c>
      <c r="W43" s="781" t="e">
        <f t="shared" si="14"/>
        <v>#DIV/0!</v>
      </c>
      <c r="Y43" s="665"/>
      <c r="AA43" s="782"/>
      <c r="AB43" s="11"/>
      <c r="AC43" s="782" t="e">
        <f t="shared" si="15"/>
        <v>#DIV/0!</v>
      </c>
      <c r="AD43" s="672">
        <v>6270</v>
      </c>
      <c r="AE43" s="634"/>
      <c r="AH43" s="103">
        <v>6427.2</v>
      </c>
      <c r="AI43" s="103">
        <v>1989.7</v>
      </c>
      <c r="AJ43" s="783">
        <f t="shared" si="16"/>
        <v>8416.9</v>
      </c>
      <c r="AL43" s="675">
        <f t="shared" si="18"/>
        <v>0</v>
      </c>
      <c r="AR43" s="12" t="s">
        <v>500</v>
      </c>
    </row>
    <row r="44" spans="2:48" x14ac:dyDescent="0.2">
      <c r="C44" s="655">
        <v>2005</v>
      </c>
      <c r="D44" s="655" t="s">
        <v>496</v>
      </c>
      <c r="F44" s="665"/>
      <c r="G44" s="665"/>
      <c r="H44" s="665"/>
      <c r="I44" s="780">
        <f t="shared" si="10"/>
        <v>0</v>
      </c>
      <c r="K44" s="667">
        <v>0.16</v>
      </c>
      <c r="L44" s="667">
        <v>0.8</v>
      </c>
      <c r="M44" s="667"/>
      <c r="O44" s="665">
        <f t="shared" si="11"/>
        <v>0</v>
      </c>
      <c r="P44" s="665">
        <f t="shared" si="11"/>
        <v>0</v>
      </c>
      <c r="Q44" s="665"/>
      <c r="R44" s="665">
        <f t="shared" si="12"/>
        <v>0</v>
      </c>
      <c r="S44" s="667" t="e">
        <f t="shared" si="17"/>
        <v>#DIV/0!</v>
      </c>
      <c r="U44" s="665" t="e">
        <f t="shared" si="13"/>
        <v>#DIV/0!</v>
      </c>
      <c r="V44" s="665" t="e">
        <f t="shared" si="13"/>
        <v>#DIV/0!</v>
      </c>
      <c r="W44" s="781" t="e">
        <f t="shared" si="14"/>
        <v>#DIV/0!</v>
      </c>
      <c r="Y44" s="665"/>
      <c r="AA44" s="782"/>
      <c r="AB44" s="11"/>
      <c r="AC44" s="782" t="e">
        <f t="shared" si="15"/>
        <v>#DIV/0!</v>
      </c>
      <c r="AD44" s="672">
        <v>2685</v>
      </c>
      <c r="AE44" s="634"/>
      <c r="AH44" s="103">
        <v>2930</v>
      </c>
      <c r="AI44" s="103">
        <v>783</v>
      </c>
      <c r="AJ44" s="783">
        <f t="shared" si="16"/>
        <v>3713</v>
      </c>
      <c r="AL44" s="675">
        <f t="shared" si="18"/>
        <v>0</v>
      </c>
      <c r="AR44" s="12" t="s">
        <v>501</v>
      </c>
    </row>
    <row r="45" spans="2:48" x14ac:dyDescent="0.2">
      <c r="C45" s="655">
        <v>2006</v>
      </c>
      <c r="D45" s="655" t="s">
        <v>496</v>
      </c>
      <c r="F45" s="665"/>
      <c r="G45" s="665"/>
      <c r="H45" s="665"/>
      <c r="I45" s="780">
        <f t="shared" si="10"/>
        <v>0</v>
      </c>
      <c r="K45" s="667">
        <v>0.16</v>
      </c>
      <c r="L45" s="667">
        <v>0.8</v>
      </c>
      <c r="M45" s="667"/>
      <c r="O45" s="665">
        <f>ROUND(F45*K45,0)</f>
        <v>0</v>
      </c>
      <c r="P45" s="665">
        <f>ROUND(G45*L45,0)</f>
        <v>0</v>
      </c>
      <c r="Q45" s="665"/>
      <c r="R45" s="665">
        <f t="shared" si="12"/>
        <v>0</v>
      </c>
      <c r="S45" s="667" t="e">
        <f t="shared" si="17"/>
        <v>#DIV/0!</v>
      </c>
      <c r="U45" s="665" t="e">
        <f t="shared" si="13"/>
        <v>#DIV/0!</v>
      </c>
      <c r="V45" s="665" t="e">
        <f t="shared" si="13"/>
        <v>#DIV/0!</v>
      </c>
      <c r="W45" s="781" t="e">
        <f t="shared" si="14"/>
        <v>#DIV/0!</v>
      </c>
      <c r="Y45" s="665"/>
      <c r="AA45" s="782"/>
      <c r="AB45" s="11"/>
      <c r="AC45" s="782" t="e">
        <f t="shared" si="15"/>
        <v>#DIV/0!</v>
      </c>
      <c r="AD45" s="672">
        <v>3240</v>
      </c>
      <c r="AE45" s="634" t="s">
        <v>502</v>
      </c>
      <c r="AH45" s="103">
        <v>1210</v>
      </c>
      <c r="AI45" s="103">
        <v>3809</v>
      </c>
      <c r="AJ45" s="783">
        <f t="shared" si="16"/>
        <v>5019</v>
      </c>
      <c r="AL45" s="675">
        <f t="shared" si="18"/>
        <v>0</v>
      </c>
      <c r="AR45" s="12" t="s">
        <v>503</v>
      </c>
    </row>
    <row r="46" spans="2:48" x14ac:dyDescent="0.2">
      <c r="C46" s="655">
        <v>2007</v>
      </c>
      <c r="D46" s="655" t="s">
        <v>496</v>
      </c>
      <c r="F46" s="678"/>
      <c r="G46" s="678"/>
      <c r="H46" s="678"/>
      <c r="I46" s="780">
        <f t="shared" si="10"/>
        <v>0</v>
      </c>
      <c r="K46" s="667">
        <v>0.16</v>
      </c>
      <c r="L46" s="667">
        <v>0.8</v>
      </c>
      <c r="M46" s="667"/>
      <c r="O46" s="665">
        <f>ROUND(F46*K46,0)</f>
        <v>0</v>
      </c>
      <c r="P46" s="665">
        <f t="shared" si="11"/>
        <v>0</v>
      </c>
      <c r="Q46" s="665"/>
      <c r="R46" s="665">
        <f t="shared" si="12"/>
        <v>0</v>
      </c>
      <c r="S46" s="667" t="e">
        <f t="shared" si="17"/>
        <v>#DIV/0!</v>
      </c>
      <c r="U46" s="665" t="e">
        <f t="shared" si="13"/>
        <v>#DIV/0!</v>
      </c>
      <c r="V46" s="665" t="e">
        <f t="shared" si="13"/>
        <v>#DIV/0!</v>
      </c>
      <c r="W46" s="781" t="e">
        <f t="shared" si="14"/>
        <v>#DIV/0!</v>
      </c>
      <c r="Y46" s="665"/>
      <c r="AA46" s="782"/>
      <c r="AB46" s="11"/>
      <c r="AC46" s="782" t="e">
        <f t="shared" si="15"/>
        <v>#DIV/0!</v>
      </c>
      <c r="AD46" s="672">
        <v>3443</v>
      </c>
      <c r="AE46" s="784" t="s">
        <v>504</v>
      </c>
      <c r="AF46" s="785"/>
      <c r="AH46" s="103">
        <v>1210</v>
      </c>
      <c r="AI46" s="103">
        <v>3809</v>
      </c>
      <c r="AJ46" s="783">
        <f t="shared" si="16"/>
        <v>5019</v>
      </c>
      <c r="AL46" s="675">
        <f t="shared" si="18"/>
        <v>0</v>
      </c>
      <c r="AR46" s="12" t="s">
        <v>505</v>
      </c>
    </row>
    <row r="47" spans="2:48" x14ac:dyDescent="0.2">
      <c r="C47" s="655">
        <v>2008</v>
      </c>
      <c r="D47" s="655" t="s">
        <v>496</v>
      </c>
      <c r="F47" s="786"/>
      <c r="G47" s="786"/>
      <c r="H47" s="786"/>
      <c r="I47" s="787">
        <f t="shared" si="10"/>
        <v>0</v>
      </c>
      <c r="K47" s="667">
        <v>0.16</v>
      </c>
      <c r="L47" s="667">
        <v>0.8</v>
      </c>
      <c r="M47" s="667"/>
      <c r="O47" s="665">
        <f>ROUND(F47*K47,0)</f>
        <v>0</v>
      </c>
      <c r="P47" s="665">
        <f t="shared" si="11"/>
        <v>0</v>
      </c>
      <c r="Q47" s="665"/>
      <c r="R47" s="665">
        <f t="shared" si="12"/>
        <v>0</v>
      </c>
      <c r="S47" s="667" t="e">
        <f t="shared" si="17"/>
        <v>#DIV/0!</v>
      </c>
      <c r="U47" s="665">
        <f t="shared" ref="U47:V56" si="19">ROUND(O47/$AL47*$AJ47,0)</f>
        <v>0</v>
      </c>
      <c r="V47" s="665">
        <f t="shared" si="19"/>
        <v>0</v>
      </c>
      <c r="W47" s="781">
        <f t="shared" si="14"/>
        <v>0</v>
      </c>
      <c r="Y47" s="665"/>
      <c r="AA47" s="782"/>
      <c r="AB47" s="11"/>
      <c r="AC47" s="782">
        <f t="shared" si="15"/>
        <v>0</v>
      </c>
      <c r="AD47" s="672">
        <v>340</v>
      </c>
      <c r="AE47" s="687" t="s">
        <v>506</v>
      </c>
      <c r="AF47" s="688"/>
      <c r="AH47" s="788">
        <v>23</v>
      </c>
      <c r="AI47" s="788">
        <v>420</v>
      </c>
      <c r="AJ47" s="783">
        <f t="shared" si="16"/>
        <v>443</v>
      </c>
      <c r="AK47" s="785" t="s">
        <v>507</v>
      </c>
      <c r="AL47" s="634">
        <v>458</v>
      </c>
      <c r="AM47" s="12">
        <f>AL47/AJ47</f>
        <v>1.0338600451467268</v>
      </c>
      <c r="AR47" s="12" t="s">
        <v>508</v>
      </c>
    </row>
    <row r="48" spans="2:48" x14ac:dyDescent="0.2">
      <c r="C48" s="655">
        <v>2009</v>
      </c>
      <c r="D48" s="655" t="s">
        <v>496</v>
      </c>
      <c r="F48" s="789"/>
      <c r="G48" s="789"/>
      <c r="H48" s="789"/>
      <c r="I48" s="790">
        <f t="shared" si="10"/>
        <v>0</v>
      </c>
      <c r="K48" s="667">
        <v>0.16</v>
      </c>
      <c r="L48" s="667">
        <v>0.8</v>
      </c>
      <c r="M48" s="667"/>
      <c r="O48" s="665">
        <f t="shared" si="11"/>
        <v>0</v>
      </c>
      <c r="P48" s="665">
        <f t="shared" si="11"/>
        <v>0</v>
      </c>
      <c r="Q48" s="665"/>
      <c r="R48" s="665">
        <f t="shared" si="12"/>
        <v>0</v>
      </c>
      <c r="S48" s="667" t="e">
        <f t="shared" si="17"/>
        <v>#DIV/0!</v>
      </c>
      <c r="U48" s="665">
        <f>ROUND(O48/$AL48*$AJ48,0)</f>
        <v>0</v>
      </c>
      <c r="V48" s="665">
        <f t="shared" si="19"/>
        <v>0</v>
      </c>
      <c r="W48" s="781">
        <f t="shared" si="14"/>
        <v>0</v>
      </c>
      <c r="Y48" s="665"/>
      <c r="AA48" s="782"/>
      <c r="AB48" s="11"/>
      <c r="AC48" s="791">
        <f t="shared" si="15"/>
        <v>0</v>
      </c>
      <c r="AD48" s="672">
        <v>849</v>
      </c>
      <c r="AE48" s="694" t="s">
        <v>509</v>
      </c>
      <c r="AF48" s="695"/>
      <c r="AH48" s="788">
        <v>296</v>
      </c>
      <c r="AI48" s="788">
        <v>1003</v>
      </c>
      <c r="AJ48" s="783">
        <f t="shared" si="16"/>
        <v>1299</v>
      </c>
      <c r="AK48" s="785"/>
      <c r="AL48" s="696">
        <v>1619</v>
      </c>
      <c r="AM48" s="12">
        <f>AL48/AJ48</f>
        <v>1.2463433410315627</v>
      </c>
      <c r="AR48" s="12" t="s">
        <v>510</v>
      </c>
    </row>
    <row r="49" spans="3:44" ht="13.5" x14ac:dyDescent="0.25">
      <c r="C49" s="655">
        <v>2010</v>
      </c>
      <c r="D49" s="655" t="s">
        <v>496</v>
      </c>
      <c r="F49" s="754"/>
      <c r="G49" s="754"/>
      <c r="H49" s="754"/>
      <c r="I49" s="792">
        <f t="shared" si="10"/>
        <v>0</v>
      </c>
      <c r="K49" s="667">
        <v>0.16</v>
      </c>
      <c r="L49" s="667">
        <v>0.8</v>
      </c>
      <c r="M49" s="667"/>
      <c r="O49" s="665">
        <f t="shared" si="11"/>
        <v>0</v>
      </c>
      <c r="P49" s="665">
        <f t="shared" si="11"/>
        <v>0</v>
      </c>
      <c r="Q49" s="665"/>
      <c r="R49" s="665">
        <f t="shared" si="12"/>
        <v>0</v>
      </c>
      <c r="S49" s="667" t="e">
        <f t="shared" si="17"/>
        <v>#DIV/0!</v>
      </c>
      <c r="U49" s="665">
        <f t="shared" si="19"/>
        <v>0</v>
      </c>
      <c r="V49" s="665">
        <f t="shared" si="19"/>
        <v>0</v>
      </c>
      <c r="W49" s="781">
        <f t="shared" si="14"/>
        <v>0</v>
      </c>
      <c r="Y49" s="665"/>
      <c r="AA49" s="782"/>
      <c r="AB49" s="11"/>
      <c r="AC49" s="793">
        <f>ROUND(W49+AA49,0)</f>
        <v>0</v>
      </c>
      <c r="AD49" s="672">
        <v>554</v>
      </c>
      <c r="AE49" s="694" t="s">
        <v>511</v>
      </c>
      <c r="AF49" s="695"/>
      <c r="AH49" s="788">
        <v>2</v>
      </c>
      <c r="AI49" s="788">
        <v>692</v>
      </c>
      <c r="AJ49" s="783">
        <f t="shared" si="16"/>
        <v>694</v>
      </c>
      <c r="AK49" s="785"/>
      <c r="AL49" s="696">
        <v>1045</v>
      </c>
      <c r="AM49" s="12">
        <f>AL49/AJ49</f>
        <v>1.505763688760807</v>
      </c>
      <c r="AN49" s="794" t="s">
        <v>512</v>
      </c>
      <c r="AR49" s="12" t="s">
        <v>513</v>
      </c>
    </row>
    <row r="50" spans="3:44" ht="13.5" x14ac:dyDescent="0.25">
      <c r="C50" s="655">
        <v>2011</v>
      </c>
      <c r="D50" s="655" t="s">
        <v>496</v>
      </c>
      <c r="F50" s="795"/>
      <c r="G50" s="795"/>
      <c r="H50" s="796"/>
      <c r="I50" s="797">
        <f t="shared" si="10"/>
        <v>0</v>
      </c>
      <c r="K50" s="667">
        <v>0.16</v>
      </c>
      <c r="L50" s="667">
        <v>0.8</v>
      </c>
      <c r="M50" s="667"/>
      <c r="O50" s="665">
        <f t="shared" si="11"/>
        <v>0</v>
      </c>
      <c r="P50" s="665">
        <f t="shared" si="11"/>
        <v>0</v>
      </c>
      <c r="Q50" s="665"/>
      <c r="R50" s="665">
        <f t="shared" si="12"/>
        <v>0</v>
      </c>
      <c r="S50" s="667" t="e">
        <f t="shared" si="17"/>
        <v>#DIV/0!</v>
      </c>
      <c r="U50" s="665">
        <f t="shared" si="19"/>
        <v>0</v>
      </c>
      <c r="V50" s="665">
        <f t="shared" si="19"/>
        <v>0</v>
      </c>
      <c r="W50" s="781">
        <f t="shared" si="14"/>
        <v>0</v>
      </c>
      <c r="Y50" s="665"/>
      <c r="AA50" s="782"/>
      <c r="AB50" s="11"/>
      <c r="AC50" s="798">
        <f t="shared" si="15"/>
        <v>0</v>
      </c>
      <c r="AD50" s="672">
        <v>821</v>
      </c>
      <c r="AE50" s="694" t="s">
        <v>514</v>
      </c>
      <c r="AF50" s="695"/>
      <c r="AH50" s="799">
        <v>3</v>
      </c>
      <c r="AI50" s="799">
        <v>1025</v>
      </c>
      <c r="AJ50" s="783">
        <f t="shared" si="16"/>
        <v>1028</v>
      </c>
      <c r="AK50" s="785"/>
      <c r="AL50" s="763">
        <v>1396</v>
      </c>
      <c r="AM50" s="12">
        <f>AL50/AJ50</f>
        <v>1.3579766536964981</v>
      </c>
      <c r="AN50" s="794" t="s">
        <v>512</v>
      </c>
    </row>
    <row r="51" spans="3:44" ht="13.5" x14ac:dyDescent="0.25">
      <c r="C51" s="655">
        <v>2012</v>
      </c>
      <c r="D51" s="655" t="s">
        <v>496</v>
      </c>
      <c r="F51" s="800"/>
      <c r="G51" s="800"/>
      <c r="H51" s="801"/>
      <c r="I51" s="802">
        <f t="shared" si="10"/>
        <v>0</v>
      </c>
      <c r="K51" s="667">
        <v>0.16</v>
      </c>
      <c r="L51" s="667">
        <v>0.8</v>
      </c>
      <c r="M51" s="667"/>
      <c r="O51" s="665">
        <f t="shared" si="11"/>
        <v>0</v>
      </c>
      <c r="P51" s="665">
        <f t="shared" si="11"/>
        <v>0</v>
      </c>
      <c r="Q51" s="665"/>
      <c r="R51" s="665">
        <f t="shared" si="12"/>
        <v>0</v>
      </c>
      <c r="S51" s="667" t="e">
        <f t="shared" si="17"/>
        <v>#DIV/0!</v>
      </c>
      <c r="U51" s="665">
        <f t="shared" si="19"/>
        <v>0</v>
      </c>
      <c r="V51" s="665">
        <f t="shared" si="19"/>
        <v>0</v>
      </c>
      <c r="W51" s="781">
        <f t="shared" si="14"/>
        <v>0</v>
      </c>
      <c r="Y51" s="665"/>
      <c r="AA51" s="782"/>
      <c r="AB51" s="11"/>
      <c r="AC51" s="798">
        <f t="shared" si="15"/>
        <v>0</v>
      </c>
      <c r="AD51" s="672"/>
      <c r="AE51" s="715" t="s">
        <v>515</v>
      </c>
      <c r="AF51" s="716"/>
      <c r="AH51" s="803">
        <v>0</v>
      </c>
      <c r="AI51" s="803">
        <v>466</v>
      </c>
      <c r="AJ51" s="804">
        <f t="shared" si="16"/>
        <v>466</v>
      </c>
      <c r="AK51" s="785"/>
      <c r="AL51" s="805">
        <f>AJ51*AM51</f>
        <v>599.26944438604676</v>
      </c>
      <c r="AM51" s="697">
        <f>AVERAGE(AM47:AM50)</f>
        <v>1.2859859321588987</v>
      </c>
      <c r="AN51" s="806"/>
    </row>
    <row r="52" spans="3:44" ht="13.5" x14ac:dyDescent="0.25">
      <c r="C52" s="655">
        <v>2013</v>
      </c>
      <c r="D52" s="655" t="s">
        <v>496</v>
      </c>
      <c r="F52" s="718"/>
      <c r="G52" s="718"/>
      <c r="H52" s="807"/>
      <c r="I52" s="808">
        <f t="shared" si="10"/>
        <v>0</v>
      </c>
      <c r="K52" s="667">
        <v>0.16</v>
      </c>
      <c r="L52" s="667">
        <v>0.8</v>
      </c>
      <c r="M52" s="667"/>
      <c r="O52" s="665">
        <f t="shared" si="11"/>
        <v>0</v>
      </c>
      <c r="P52" s="665">
        <f t="shared" si="11"/>
        <v>0</v>
      </c>
      <c r="Q52" s="665"/>
      <c r="R52" s="665">
        <f t="shared" si="12"/>
        <v>0</v>
      </c>
      <c r="S52" s="667" t="e">
        <f t="shared" si="17"/>
        <v>#DIV/0!</v>
      </c>
      <c r="U52" s="665">
        <f t="shared" si="19"/>
        <v>0</v>
      </c>
      <c r="V52" s="665">
        <f t="shared" si="19"/>
        <v>0</v>
      </c>
      <c r="W52" s="781">
        <f t="shared" si="14"/>
        <v>0</v>
      </c>
      <c r="Y52" s="665"/>
      <c r="AA52" s="782"/>
      <c r="AB52" s="11"/>
      <c r="AC52" s="798">
        <f t="shared" si="15"/>
        <v>0</v>
      </c>
      <c r="AD52" s="672"/>
      <c r="AE52" s="726" t="s">
        <v>516</v>
      </c>
      <c r="AF52" s="727"/>
      <c r="AH52" s="803">
        <v>0</v>
      </c>
      <c r="AI52" s="803">
        <v>1129</v>
      </c>
      <c r="AJ52" s="804">
        <f t="shared" si="16"/>
        <v>1129</v>
      </c>
      <c r="AK52" s="785"/>
      <c r="AL52" s="805">
        <f>AJ52*AM52</f>
        <v>1451.8781174073965</v>
      </c>
      <c r="AM52" s="697">
        <f>AM51</f>
        <v>1.2859859321588987</v>
      </c>
      <c r="AN52" s="806"/>
    </row>
    <row r="53" spans="3:44" ht="13.5" x14ac:dyDescent="0.25">
      <c r="C53" s="655">
        <v>2014</v>
      </c>
      <c r="D53" s="655" t="s">
        <v>496</v>
      </c>
      <c r="F53" s="809"/>
      <c r="G53" s="809"/>
      <c r="H53" s="809"/>
      <c r="I53" s="810">
        <f t="shared" si="10"/>
        <v>0</v>
      </c>
      <c r="J53" s="811"/>
      <c r="K53" s="812">
        <v>0.16</v>
      </c>
      <c r="L53" s="812">
        <v>0.8</v>
      </c>
      <c r="M53" s="812"/>
      <c r="N53" s="811"/>
      <c r="O53" s="813">
        <f t="shared" si="11"/>
        <v>0</v>
      </c>
      <c r="P53" s="813">
        <f t="shared" si="11"/>
        <v>0</v>
      </c>
      <c r="Q53" s="813"/>
      <c r="R53" s="813">
        <f t="shared" si="12"/>
        <v>0</v>
      </c>
      <c r="S53" s="812" t="e">
        <f t="shared" si="17"/>
        <v>#DIV/0!</v>
      </c>
      <c r="T53" s="811"/>
      <c r="U53" s="813">
        <f t="shared" si="19"/>
        <v>0</v>
      </c>
      <c r="V53" s="813">
        <f t="shared" si="19"/>
        <v>0</v>
      </c>
      <c r="W53" s="814">
        <f>SUM(U53:V53)</f>
        <v>0</v>
      </c>
      <c r="X53" s="811"/>
      <c r="Y53" s="813"/>
      <c r="Z53" s="815"/>
      <c r="AA53" s="816"/>
      <c r="AB53" s="817"/>
      <c r="AC53" s="818">
        <f t="shared" si="15"/>
        <v>0</v>
      </c>
      <c r="AD53" s="672"/>
      <c r="AE53" s="735" t="s">
        <v>517</v>
      </c>
      <c r="AF53" s="736"/>
      <c r="AH53" s="803">
        <v>323</v>
      </c>
      <c r="AI53" s="803">
        <v>1886</v>
      </c>
      <c r="AJ53" s="804">
        <f t="shared" si="16"/>
        <v>2209</v>
      </c>
      <c r="AK53" s="785"/>
      <c r="AL53" s="805">
        <f t="shared" ref="AL53:AL59" si="20">AJ53</f>
        <v>2209</v>
      </c>
      <c r="AM53" s="697"/>
      <c r="AN53" s="806"/>
    </row>
    <row r="54" spans="3:44" ht="13.5" x14ac:dyDescent="0.25">
      <c r="C54" s="655">
        <v>2015</v>
      </c>
      <c r="D54" s="655" t="s">
        <v>496</v>
      </c>
      <c r="F54" s="737"/>
      <c r="G54" s="737"/>
      <c r="H54" s="737"/>
      <c r="I54" s="819">
        <f t="shared" si="10"/>
        <v>0</v>
      </c>
      <c r="J54" s="820"/>
      <c r="K54" s="821">
        <v>0.16</v>
      </c>
      <c r="L54" s="821">
        <v>0.8</v>
      </c>
      <c r="M54" s="821"/>
      <c r="N54" s="820"/>
      <c r="O54" s="741">
        <f t="shared" si="11"/>
        <v>0</v>
      </c>
      <c r="P54" s="741">
        <f t="shared" si="11"/>
        <v>0</v>
      </c>
      <c r="Q54" s="741"/>
      <c r="R54" s="741">
        <f t="shared" si="12"/>
        <v>0</v>
      </c>
      <c r="S54" s="821" t="e">
        <f>R54/I54</f>
        <v>#DIV/0!</v>
      </c>
      <c r="T54" s="820"/>
      <c r="U54" s="741">
        <f t="shared" si="19"/>
        <v>0</v>
      </c>
      <c r="V54" s="741">
        <f t="shared" si="19"/>
        <v>0</v>
      </c>
      <c r="W54" s="822">
        <f>SUM(U54:V54)</f>
        <v>0</v>
      </c>
      <c r="X54" s="820"/>
      <c r="Y54" s="741"/>
      <c r="Z54" s="823"/>
      <c r="AA54" s="824"/>
      <c r="AB54" s="825"/>
      <c r="AC54" s="826">
        <f t="shared" si="15"/>
        <v>0</v>
      </c>
      <c r="AD54" s="672"/>
      <c r="AE54" s="743" t="s">
        <v>518</v>
      </c>
      <c r="AF54" s="736"/>
      <c r="AH54" s="803">
        <v>91</v>
      </c>
      <c r="AI54" s="803">
        <v>1701</v>
      </c>
      <c r="AJ54" s="804">
        <f t="shared" si="16"/>
        <v>1792</v>
      </c>
      <c r="AK54" s="785"/>
      <c r="AL54" s="805">
        <f t="shared" si="20"/>
        <v>1792</v>
      </c>
      <c r="AM54" s="697"/>
      <c r="AN54" s="806"/>
    </row>
    <row r="55" spans="3:44" ht="13.5" x14ac:dyDescent="0.25">
      <c r="C55" s="655">
        <v>2016</v>
      </c>
      <c r="D55" s="655" t="s">
        <v>496</v>
      </c>
      <c r="F55" s="744"/>
      <c r="G55" s="744"/>
      <c r="H55" s="744"/>
      <c r="I55" s="827">
        <f t="shared" si="10"/>
        <v>0</v>
      </c>
      <c r="J55" s="828"/>
      <c r="K55" s="829">
        <v>0.16</v>
      </c>
      <c r="L55" s="829">
        <v>0.8</v>
      </c>
      <c r="M55" s="829"/>
      <c r="N55" s="828"/>
      <c r="O55" s="765">
        <f>ROUND(F55*K55,0)</f>
        <v>0</v>
      </c>
      <c r="P55" s="765">
        <f t="shared" ref="O55:P64" si="21">ROUND(G55*L55,0)</f>
        <v>0</v>
      </c>
      <c r="Q55" s="765"/>
      <c r="R55" s="765">
        <f t="shared" si="12"/>
        <v>0</v>
      </c>
      <c r="S55" s="829" t="e">
        <f>R55/I55</f>
        <v>#DIV/0!</v>
      </c>
      <c r="T55" s="828"/>
      <c r="U55" s="765">
        <f>ROUND(O55/$AL55*$AJ55,0)</f>
        <v>0</v>
      </c>
      <c r="V55" s="765">
        <f t="shared" si="19"/>
        <v>0</v>
      </c>
      <c r="W55" s="830">
        <f>SUM(U55:V55)</f>
        <v>0</v>
      </c>
      <c r="X55" s="828"/>
      <c r="Y55" s="765"/>
      <c r="Z55" s="831"/>
      <c r="AA55" s="832"/>
      <c r="AB55" s="833"/>
      <c r="AC55" s="834">
        <f t="shared" si="15"/>
        <v>0</v>
      </c>
      <c r="AD55" s="672"/>
      <c r="AE55" s="735" t="s">
        <v>484</v>
      </c>
      <c r="AF55" s="736"/>
      <c r="AH55" s="803">
        <v>9</v>
      </c>
      <c r="AI55" s="803">
        <v>821</v>
      </c>
      <c r="AJ55" s="804">
        <f t="shared" si="16"/>
        <v>830</v>
      </c>
      <c r="AK55" s="785"/>
      <c r="AL55" s="805">
        <f t="shared" si="20"/>
        <v>830</v>
      </c>
      <c r="AM55" s="697"/>
      <c r="AN55" s="806"/>
    </row>
    <row r="56" spans="3:44" ht="13.5" x14ac:dyDescent="0.25">
      <c r="C56" s="655">
        <v>2017</v>
      </c>
      <c r="D56" s="655" t="s">
        <v>496</v>
      </c>
      <c r="F56" s="754"/>
      <c r="G56" s="754"/>
      <c r="H56" s="754"/>
      <c r="I56" s="792">
        <f t="shared" si="10"/>
        <v>0</v>
      </c>
      <c r="J56" s="835"/>
      <c r="K56" s="836">
        <v>0.16</v>
      </c>
      <c r="L56" s="836">
        <v>0.8</v>
      </c>
      <c r="M56" s="836"/>
      <c r="N56" s="835"/>
      <c r="O56" s="759">
        <f t="shared" si="21"/>
        <v>0</v>
      </c>
      <c r="P56" s="759">
        <f t="shared" si="21"/>
        <v>0</v>
      </c>
      <c r="Q56" s="759"/>
      <c r="R56" s="759">
        <f t="shared" si="12"/>
        <v>0</v>
      </c>
      <c r="S56" s="836" t="e">
        <f>R56/I56</f>
        <v>#DIV/0!</v>
      </c>
      <c r="T56" s="835"/>
      <c r="U56" s="759">
        <f>ROUND(O56/$AL56*$AJ56,0)</f>
        <v>0</v>
      </c>
      <c r="V56" s="759">
        <f t="shared" si="19"/>
        <v>0</v>
      </c>
      <c r="W56" s="837">
        <f>SUM(U56:V56)</f>
        <v>0</v>
      </c>
      <c r="X56" s="835"/>
      <c r="Y56" s="759"/>
      <c r="Z56" s="838"/>
      <c r="AA56" s="839"/>
      <c r="AB56" s="840"/>
      <c r="AC56" s="793">
        <f t="shared" si="15"/>
        <v>0</v>
      </c>
      <c r="AD56" s="672"/>
      <c r="AE56" s="726" t="s">
        <v>485</v>
      </c>
      <c r="AF56" s="736"/>
      <c r="AH56" s="803">
        <v>12</v>
      </c>
      <c r="AI56" s="803">
        <v>1245</v>
      </c>
      <c r="AJ56" s="804">
        <f t="shared" si="16"/>
        <v>1257</v>
      </c>
      <c r="AK56" s="785"/>
      <c r="AL56" s="805">
        <f t="shared" si="20"/>
        <v>1257</v>
      </c>
      <c r="AM56" s="697"/>
      <c r="AN56" s="806"/>
    </row>
    <row r="57" spans="3:44" ht="13.5" x14ac:dyDescent="0.25">
      <c r="C57" s="655">
        <v>2018</v>
      </c>
      <c r="D57" s="655" t="s">
        <v>496</v>
      </c>
      <c r="F57" s="718"/>
      <c r="G57" s="718"/>
      <c r="H57" s="718"/>
      <c r="I57" s="808">
        <f>F57+G57</f>
        <v>0</v>
      </c>
      <c r="J57" s="835"/>
      <c r="K57" s="841">
        <v>0.16</v>
      </c>
      <c r="L57" s="841">
        <v>0.8</v>
      </c>
      <c r="M57" s="836"/>
      <c r="N57" s="835"/>
      <c r="O57" s="723">
        <f t="shared" si="21"/>
        <v>0</v>
      </c>
      <c r="P57" s="723">
        <f t="shared" si="21"/>
        <v>0</v>
      </c>
      <c r="Q57" s="759"/>
      <c r="R57" s="723">
        <f>SUM(O57:P57)</f>
        <v>0</v>
      </c>
      <c r="S57" s="841"/>
      <c r="T57" s="835"/>
      <c r="U57" s="759"/>
      <c r="V57" s="759"/>
      <c r="W57" s="837"/>
      <c r="X57" s="835"/>
      <c r="Y57" s="759"/>
      <c r="Z57" s="838"/>
      <c r="AA57" s="839"/>
      <c r="AB57" s="840"/>
      <c r="AC57" s="842">
        <f t="shared" si="15"/>
        <v>0</v>
      </c>
      <c r="AD57" s="672"/>
      <c r="AE57" s="726" t="s">
        <v>519</v>
      </c>
      <c r="AF57" s="736"/>
      <c r="AH57" s="803"/>
      <c r="AI57" s="803"/>
      <c r="AJ57" s="804">
        <f t="shared" si="16"/>
        <v>0</v>
      </c>
      <c r="AK57" s="785"/>
      <c r="AL57" s="805">
        <f t="shared" si="20"/>
        <v>0</v>
      </c>
      <c r="AM57" s="697"/>
      <c r="AN57" s="806"/>
    </row>
    <row r="58" spans="3:44" ht="13.5" x14ac:dyDescent="0.25">
      <c r="C58" s="655">
        <v>2019</v>
      </c>
      <c r="D58" s="655" t="s">
        <v>496</v>
      </c>
      <c r="F58" s="718"/>
      <c r="G58" s="718"/>
      <c r="H58" s="718"/>
      <c r="I58" s="808">
        <f>F58+G58</f>
        <v>0</v>
      </c>
      <c r="J58" s="835"/>
      <c r="K58" s="841">
        <v>0.16</v>
      </c>
      <c r="L58" s="841">
        <v>0.8</v>
      </c>
      <c r="M58" s="836"/>
      <c r="N58" s="835"/>
      <c r="O58" s="723">
        <f t="shared" si="21"/>
        <v>0</v>
      </c>
      <c r="P58" s="723">
        <f t="shared" si="21"/>
        <v>0</v>
      </c>
      <c r="Q58" s="759"/>
      <c r="R58" s="723">
        <f>SUM(O58:P58)</f>
        <v>0</v>
      </c>
      <c r="S58" s="841"/>
      <c r="T58" s="835"/>
      <c r="U58" s="759"/>
      <c r="V58" s="759"/>
      <c r="W58" s="837"/>
      <c r="X58" s="835"/>
      <c r="Y58" s="759"/>
      <c r="Z58" s="838"/>
      <c r="AA58" s="839"/>
      <c r="AB58" s="840"/>
      <c r="AC58" s="842">
        <f t="shared" si="15"/>
        <v>0</v>
      </c>
      <c r="AD58" s="672"/>
      <c r="AE58" s="726" t="s">
        <v>520</v>
      </c>
      <c r="AF58" s="736"/>
      <c r="AH58" s="803"/>
      <c r="AI58" s="803"/>
      <c r="AJ58" s="804">
        <f t="shared" si="16"/>
        <v>0</v>
      </c>
      <c r="AK58" s="785"/>
      <c r="AL58" s="805">
        <f t="shared" si="20"/>
        <v>0</v>
      </c>
      <c r="AM58" s="697"/>
      <c r="AN58" s="806"/>
    </row>
    <row r="59" spans="3:44" ht="13.5" x14ac:dyDescent="0.25">
      <c r="C59" s="655">
        <v>2020</v>
      </c>
      <c r="D59" s="655" t="s">
        <v>496</v>
      </c>
      <c r="F59" s="718"/>
      <c r="G59" s="718"/>
      <c r="H59" s="718"/>
      <c r="I59" s="808">
        <f>F59+G59</f>
        <v>0</v>
      </c>
      <c r="J59" s="835"/>
      <c r="K59" s="841">
        <v>0.16</v>
      </c>
      <c r="L59" s="841">
        <v>0.8</v>
      </c>
      <c r="M59" s="836"/>
      <c r="N59" s="835"/>
      <c r="O59" s="723">
        <f t="shared" si="21"/>
        <v>0</v>
      </c>
      <c r="P59" s="723">
        <f t="shared" si="21"/>
        <v>0</v>
      </c>
      <c r="Q59" s="759"/>
      <c r="R59" s="723">
        <f>SUM(O59:P59)</f>
        <v>0</v>
      </c>
      <c r="S59" s="841"/>
      <c r="T59" s="835"/>
      <c r="U59" s="759"/>
      <c r="V59" s="759"/>
      <c r="W59" s="837"/>
      <c r="X59" s="835"/>
      <c r="Y59" s="759"/>
      <c r="Z59" s="838"/>
      <c r="AA59" s="839"/>
      <c r="AB59" s="840"/>
      <c r="AC59" s="842">
        <f t="shared" si="15"/>
        <v>0</v>
      </c>
      <c r="AD59" s="672"/>
      <c r="AE59" s="726" t="s">
        <v>520</v>
      </c>
      <c r="AF59" s="736"/>
      <c r="AH59" s="803"/>
      <c r="AI59" s="803"/>
      <c r="AJ59" s="804">
        <f t="shared" si="16"/>
        <v>0</v>
      </c>
      <c r="AK59" s="785"/>
      <c r="AL59" s="805">
        <f t="shared" si="20"/>
        <v>0</v>
      </c>
      <c r="AM59" s="697"/>
      <c r="AN59" s="806"/>
    </row>
    <row r="60" spans="3:44" ht="13.5" x14ac:dyDescent="0.25">
      <c r="C60" s="655">
        <v>2021</v>
      </c>
      <c r="D60" s="655" t="s">
        <v>496</v>
      </c>
      <c r="F60" s="718"/>
      <c r="G60" s="718"/>
      <c r="H60" s="718"/>
      <c r="I60" s="808">
        <f>F60+G60</f>
        <v>0</v>
      </c>
      <c r="J60" s="835"/>
      <c r="K60" s="841">
        <v>0.16</v>
      </c>
      <c r="L60" s="841">
        <v>0.8</v>
      </c>
      <c r="M60" s="836"/>
      <c r="N60" s="835"/>
      <c r="O60" s="723">
        <f t="shared" si="21"/>
        <v>0</v>
      </c>
      <c r="P60" s="723">
        <f t="shared" si="21"/>
        <v>0</v>
      </c>
      <c r="Q60" s="759"/>
      <c r="R60" s="723">
        <f>SUM(O60:P60)</f>
        <v>0</v>
      </c>
      <c r="S60" s="841"/>
      <c r="T60" s="835"/>
      <c r="U60" s="759"/>
      <c r="V60" s="759"/>
      <c r="W60" s="837"/>
      <c r="X60" s="835"/>
      <c r="Y60" s="759"/>
      <c r="Z60" s="838"/>
      <c r="AA60" s="839"/>
      <c r="AB60" s="840"/>
      <c r="AC60" s="842">
        <f t="shared" si="15"/>
        <v>0</v>
      </c>
      <c r="AD60" s="672"/>
      <c r="AE60" s="726" t="s">
        <v>520</v>
      </c>
      <c r="AF60" s="736"/>
      <c r="AH60" s="803"/>
      <c r="AI60" s="803"/>
      <c r="AJ60" s="804">
        <f t="shared" si="16"/>
        <v>0</v>
      </c>
      <c r="AK60" s="785"/>
      <c r="AL60" s="805">
        <f>AJ60</f>
        <v>0</v>
      </c>
      <c r="AM60" s="697"/>
      <c r="AN60" s="806"/>
    </row>
    <row r="61" spans="3:44" ht="13.5" x14ac:dyDescent="0.25">
      <c r="C61" s="655">
        <v>2022</v>
      </c>
      <c r="D61" s="655" t="s">
        <v>496</v>
      </c>
      <c r="F61" s="718"/>
      <c r="G61" s="718"/>
      <c r="H61" s="718"/>
      <c r="I61" s="808">
        <f>SUM(F61:H61)</f>
        <v>0</v>
      </c>
      <c r="J61" s="835"/>
      <c r="K61" s="841">
        <v>0.16</v>
      </c>
      <c r="L61" s="841">
        <v>0.8</v>
      </c>
      <c r="M61" s="843">
        <f>M32</f>
        <v>2.8000000000000001E-2</v>
      </c>
      <c r="N61" s="835"/>
      <c r="O61" s="723">
        <f t="shared" si="21"/>
        <v>0</v>
      </c>
      <c r="P61" s="723">
        <f t="shared" si="21"/>
        <v>0</v>
      </c>
      <c r="Q61" s="723">
        <f>ROUND(H61*M61,0)</f>
        <v>0</v>
      </c>
      <c r="R61" s="723">
        <f>SUM(O61:Q61)</f>
        <v>0</v>
      </c>
      <c r="S61" s="836" t="e">
        <f>R61/I61</f>
        <v>#DIV/0!</v>
      </c>
      <c r="T61" s="835"/>
      <c r="U61" s="759">
        <f>O61+Q61</f>
        <v>0</v>
      </c>
      <c r="V61" s="759">
        <f>P61</f>
        <v>0</v>
      </c>
      <c r="W61" s="837">
        <f>SUM(U61:V61)</f>
        <v>0</v>
      </c>
      <c r="X61" s="835"/>
      <c r="Y61" s="759"/>
      <c r="Z61" s="838"/>
      <c r="AA61" s="839"/>
      <c r="AB61" s="840"/>
      <c r="AC61" s="842">
        <f t="shared" si="15"/>
        <v>0</v>
      </c>
      <c r="AD61" s="672"/>
      <c r="AE61" s="726" t="s">
        <v>521</v>
      </c>
      <c r="AF61" s="736"/>
      <c r="AH61" s="803"/>
      <c r="AI61" s="803"/>
      <c r="AJ61" s="804">
        <f t="shared" si="16"/>
        <v>0</v>
      </c>
      <c r="AK61" s="785"/>
      <c r="AL61" s="805">
        <f>AJ61</f>
        <v>0</v>
      </c>
      <c r="AM61" s="697"/>
      <c r="AN61" s="806"/>
    </row>
    <row r="62" spans="3:44" ht="13.5" x14ac:dyDescent="0.25">
      <c r="C62" s="655">
        <v>2023</v>
      </c>
      <c r="D62" s="655" t="s">
        <v>496</v>
      </c>
      <c r="F62" s="718"/>
      <c r="G62" s="718"/>
      <c r="H62" s="718"/>
      <c r="I62" s="808">
        <f>F62+G62</f>
        <v>0</v>
      </c>
      <c r="J62" s="835"/>
      <c r="K62" s="841">
        <v>0.16</v>
      </c>
      <c r="L62" s="841">
        <v>0.8</v>
      </c>
      <c r="M62" s="836"/>
      <c r="N62" s="835"/>
      <c r="O62" s="723">
        <f t="shared" si="21"/>
        <v>0</v>
      </c>
      <c r="P62" s="723">
        <f t="shared" si="21"/>
        <v>0</v>
      </c>
      <c r="Q62" s="759"/>
      <c r="R62" s="723">
        <f>SUM(O62:P62)</f>
        <v>0</v>
      </c>
      <c r="S62" s="836"/>
      <c r="T62" s="835"/>
      <c r="U62" s="759"/>
      <c r="V62" s="759"/>
      <c r="W62" s="837"/>
      <c r="X62" s="835"/>
      <c r="Y62" s="759"/>
      <c r="Z62" s="838"/>
      <c r="AA62" s="839"/>
      <c r="AB62" s="840"/>
      <c r="AC62" s="842">
        <f t="shared" si="15"/>
        <v>0</v>
      </c>
      <c r="AD62" s="672"/>
      <c r="AE62" s="726" t="s">
        <v>520</v>
      </c>
      <c r="AF62" s="736"/>
      <c r="AH62" s="803"/>
      <c r="AI62" s="803"/>
      <c r="AJ62" s="804">
        <f t="shared" si="16"/>
        <v>0</v>
      </c>
      <c r="AK62" s="785"/>
      <c r="AL62" s="805">
        <f>AJ62</f>
        <v>0</v>
      </c>
      <c r="AM62" s="697"/>
      <c r="AN62" s="806"/>
    </row>
    <row r="63" spans="3:44" ht="13.5" x14ac:dyDescent="0.25">
      <c r="C63" s="655">
        <v>2024</v>
      </c>
      <c r="D63" s="655" t="s">
        <v>496</v>
      </c>
      <c r="F63" s="718"/>
      <c r="G63" s="718"/>
      <c r="H63" s="718"/>
      <c r="I63" s="808">
        <v>0</v>
      </c>
      <c r="J63" s="835"/>
      <c r="K63" s="841">
        <v>0.16</v>
      </c>
      <c r="L63" s="841">
        <v>0.8</v>
      </c>
      <c r="M63" s="836"/>
      <c r="N63" s="835"/>
      <c r="O63" s="723">
        <v>0</v>
      </c>
      <c r="P63" s="723">
        <v>0</v>
      </c>
      <c r="Q63" s="759"/>
      <c r="R63" s="723">
        <v>0</v>
      </c>
      <c r="S63" s="836"/>
      <c r="T63" s="835"/>
      <c r="U63" s="759"/>
      <c r="V63" s="759"/>
      <c r="W63" s="837"/>
      <c r="X63" s="835"/>
      <c r="Y63" s="759"/>
      <c r="Z63" s="838"/>
      <c r="AA63" s="839"/>
      <c r="AB63" s="840"/>
      <c r="AC63" s="842">
        <v>0</v>
      </c>
      <c r="AD63" s="672"/>
      <c r="AE63" s="726" t="s">
        <v>520</v>
      </c>
      <c r="AF63" s="736"/>
      <c r="AH63" s="803"/>
      <c r="AI63" s="803"/>
      <c r="AJ63" s="804">
        <v>0</v>
      </c>
      <c r="AK63" s="785"/>
      <c r="AL63" s="805">
        <v>0</v>
      </c>
      <c r="AM63" s="697"/>
      <c r="AN63" s="806"/>
    </row>
    <row r="64" spans="3:44" ht="13.5" x14ac:dyDescent="0.25">
      <c r="C64" s="655">
        <v>2025</v>
      </c>
      <c r="D64" s="655" t="s">
        <v>496</v>
      </c>
      <c r="F64" s="718"/>
      <c r="G64" s="718"/>
      <c r="H64" s="718"/>
      <c r="I64" s="808">
        <f>F64+G64</f>
        <v>0</v>
      </c>
      <c r="J64" s="835"/>
      <c r="K64" s="841">
        <v>0.16</v>
      </c>
      <c r="L64" s="841">
        <v>0.8</v>
      </c>
      <c r="M64" s="836"/>
      <c r="N64" s="835"/>
      <c r="O64" s="723">
        <f t="shared" si="21"/>
        <v>0</v>
      </c>
      <c r="P64" s="723">
        <f t="shared" si="21"/>
        <v>0</v>
      </c>
      <c r="Q64" s="759"/>
      <c r="R64" s="723">
        <f>SUM(O64:P64)</f>
        <v>0</v>
      </c>
      <c r="S64" s="836"/>
      <c r="T64" s="835"/>
      <c r="U64" s="759"/>
      <c r="V64" s="759"/>
      <c r="W64" s="837"/>
      <c r="X64" s="835"/>
      <c r="Y64" s="759"/>
      <c r="Z64" s="838"/>
      <c r="AA64" s="839"/>
      <c r="AB64" s="840"/>
      <c r="AC64" s="842">
        <f>ROUND(W64+AA64,0)</f>
        <v>0</v>
      </c>
      <c r="AD64" s="672"/>
      <c r="AE64" s="726" t="s">
        <v>520</v>
      </c>
      <c r="AF64" s="736"/>
      <c r="AH64" s="803"/>
      <c r="AI64" s="803"/>
      <c r="AJ64" s="804">
        <f>SUM(AH64:AI64)</f>
        <v>0</v>
      </c>
      <c r="AK64" s="785"/>
      <c r="AL64" s="805">
        <f>AJ64</f>
        <v>0</v>
      </c>
      <c r="AM64" s="697"/>
      <c r="AN64" s="806"/>
    </row>
    <row r="65" spans="3:44" ht="6" customHeight="1" x14ac:dyDescent="0.2">
      <c r="F65" s="665"/>
      <c r="G65" s="665"/>
      <c r="H65" s="665"/>
      <c r="I65" s="665"/>
      <c r="O65" s="665"/>
      <c r="P65" s="665"/>
      <c r="Q65" s="665"/>
      <c r="R65" s="665"/>
      <c r="S65" s="665"/>
      <c r="Y65" s="665"/>
      <c r="AA65" s="782"/>
      <c r="AB65" s="11"/>
      <c r="AC65" s="782"/>
      <c r="AE65" s="634"/>
    </row>
    <row r="66" spans="3:44" x14ac:dyDescent="0.2">
      <c r="C66" s="655">
        <v>2000</v>
      </c>
      <c r="D66" s="655" t="s">
        <v>522</v>
      </c>
      <c r="F66" s="665"/>
      <c r="G66" s="665"/>
      <c r="H66" s="665"/>
      <c r="I66" s="665">
        <f t="shared" ref="I66:I89" si="22">SUM(F66:G66)</f>
        <v>0</v>
      </c>
      <c r="K66" s="667">
        <v>0.16</v>
      </c>
      <c r="L66" s="667">
        <v>0.8</v>
      </c>
      <c r="M66" s="667"/>
      <c r="O66" s="665"/>
      <c r="P66" s="665"/>
      <c r="Q66" s="665"/>
      <c r="R66" s="665"/>
      <c r="S66" s="665"/>
      <c r="Y66" s="665"/>
      <c r="Z66" s="669"/>
      <c r="AA66" s="782"/>
      <c r="AB66" s="11"/>
      <c r="AC66" s="782">
        <f t="shared" ref="AC66:AC89" si="23">ROUND(R66+AA66,0)</f>
        <v>0</v>
      </c>
      <c r="AD66" s="672">
        <v>0</v>
      </c>
      <c r="AE66" s="634"/>
      <c r="AR66" s="12" t="s">
        <v>523</v>
      </c>
    </row>
    <row r="67" spans="3:44" x14ac:dyDescent="0.2">
      <c r="C67" s="655">
        <v>2001</v>
      </c>
      <c r="D67" s="655" t="s">
        <v>522</v>
      </c>
      <c r="F67" s="665"/>
      <c r="G67" s="665"/>
      <c r="H67" s="665"/>
      <c r="I67" s="665">
        <f t="shared" si="22"/>
        <v>0</v>
      </c>
      <c r="K67" s="667">
        <v>0.16</v>
      </c>
      <c r="L67" s="667">
        <v>0.8</v>
      </c>
      <c r="M67" s="667"/>
      <c r="O67" s="665"/>
      <c r="P67" s="665"/>
      <c r="Q67" s="665"/>
      <c r="R67" s="665"/>
      <c r="S67" s="665"/>
      <c r="Y67" s="665"/>
      <c r="Z67" s="669"/>
      <c r="AA67" s="782"/>
      <c r="AB67" s="11"/>
      <c r="AC67" s="782">
        <f t="shared" si="23"/>
        <v>0</v>
      </c>
      <c r="AD67" s="672">
        <v>0</v>
      </c>
      <c r="AE67" s="634"/>
      <c r="AR67" s="12" t="s">
        <v>524</v>
      </c>
    </row>
    <row r="68" spans="3:44" x14ac:dyDescent="0.2">
      <c r="C68" s="655">
        <v>2002</v>
      </c>
      <c r="D68" s="655" t="s">
        <v>522</v>
      </c>
      <c r="F68" s="665"/>
      <c r="G68" s="665"/>
      <c r="H68" s="665"/>
      <c r="I68" s="665">
        <f t="shared" si="22"/>
        <v>0</v>
      </c>
      <c r="K68" s="667">
        <v>0.16</v>
      </c>
      <c r="L68" s="667">
        <v>0.8</v>
      </c>
      <c r="M68" s="667"/>
      <c r="O68" s="665">
        <f t="shared" ref="O68:P83" si="24">ROUND(F68*K68,0)</f>
        <v>0</v>
      </c>
      <c r="P68" s="665">
        <f t="shared" si="24"/>
        <v>0</v>
      </c>
      <c r="Q68" s="665"/>
      <c r="R68" s="665">
        <f t="shared" ref="R68:R85" si="25">SUM(O68:P68)</f>
        <v>0</v>
      </c>
      <c r="S68" s="665"/>
      <c r="Y68" s="665"/>
      <c r="Z68" s="669" t="e">
        <f t="shared" ref="Z68:Z82" si="26">AA68/Y68</f>
        <v>#DIV/0!</v>
      </c>
      <c r="AA68" s="782"/>
      <c r="AB68" s="11"/>
      <c r="AC68" s="782">
        <f t="shared" si="23"/>
        <v>0</v>
      </c>
      <c r="AD68" s="672">
        <v>2142</v>
      </c>
      <c r="AE68" s="634" t="s">
        <v>525</v>
      </c>
      <c r="AR68" s="12" t="s">
        <v>526</v>
      </c>
    </row>
    <row r="69" spans="3:44" x14ac:dyDescent="0.2">
      <c r="C69" s="655">
        <v>2003</v>
      </c>
      <c r="D69" s="655" t="s">
        <v>522</v>
      </c>
      <c r="F69" s="665"/>
      <c r="G69" s="665"/>
      <c r="H69" s="665"/>
      <c r="I69" s="665">
        <f t="shared" si="22"/>
        <v>0</v>
      </c>
      <c r="K69" s="667">
        <v>0.16</v>
      </c>
      <c r="L69" s="667">
        <v>0.8</v>
      </c>
      <c r="M69" s="667"/>
      <c r="O69" s="665">
        <f t="shared" si="24"/>
        <v>0</v>
      </c>
      <c r="P69" s="665">
        <f t="shared" si="24"/>
        <v>0</v>
      </c>
      <c r="Q69" s="665"/>
      <c r="R69" s="665">
        <f t="shared" si="25"/>
        <v>0</v>
      </c>
      <c r="S69" s="665"/>
      <c r="Y69" s="665"/>
      <c r="Z69" s="669" t="e">
        <f t="shared" si="26"/>
        <v>#DIV/0!</v>
      </c>
      <c r="AA69" s="782"/>
      <c r="AB69" s="11"/>
      <c r="AC69" s="782">
        <f t="shared" si="23"/>
        <v>0</v>
      </c>
      <c r="AD69" s="672">
        <v>2491</v>
      </c>
      <c r="AE69" s="634" t="s">
        <v>527</v>
      </c>
      <c r="AI69" s="844"/>
    </row>
    <row r="70" spans="3:44" x14ac:dyDescent="0.2">
      <c r="C70" s="655">
        <v>2004</v>
      </c>
      <c r="D70" s="655" t="s">
        <v>522</v>
      </c>
      <c r="F70" s="665"/>
      <c r="G70" s="665"/>
      <c r="H70" s="665"/>
      <c r="I70" s="665">
        <f t="shared" si="22"/>
        <v>0</v>
      </c>
      <c r="K70" s="667">
        <v>0.16</v>
      </c>
      <c r="L70" s="667">
        <v>0.8</v>
      </c>
      <c r="M70" s="667"/>
      <c r="O70" s="665">
        <f t="shared" si="24"/>
        <v>0</v>
      </c>
      <c r="P70" s="665">
        <f t="shared" si="24"/>
        <v>0</v>
      </c>
      <c r="Q70" s="665"/>
      <c r="R70" s="665">
        <f t="shared" si="25"/>
        <v>0</v>
      </c>
      <c r="S70" s="665"/>
      <c r="Y70" s="665"/>
      <c r="Z70" s="669" t="e">
        <f t="shared" si="26"/>
        <v>#DIV/0!</v>
      </c>
      <c r="AA70" s="782"/>
      <c r="AB70" s="11"/>
      <c r="AC70" s="782">
        <f t="shared" si="23"/>
        <v>0</v>
      </c>
      <c r="AD70" s="672">
        <v>419</v>
      </c>
      <c r="AE70" s="634" t="s">
        <v>528</v>
      </c>
      <c r="AH70" s="12" t="s">
        <v>529</v>
      </c>
      <c r="AI70" s="844"/>
    </row>
    <row r="71" spans="3:44" x14ac:dyDescent="0.2">
      <c r="C71" s="655">
        <v>2005</v>
      </c>
      <c r="D71" s="655" t="s">
        <v>522</v>
      </c>
      <c r="F71" s="665"/>
      <c r="G71" s="665"/>
      <c r="H71" s="665"/>
      <c r="I71" s="665">
        <f t="shared" si="22"/>
        <v>0</v>
      </c>
      <c r="K71" s="667">
        <v>0.16</v>
      </c>
      <c r="L71" s="667">
        <v>0.8</v>
      </c>
      <c r="M71" s="667"/>
      <c r="O71" s="665">
        <f t="shared" si="24"/>
        <v>0</v>
      </c>
      <c r="P71" s="665">
        <f t="shared" si="24"/>
        <v>0</v>
      </c>
      <c r="Q71" s="665"/>
      <c r="R71" s="665">
        <f t="shared" si="25"/>
        <v>0</v>
      </c>
      <c r="S71" s="665"/>
      <c r="Y71" s="665"/>
      <c r="Z71" s="669" t="e">
        <f t="shared" si="26"/>
        <v>#DIV/0!</v>
      </c>
      <c r="AA71" s="782"/>
      <c r="AB71" s="11"/>
      <c r="AC71" s="782">
        <f t="shared" si="23"/>
        <v>0</v>
      </c>
      <c r="AD71" s="672">
        <v>430</v>
      </c>
      <c r="AE71" s="634"/>
      <c r="AI71" s="844"/>
    </row>
    <row r="72" spans="3:44" x14ac:dyDescent="0.2">
      <c r="C72" s="655">
        <v>2006</v>
      </c>
      <c r="D72" s="655" t="s">
        <v>522</v>
      </c>
      <c r="F72" s="665"/>
      <c r="G72" s="665"/>
      <c r="H72" s="665"/>
      <c r="I72" s="665">
        <f t="shared" si="22"/>
        <v>0</v>
      </c>
      <c r="K72" s="667">
        <v>0.16</v>
      </c>
      <c r="L72" s="667">
        <v>0.8</v>
      </c>
      <c r="M72" s="667"/>
      <c r="O72" s="665">
        <f t="shared" si="24"/>
        <v>0</v>
      </c>
      <c r="P72" s="665">
        <f t="shared" si="24"/>
        <v>0</v>
      </c>
      <c r="Q72" s="665"/>
      <c r="R72" s="665">
        <f t="shared" si="25"/>
        <v>0</v>
      </c>
      <c r="S72" s="665"/>
      <c r="Y72" s="665"/>
      <c r="Z72" s="669" t="e">
        <f t="shared" si="26"/>
        <v>#DIV/0!</v>
      </c>
      <c r="AA72" s="782"/>
      <c r="AB72" s="11"/>
      <c r="AC72" s="782">
        <f t="shared" si="23"/>
        <v>0</v>
      </c>
      <c r="AD72" s="672">
        <v>1273</v>
      </c>
      <c r="AE72" s="634"/>
      <c r="AI72" s="844"/>
    </row>
    <row r="73" spans="3:44" x14ac:dyDescent="0.2">
      <c r="C73" s="655">
        <v>2007</v>
      </c>
      <c r="D73" s="655" t="s">
        <v>522</v>
      </c>
      <c r="F73" s="678"/>
      <c r="G73" s="678"/>
      <c r="H73" s="678"/>
      <c r="I73" s="665">
        <f t="shared" si="22"/>
        <v>0</v>
      </c>
      <c r="K73" s="667">
        <v>0.16</v>
      </c>
      <c r="L73" s="667">
        <v>0.8</v>
      </c>
      <c r="M73" s="667"/>
      <c r="O73" s="665">
        <f t="shared" si="24"/>
        <v>0</v>
      </c>
      <c r="P73" s="665">
        <f t="shared" si="24"/>
        <v>0</v>
      </c>
      <c r="Q73" s="665"/>
      <c r="R73" s="665">
        <f t="shared" si="25"/>
        <v>0</v>
      </c>
      <c r="S73" s="665"/>
      <c r="Y73" s="678"/>
      <c r="Z73" s="845" t="e">
        <f t="shared" si="26"/>
        <v>#DIV/0!</v>
      </c>
      <c r="AA73" s="782"/>
      <c r="AB73" s="11"/>
      <c r="AC73" s="782">
        <f t="shared" si="23"/>
        <v>0</v>
      </c>
      <c r="AD73" s="672">
        <v>588</v>
      </c>
      <c r="AE73" s="696"/>
      <c r="AF73" s="846"/>
      <c r="AI73" s="844"/>
    </row>
    <row r="74" spans="3:44" x14ac:dyDescent="0.2">
      <c r="C74" s="655">
        <v>2008</v>
      </c>
      <c r="D74" s="655" t="s">
        <v>522</v>
      </c>
      <c r="F74" s="678"/>
      <c r="G74" s="678"/>
      <c r="H74" s="678"/>
      <c r="I74" s="665">
        <f t="shared" si="22"/>
        <v>0</v>
      </c>
      <c r="K74" s="667">
        <v>0.16</v>
      </c>
      <c r="L74" s="667">
        <v>0.8</v>
      </c>
      <c r="M74" s="667"/>
      <c r="O74" s="665">
        <f t="shared" si="24"/>
        <v>0</v>
      </c>
      <c r="P74" s="665">
        <f t="shared" si="24"/>
        <v>0</v>
      </c>
      <c r="Q74" s="665"/>
      <c r="R74" s="665">
        <f t="shared" si="25"/>
        <v>0</v>
      </c>
      <c r="S74" s="665"/>
      <c r="Y74" s="786"/>
      <c r="Z74" s="683" t="e">
        <f t="shared" si="26"/>
        <v>#DIV/0!</v>
      </c>
      <c r="AA74" s="847"/>
      <c r="AB74" s="11"/>
      <c r="AC74" s="782">
        <f t="shared" si="23"/>
        <v>0</v>
      </c>
      <c r="AD74" s="672">
        <v>45</v>
      </c>
      <c r="AE74" s="696" t="s">
        <v>530</v>
      </c>
      <c r="AF74" s="846"/>
      <c r="AI74" s="844"/>
    </row>
    <row r="75" spans="3:44" x14ac:dyDescent="0.2">
      <c r="C75" s="655">
        <v>2009</v>
      </c>
      <c r="D75" s="655" t="s">
        <v>522</v>
      </c>
      <c r="F75" s="678"/>
      <c r="G75" s="678"/>
      <c r="H75" s="678"/>
      <c r="I75" s="665">
        <f t="shared" si="22"/>
        <v>0</v>
      </c>
      <c r="K75" s="667">
        <v>0.16</v>
      </c>
      <c r="L75" s="667">
        <v>0.8</v>
      </c>
      <c r="M75" s="667"/>
      <c r="O75" s="665">
        <f t="shared" si="24"/>
        <v>0</v>
      </c>
      <c r="P75" s="665">
        <f t="shared" si="24"/>
        <v>0</v>
      </c>
      <c r="Q75" s="665"/>
      <c r="R75" s="665">
        <f t="shared" si="25"/>
        <v>0</v>
      </c>
      <c r="S75" s="665"/>
      <c r="Y75" s="789"/>
      <c r="Z75" s="692" t="e">
        <f t="shared" si="26"/>
        <v>#DIV/0!</v>
      </c>
      <c r="AA75" s="791"/>
      <c r="AB75" s="11"/>
      <c r="AC75" s="782">
        <f t="shared" si="23"/>
        <v>0</v>
      </c>
      <c r="AD75" s="672">
        <v>274</v>
      </c>
      <c r="AE75" s="784" t="s">
        <v>531</v>
      </c>
      <c r="AF75" s="785"/>
      <c r="AI75" s="844"/>
    </row>
    <row r="76" spans="3:44" x14ac:dyDescent="0.2">
      <c r="C76" s="655">
        <v>2010</v>
      </c>
      <c r="D76" s="655" t="s">
        <v>522</v>
      </c>
      <c r="F76" s="678"/>
      <c r="G76" s="678"/>
      <c r="H76" s="678"/>
      <c r="I76" s="665">
        <f t="shared" si="22"/>
        <v>0</v>
      </c>
      <c r="K76" s="667">
        <v>0.16</v>
      </c>
      <c r="L76" s="667">
        <v>0.8</v>
      </c>
      <c r="M76" s="667"/>
      <c r="O76" s="665">
        <f t="shared" si="24"/>
        <v>0</v>
      </c>
      <c r="P76" s="665">
        <f t="shared" si="24"/>
        <v>0</v>
      </c>
      <c r="Q76" s="665"/>
      <c r="R76" s="665">
        <f t="shared" si="25"/>
        <v>0</v>
      </c>
      <c r="S76" s="665"/>
      <c r="Y76" s="789"/>
      <c r="Z76" s="692" t="e">
        <f t="shared" si="26"/>
        <v>#DIV/0!</v>
      </c>
      <c r="AA76" s="791"/>
      <c r="AB76" s="848"/>
      <c r="AC76" s="782">
        <f t="shared" si="23"/>
        <v>0</v>
      </c>
      <c r="AD76" s="672">
        <v>268</v>
      </c>
      <c r="AE76" s="696" t="s">
        <v>532</v>
      </c>
      <c r="AF76" s="846"/>
      <c r="AI76" s="844"/>
    </row>
    <row r="77" spans="3:44" x14ac:dyDescent="0.2">
      <c r="C77" s="655">
        <v>2011</v>
      </c>
      <c r="D77" s="655" t="s">
        <v>522</v>
      </c>
      <c r="F77" s="678"/>
      <c r="G77" s="678"/>
      <c r="H77" s="678"/>
      <c r="I77" s="665">
        <f t="shared" si="22"/>
        <v>0</v>
      </c>
      <c r="K77" s="667">
        <v>0.16</v>
      </c>
      <c r="L77" s="667">
        <v>0.8</v>
      </c>
      <c r="M77" s="667"/>
      <c r="O77" s="665">
        <f t="shared" si="24"/>
        <v>0</v>
      </c>
      <c r="P77" s="665">
        <f t="shared" si="24"/>
        <v>0</v>
      </c>
      <c r="Q77" s="665"/>
      <c r="R77" s="665">
        <f t="shared" si="25"/>
        <v>0</v>
      </c>
      <c r="S77" s="665"/>
      <c r="Y77" s="849"/>
      <c r="Z77" s="850" t="e">
        <f t="shared" si="26"/>
        <v>#DIV/0!</v>
      </c>
      <c r="AA77" s="791"/>
      <c r="AB77" s="848"/>
      <c r="AC77" s="782">
        <f t="shared" si="23"/>
        <v>0</v>
      </c>
      <c r="AD77" s="672">
        <v>383</v>
      </c>
      <c r="AE77" s="702" t="s">
        <v>479</v>
      </c>
      <c r="AF77" s="703"/>
      <c r="AI77" s="844"/>
    </row>
    <row r="78" spans="3:44" x14ac:dyDescent="0.2">
      <c r="C78" s="655">
        <v>2012</v>
      </c>
      <c r="D78" s="655" t="s">
        <v>522</v>
      </c>
      <c r="F78" s="678"/>
      <c r="G78" s="678"/>
      <c r="H78" s="678"/>
      <c r="I78" s="665">
        <f t="shared" si="22"/>
        <v>0</v>
      </c>
      <c r="K78" s="667">
        <v>0.16</v>
      </c>
      <c r="L78" s="667">
        <v>0.8</v>
      </c>
      <c r="M78" s="667"/>
      <c r="O78" s="665">
        <f t="shared" si="24"/>
        <v>0</v>
      </c>
      <c r="P78" s="665">
        <f t="shared" si="24"/>
        <v>0</v>
      </c>
      <c r="Q78" s="665"/>
      <c r="R78" s="665">
        <f t="shared" si="25"/>
        <v>0</v>
      </c>
      <c r="S78" s="665"/>
      <c r="Y78" s="851"/>
      <c r="Z78" s="852" t="e">
        <f t="shared" si="26"/>
        <v>#DIV/0!</v>
      </c>
      <c r="AA78" s="853"/>
      <c r="AB78" s="848"/>
      <c r="AC78" s="782">
        <f t="shared" si="23"/>
        <v>0</v>
      </c>
      <c r="AD78" s="672"/>
      <c r="AE78" s="715" t="s">
        <v>533</v>
      </c>
      <c r="AF78" s="716"/>
      <c r="AI78" s="844"/>
    </row>
    <row r="79" spans="3:44" x14ac:dyDescent="0.2">
      <c r="C79" s="655">
        <v>2013</v>
      </c>
      <c r="D79" s="655" t="s">
        <v>522</v>
      </c>
      <c r="F79" s="678"/>
      <c r="G79" s="678"/>
      <c r="H79" s="678"/>
      <c r="I79" s="665">
        <f t="shared" si="22"/>
        <v>0</v>
      </c>
      <c r="K79" s="667">
        <v>0.16</v>
      </c>
      <c r="L79" s="667">
        <v>0.8</v>
      </c>
      <c r="M79" s="667"/>
      <c r="O79" s="665">
        <f t="shared" si="24"/>
        <v>0</v>
      </c>
      <c r="P79" s="665">
        <f t="shared" si="24"/>
        <v>0</v>
      </c>
      <c r="Q79" s="665"/>
      <c r="R79" s="665">
        <f t="shared" si="25"/>
        <v>0</v>
      </c>
      <c r="S79" s="665"/>
      <c r="Y79" s="854"/>
      <c r="Z79" s="855" t="e">
        <f t="shared" si="26"/>
        <v>#DIV/0!</v>
      </c>
      <c r="AA79" s="856"/>
      <c r="AB79" s="848"/>
      <c r="AC79" s="782">
        <f t="shared" si="23"/>
        <v>0</v>
      </c>
      <c r="AD79" s="672"/>
      <c r="AE79" s="726" t="s">
        <v>534</v>
      </c>
      <c r="AF79" s="727"/>
      <c r="AI79" s="844"/>
    </row>
    <row r="80" spans="3:44" x14ac:dyDescent="0.2">
      <c r="C80" s="655">
        <v>2014</v>
      </c>
      <c r="D80" s="655" t="s">
        <v>522</v>
      </c>
      <c r="F80" s="678"/>
      <c r="G80" s="678"/>
      <c r="H80" s="678"/>
      <c r="I80" s="665">
        <f t="shared" si="22"/>
        <v>0</v>
      </c>
      <c r="K80" s="667">
        <v>0.16</v>
      </c>
      <c r="L80" s="667">
        <v>0.8</v>
      </c>
      <c r="M80" s="667"/>
      <c r="O80" s="665">
        <f t="shared" si="24"/>
        <v>0</v>
      </c>
      <c r="P80" s="665">
        <f t="shared" si="24"/>
        <v>0</v>
      </c>
      <c r="Q80" s="665"/>
      <c r="R80" s="665">
        <f t="shared" si="25"/>
        <v>0</v>
      </c>
      <c r="S80" s="665"/>
      <c r="Y80" s="732"/>
      <c r="Z80" s="857" t="e">
        <f t="shared" si="26"/>
        <v>#DIV/0!</v>
      </c>
      <c r="AA80" s="858"/>
      <c r="AB80" s="848"/>
      <c r="AC80" s="782">
        <f t="shared" si="23"/>
        <v>0</v>
      </c>
      <c r="AD80" s="672"/>
      <c r="AE80" s="735" t="s">
        <v>518</v>
      </c>
      <c r="AF80" s="736"/>
      <c r="AI80" s="844"/>
    </row>
    <row r="81" spans="3:35" x14ac:dyDescent="0.2">
      <c r="C81" s="655">
        <v>2015</v>
      </c>
      <c r="D81" s="655" t="s">
        <v>522</v>
      </c>
      <c r="F81" s="678"/>
      <c r="G81" s="678"/>
      <c r="H81" s="678"/>
      <c r="I81" s="665">
        <f t="shared" si="22"/>
        <v>0</v>
      </c>
      <c r="K81" s="667">
        <v>0.16</v>
      </c>
      <c r="L81" s="667">
        <v>0.8</v>
      </c>
      <c r="M81" s="667"/>
      <c r="O81" s="665">
        <f t="shared" si="24"/>
        <v>0</v>
      </c>
      <c r="P81" s="665">
        <f t="shared" si="24"/>
        <v>0</v>
      </c>
      <c r="Q81" s="665"/>
      <c r="R81" s="665">
        <f t="shared" si="25"/>
        <v>0</v>
      </c>
      <c r="S81" s="665"/>
      <c r="Y81" s="741"/>
      <c r="Z81" s="859" t="e">
        <f t="shared" si="26"/>
        <v>#DIV/0!</v>
      </c>
      <c r="AA81" s="824"/>
      <c r="AB81" s="848"/>
      <c r="AC81" s="782">
        <f t="shared" si="23"/>
        <v>0</v>
      </c>
      <c r="AD81" s="672"/>
      <c r="AE81" s="743" t="s">
        <v>518</v>
      </c>
      <c r="AF81" s="736"/>
      <c r="AI81" s="844"/>
    </row>
    <row r="82" spans="3:35" x14ac:dyDescent="0.2">
      <c r="C82" s="655">
        <v>2016</v>
      </c>
      <c r="D82" s="655" t="s">
        <v>522</v>
      </c>
      <c r="F82" s="678"/>
      <c r="G82" s="678"/>
      <c r="H82" s="678"/>
      <c r="I82" s="665">
        <f t="shared" si="22"/>
        <v>0</v>
      </c>
      <c r="K82" s="667">
        <v>0.16</v>
      </c>
      <c r="L82" s="667">
        <v>0.8</v>
      </c>
      <c r="M82" s="667"/>
      <c r="O82" s="665">
        <f t="shared" si="24"/>
        <v>0</v>
      </c>
      <c r="P82" s="665">
        <f t="shared" si="24"/>
        <v>0</v>
      </c>
      <c r="Q82" s="665"/>
      <c r="R82" s="665">
        <f t="shared" si="25"/>
        <v>0</v>
      </c>
      <c r="S82" s="665"/>
      <c r="Y82" s="723"/>
      <c r="Z82" s="859" t="e">
        <f t="shared" si="26"/>
        <v>#DIV/0!</v>
      </c>
      <c r="AA82" s="860"/>
      <c r="AB82" s="848"/>
      <c r="AC82" s="782">
        <f t="shared" si="23"/>
        <v>0</v>
      </c>
      <c r="AD82" s="672"/>
      <c r="AE82" s="735" t="s">
        <v>484</v>
      </c>
      <c r="AF82" s="736"/>
      <c r="AI82" s="844"/>
    </row>
    <row r="83" spans="3:35" x14ac:dyDescent="0.2">
      <c r="C83" s="655">
        <v>2017</v>
      </c>
      <c r="D83" s="655" t="s">
        <v>522</v>
      </c>
      <c r="F83" s="678"/>
      <c r="G83" s="678"/>
      <c r="H83" s="678"/>
      <c r="I83" s="665">
        <f t="shared" si="22"/>
        <v>0</v>
      </c>
      <c r="K83" s="667">
        <v>0.16</v>
      </c>
      <c r="L83" s="667">
        <v>0.8</v>
      </c>
      <c r="M83" s="667"/>
      <c r="O83" s="665">
        <f t="shared" si="24"/>
        <v>0</v>
      </c>
      <c r="P83" s="665">
        <f t="shared" si="24"/>
        <v>0</v>
      </c>
      <c r="Q83" s="665"/>
      <c r="R83" s="665">
        <f t="shared" si="25"/>
        <v>0</v>
      </c>
      <c r="S83" s="665"/>
      <c r="Y83" s="759"/>
      <c r="Z83" s="861">
        <v>5.0000000000000001E-4</v>
      </c>
      <c r="AA83" s="839"/>
      <c r="AB83" s="848"/>
      <c r="AC83" s="782">
        <f t="shared" si="23"/>
        <v>0</v>
      </c>
      <c r="AD83" s="672"/>
      <c r="AE83" s="726" t="s">
        <v>485</v>
      </c>
      <c r="AF83" s="736"/>
      <c r="AI83" s="844"/>
    </row>
    <row r="84" spans="3:35" x14ac:dyDescent="0.2">
      <c r="C84" s="655">
        <v>2018</v>
      </c>
      <c r="D84" s="655" t="s">
        <v>522</v>
      </c>
      <c r="F84" s="678"/>
      <c r="G84" s="678"/>
      <c r="H84" s="678"/>
      <c r="I84" s="665">
        <f t="shared" si="22"/>
        <v>0</v>
      </c>
      <c r="K84" s="667">
        <v>0.16</v>
      </c>
      <c r="L84" s="667">
        <v>0.8</v>
      </c>
      <c r="M84" s="667"/>
      <c r="O84" s="665">
        <f t="shared" ref="O84:P89" si="27">ROUND(F84*K84,0)</f>
        <v>0</v>
      </c>
      <c r="P84" s="665">
        <f t="shared" si="27"/>
        <v>0</v>
      </c>
      <c r="Q84" s="665"/>
      <c r="R84" s="665">
        <f t="shared" si="25"/>
        <v>0</v>
      </c>
      <c r="S84" s="665"/>
      <c r="Y84" s="765"/>
      <c r="Z84" s="862">
        <v>2.0899999999999998E-3</v>
      </c>
      <c r="AA84" s="832"/>
      <c r="AB84" s="848"/>
      <c r="AC84" s="782">
        <f t="shared" si="23"/>
        <v>0</v>
      </c>
      <c r="AD84" s="672"/>
      <c r="AE84" s="767" t="s">
        <v>535</v>
      </c>
      <c r="AF84" s="736"/>
      <c r="AI84" s="844"/>
    </row>
    <row r="85" spans="3:35" x14ac:dyDescent="0.2">
      <c r="C85" s="655">
        <v>2019</v>
      </c>
      <c r="D85" s="655" t="s">
        <v>522</v>
      </c>
      <c r="F85" s="678"/>
      <c r="G85" s="678"/>
      <c r="H85" s="678"/>
      <c r="I85" s="665">
        <f t="shared" si="22"/>
        <v>0</v>
      </c>
      <c r="K85" s="667">
        <v>0.16</v>
      </c>
      <c r="L85" s="667">
        <v>0.8</v>
      </c>
      <c r="M85" s="667"/>
      <c r="O85" s="665">
        <f t="shared" si="27"/>
        <v>0</v>
      </c>
      <c r="P85" s="665">
        <f t="shared" si="27"/>
        <v>0</v>
      </c>
      <c r="Q85" s="665"/>
      <c r="R85" s="665">
        <f t="shared" si="25"/>
        <v>0</v>
      </c>
      <c r="S85" s="665"/>
      <c r="Y85" s="765"/>
      <c r="Z85" s="863">
        <v>0</v>
      </c>
      <c r="AA85" s="864"/>
      <c r="AB85" s="848"/>
      <c r="AC85" s="782">
        <f t="shared" si="23"/>
        <v>0</v>
      </c>
      <c r="AD85" s="672"/>
      <c r="AE85" s="767" t="s">
        <v>536</v>
      </c>
      <c r="AF85" s="736"/>
      <c r="AI85" s="844"/>
    </row>
    <row r="86" spans="3:35" x14ac:dyDescent="0.2">
      <c r="C86" s="655">
        <v>2020</v>
      </c>
      <c r="D86" s="655" t="s">
        <v>522</v>
      </c>
      <c r="F86" s="678"/>
      <c r="G86" s="678"/>
      <c r="H86" s="678"/>
      <c r="I86" s="665">
        <f t="shared" si="22"/>
        <v>0</v>
      </c>
      <c r="K86" s="667">
        <v>0.16</v>
      </c>
      <c r="L86" s="667">
        <v>0.8</v>
      </c>
      <c r="M86" s="667"/>
      <c r="O86" s="665">
        <f t="shared" si="27"/>
        <v>0</v>
      </c>
      <c r="P86" s="665">
        <f t="shared" si="27"/>
        <v>0</v>
      </c>
      <c r="Q86" s="665"/>
      <c r="R86" s="665">
        <f>SUM(O86:P86)</f>
        <v>0</v>
      </c>
      <c r="S86" s="665"/>
      <c r="Y86" s="759"/>
      <c r="Z86" s="861" t="e">
        <f>AA86/Y86</f>
        <v>#DIV/0!</v>
      </c>
      <c r="AA86" s="839"/>
      <c r="AB86" s="848"/>
      <c r="AC86" s="782">
        <f t="shared" si="23"/>
        <v>0</v>
      </c>
      <c r="AD86" s="672"/>
      <c r="AE86" s="865" t="s">
        <v>537</v>
      </c>
      <c r="AF86" s="736"/>
      <c r="AI86" s="844"/>
    </row>
    <row r="87" spans="3:35" x14ac:dyDescent="0.2">
      <c r="C87" s="655">
        <v>2021</v>
      </c>
      <c r="D87" s="655" t="s">
        <v>522</v>
      </c>
      <c r="F87" s="678"/>
      <c r="G87" s="678"/>
      <c r="H87" s="678"/>
      <c r="I87" s="665">
        <f t="shared" si="22"/>
        <v>0</v>
      </c>
      <c r="K87" s="667">
        <v>0.16</v>
      </c>
      <c r="L87" s="667">
        <v>0.8</v>
      </c>
      <c r="M87" s="667"/>
      <c r="O87" s="665">
        <f t="shared" si="27"/>
        <v>0</v>
      </c>
      <c r="P87" s="665">
        <f t="shared" si="27"/>
        <v>0</v>
      </c>
      <c r="Q87" s="665"/>
      <c r="R87" s="665">
        <f>SUM(O87:P87)</f>
        <v>0</v>
      </c>
      <c r="S87" s="665"/>
      <c r="Y87" s="759"/>
      <c r="Z87" s="861" t="e">
        <f>AA87/Y87</f>
        <v>#DIV/0!</v>
      </c>
      <c r="AA87" s="839"/>
      <c r="AB87" s="848"/>
      <c r="AC87" s="782">
        <f t="shared" si="23"/>
        <v>0</v>
      </c>
      <c r="AD87" s="672"/>
      <c r="AE87" s="865" t="s">
        <v>538</v>
      </c>
      <c r="AF87" s="866"/>
      <c r="AG87" s="867"/>
      <c r="AI87" s="844"/>
    </row>
    <row r="88" spans="3:35" ht="13.7" customHeight="1" x14ac:dyDescent="0.2">
      <c r="C88" s="655">
        <v>2022</v>
      </c>
      <c r="D88" s="655" t="s">
        <v>522</v>
      </c>
      <c r="F88" s="678"/>
      <c r="G88" s="678"/>
      <c r="H88" s="678"/>
      <c r="I88" s="665">
        <f t="shared" si="22"/>
        <v>0</v>
      </c>
      <c r="K88" s="667">
        <v>0.16</v>
      </c>
      <c r="L88" s="667">
        <v>0.8</v>
      </c>
      <c r="M88" s="667"/>
      <c r="O88" s="665">
        <f t="shared" si="27"/>
        <v>0</v>
      </c>
      <c r="P88" s="665">
        <f t="shared" si="27"/>
        <v>0</v>
      </c>
      <c r="Q88" s="665"/>
      <c r="R88" s="665">
        <f>SUM(O88:P88)</f>
        <v>0</v>
      </c>
      <c r="S88" s="665"/>
      <c r="Y88" s="765"/>
      <c r="Z88" s="863" t="e">
        <f>AVERAGE(Z86:Z87)</f>
        <v>#DIV/0!</v>
      </c>
      <c r="AA88" s="864"/>
      <c r="AB88" s="848"/>
      <c r="AC88" s="782">
        <f t="shared" si="23"/>
        <v>0</v>
      </c>
      <c r="AD88" s="672"/>
      <c r="AE88" s="767" t="s">
        <v>539</v>
      </c>
      <c r="AF88" s="736"/>
      <c r="AI88" s="844"/>
    </row>
    <row r="89" spans="3:35" ht="13.7" customHeight="1" x14ac:dyDescent="0.2">
      <c r="C89" s="655">
        <v>2023</v>
      </c>
      <c r="D89" s="655" t="s">
        <v>522</v>
      </c>
      <c r="F89" s="678"/>
      <c r="G89" s="678"/>
      <c r="H89" s="678"/>
      <c r="I89" s="665">
        <f t="shared" si="22"/>
        <v>0</v>
      </c>
      <c r="K89" s="667">
        <v>0.16</v>
      </c>
      <c r="L89" s="667">
        <v>0.8</v>
      </c>
      <c r="M89" s="667"/>
      <c r="O89" s="665">
        <f t="shared" si="27"/>
        <v>0</v>
      </c>
      <c r="P89" s="665">
        <f t="shared" si="27"/>
        <v>0</v>
      </c>
      <c r="Q89" s="665"/>
      <c r="R89" s="665">
        <f>SUM(O89:P89)</f>
        <v>0</v>
      </c>
      <c r="S89" s="665"/>
      <c r="Y89" s="765"/>
      <c r="Z89" s="863" t="e">
        <f>Z88</f>
        <v>#DIV/0!</v>
      </c>
      <c r="AA89" s="864"/>
      <c r="AB89" s="848"/>
      <c r="AC89" s="782">
        <f t="shared" si="23"/>
        <v>0</v>
      </c>
      <c r="AD89" s="672"/>
      <c r="AE89" s="767" t="s">
        <v>540</v>
      </c>
      <c r="AF89" s="736"/>
      <c r="AI89" s="844"/>
    </row>
    <row r="90" spans="3:35" ht="13.7" customHeight="1" x14ac:dyDescent="0.2">
      <c r="C90" s="655">
        <v>2024</v>
      </c>
      <c r="D90" s="655" t="s">
        <v>522</v>
      </c>
      <c r="F90" s="678"/>
      <c r="G90" s="678"/>
      <c r="H90" s="678"/>
      <c r="I90" s="665">
        <v>0</v>
      </c>
      <c r="K90" s="667">
        <v>0.16</v>
      </c>
      <c r="L90" s="667">
        <v>0.8</v>
      </c>
      <c r="M90" s="667"/>
      <c r="O90" s="665">
        <v>0</v>
      </c>
      <c r="P90" s="665">
        <v>0</v>
      </c>
      <c r="Q90" s="665"/>
      <c r="R90" s="665">
        <v>0</v>
      </c>
      <c r="S90" s="665"/>
      <c r="Y90" s="765"/>
      <c r="Z90" s="863">
        <v>1.1685346150887039E-3</v>
      </c>
      <c r="AA90" s="864"/>
      <c r="AB90" s="848"/>
      <c r="AC90" s="782">
        <v>89</v>
      </c>
      <c r="AD90" s="672"/>
      <c r="AE90" s="767" t="s">
        <v>541</v>
      </c>
      <c r="AF90" s="736"/>
      <c r="AI90" s="844"/>
    </row>
    <row r="91" spans="3:35" ht="13.7" customHeight="1" x14ac:dyDescent="0.2">
      <c r="C91" s="655">
        <v>2025</v>
      </c>
      <c r="D91" s="655" t="s">
        <v>522</v>
      </c>
      <c r="F91" s="678"/>
      <c r="G91" s="678"/>
      <c r="H91" s="678"/>
      <c r="I91" s="665">
        <f>SUM(F91:G91)</f>
        <v>0</v>
      </c>
      <c r="K91" s="667">
        <v>0.16</v>
      </c>
      <c r="L91" s="667">
        <v>0.8</v>
      </c>
      <c r="M91" s="667"/>
      <c r="O91" s="665">
        <f>ROUND(F91*K91,0)</f>
        <v>0</v>
      </c>
      <c r="P91" s="665">
        <f>ROUND(G91*L91,0)</f>
        <v>0</v>
      </c>
      <c r="Q91" s="665"/>
      <c r="R91" s="665">
        <f>SUM(O91:P91)</f>
        <v>0</v>
      </c>
      <c r="S91" s="665"/>
      <c r="Y91" s="765"/>
      <c r="Z91" s="863" t="e">
        <f>Z89</f>
        <v>#DIV/0!</v>
      </c>
      <c r="AA91" s="864"/>
      <c r="AB91" s="848"/>
      <c r="AC91" s="782">
        <f>ROUND(R91+AA91,0)</f>
        <v>0</v>
      </c>
      <c r="AD91" s="672"/>
      <c r="AE91" s="767" t="s">
        <v>542</v>
      </c>
      <c r="AF91" s="736"/>
      <c r="AI91" s="844"/>
    </row>
    <row r="92" spans="3:35" ht="3" customHeight="1" x14ac:dyDescent="0.2">
      <c r="C92" s="651"/>
      <c r="D92" s="651"/>
      <c r="E92" s="658"/>
      <c r="F92" s="774"/>
      <c r="G92" s="774"/>
      <c r="H92" s="774"/>
      <c r="I92" s="774"/>
      <c r="J92" s="658"/>
      <c r="K92" s="868"/>
      <c r="L92" s="868"/>
      <c r="M92" s="868"/>
      <c r="N92" s="658"/>
      <c r="O92" s="774"/>
      <c r="P92" s="774"/>
      <c r="Q92" s="774"/>
      <c r="R92" s="774"/>
      <c r="S92" s="774"/>
      <c r="T92" s="658"/>
      <c r="U92" s="658"/>
      <c r="V92" s="658"/>
      <c r="W92" s="658"/>
      <c r="X92" s="658"/>
      <c r="Y92" s="774"/>
      <c r="Z92" s="869"/>
      <c r="AA92" s="870"/>
      <c r="AB92" s="777"/>
      <c r="AC92" s="870"/>
      <c r="AE92" s="634"/>
    </row>
    <row r="93" spans="3:35" ht="3" customHeight="1" x14ac:dyDescent="0.2">
      <c r="F93" s="665"/>
      <c r="G93" s="665"/>
      <c r="H93" s="665"/>
      <c r="I93" s="665"/>
      <c r="O93" s="665"/>
      <c r="P93" s="665"/>
      <c r="Q93" s="665"/>
      <c r="R93" s="665"/>
      <c r="S93" s="665"/>
      <c r="Y93" s="665"/>
      <c r="AA93" s="782"/>
      <c r="AB93" s="11"/>
      <c r="AC93" s="782"/>
      <c r="AE93" s="634"/>
    </row>
    <row r="94" spans="3:35" x14ac:dyDescent="0.2">
      <c r="C94" s="655">
        <v>2000</v>
      </c>
      <c r="D94" s="655" t="s">
        <v>543</v>
      </c>
      <c r="F94" s="665">
        <f>F39+F66+F10</f>
        <v>0</v>
      </c>
      <c r="G94" s="665">
        <f t="shared" ref="G94:G117" si="28">G39+G66</f>
        <v>0</v>
      </c>
      <c r="H94" s="665"/>
      <c r="I94" s="665">
        <f t="shared" ref="I94:I119" si="29">I39+I66</f>
        <v>0</v>
      </c>
      <c r="K94" s="667">
        <v>0.16</v>
      </c>
      <c r="L94" s="667">
        <v>0.8</v>
      </c>
      <c r="M94" s="667"/>
      <c r="O94" s="665">
        <f t="shared" ref="O94:P109" si="30">O39+O66</f>
        <v>0</v>
      </c>
      <c r="P94" s="665">
        <f t="shared" si="30"/>
        <v>0</v>
      </c>
      <c r="Q94" s="665"/>
      <c r="R94" s="665">
        <f t="shared" ref="R94:R119" si="31">R39+R66</f>
        <v>0</v>
      </c>
      <c r="S94" s="665"/>
      <c r="U94" s="665" t="e">
        <f t="shared" ref="U94:V109" si="32">U39+O66</f>
        <v>#DIV/0!</v>
      </c>
      <c r="V94" s="665" t="e">
        <f t="shared" si="32"/>
        <v>#DIV/0!</v>
      </c>
      <c r="W94" s="665" t="e">
        <f>W39+W66</f>
        <v>#DIV/0!</v>
      </c>
      <c r="Y94" s="665"/>
      <c r="Z94" s="669"/>
      <c r="AA94" s="782"/>
      <c r="AB94" s="11"/>
      <c r="AC94" s="671" t="e">
        <f>ROUND(W94+AA94,0)</f>
        <v>#DIV/0!</v>
      </c>
      <c r="AD94" s="672">
        <v>1826</v>
      </c>
      <c r="AE94" s="634"/>
      <c r="AH94" s="871">
        <v>701</v>
      </c>
    </row>
    <row r="95" spans="3:35" x14ac:dyDescent="0.2">
      <c r="C95" s="655">
        <v>2001</v>
      </c>
      <c r="D95" s="655" t="s">
        <v>344</v>
      </c>
      <c r="F95" s="665">
        <f t="shared" ref="F95:G118" si="33">F40+F67</f>
        <v>0</v>
      </c>
      <c r="G95" s="665">
        <f t="shared" si="28"/>
        <v>0</v>
      </c>
      <c r="H95" s="665"/>
      <c r="I95" s="665">
        <f t="shared" si="29"/>
        <v>0</v>
      </c>
      <c r="K95" s="667">
        <v>0.16</v>
      </c>
      <c r="L95" s="667">
        <v>0.8</v>
      </c>
      <c r="M95" s="667"/>
      <c r="O95" s="665">
        <f t="shared" si="30"/>
        <v>0</v>
      </c>
      <c r="P95" s="665">
        <f t="shared" si="30"/>
        <v>0</v>
      </c>
      <c r="Q95" s="665"/>
      <c r="R95" s="665">
        <f t="shared" si="31"/>
        <v>0</v>
      </c>
      <c r="S95" s="665"/>
      <c r="U95" s="665" t="e">
        <f t="shared" si="32"/>
        <v>#DIV/0!</v>
      </c>
      <c r="V95" s="665" t="e">
        <f t="shared" si="32"/>
        <v>#DIV/0!</v>
      </c>
      <c r="W95" s="665" t="e">
        <f>W40+W67</f>
        <v>#DIV/0!</v>
      </c>
      <c r="Y95" s="665"/>
      <c r="Z95" s="669"/>
      <c r="AA95" s="782"/>
      <c r="AB95" s="11"/>
      <c r="AC95" s="671" t="e">
        <f t="shared" ref="AC95:AC113" si="34">ROUND(W95+AA95,0)</f>
        <v>#DIV/0!</v>
      </c>
      <c r="AD95" s="672">
        <v>928</v>
      </c>
      <c r="AE95" s="634"/>
      <c r="AH95" s="872">
        <v>911</v>
      </c>
    </row>
    <row r="96" spans="3:35" x14ac:dyDescent="0.2">
      <c r="C96" s="655">
        <v>2002</v>
      </c>
      <c r="D96" s="655" t="s">
        <v>344</v>
      </c>
      <c r="F96" s="665">
        <f t="shared" si="33"/>
        <v>0</v>
      </c>
      <c r="G96" s="665">
        <f t="shared" si="28"/>
        <v>0</v>
      </c>
      <c r="H96" s="665"/>
      <c r="I96" s="665">
        <f t="shared" si="29"/>
        <v>0</v>
      </c>
      <c r="K96" s="667">
        <v>0.16</v>
      </c>
      <c r="L96" s="667">
        <v>0.8</v>
      </c>
      <c r="M96" s="667"/>
      <c r="O96" s="665">
        <f t="shared" si="30"/>
        <v>0</v>
      </c>
      <c r="P96" s="665">
        <f t="shared" si="30"/>
        <v>0</v>
      </c>
      <c r="Q96" s="665"/>
      <c r="R96" s="665">
        <f t="shared" si="31"/>
        <v>0</v>
      </c>
      <c r="S96" s="665"/>
      <c r="U96" s="665" t="e">
        <f t="shared" si="32"/>
        <v>#DIV/0!</v>
      </c>
      <c r="V96" s="665" t="e">
        <f t="shared" si="32"/>
        <v>#DIV/0!</v>
      </c>
      <c r="W96" s="665" t="e">
        <f>W41+R68</f>
        <v>#DIV/0!</v>
      </c>
      <c r="Y96" s="665">
        <f t="shared" ref="Y96:Y119" si="35">Y41+Y68</f>
        <v>0</v>
      </c>
      <c r="Z96" s="669" t="e">
        <f t="shared" ref="Z96:Z119" si="36">Z68</f>
        <v>#DIV/0!</v>
      </c>
      <c r="AA96" s="782">
        <f t="shared" ref="AA96:AA119" si="37">AA41+AA68</f>
        <v>0</v>
      </c>
      <c r="AB96" s="11"/>
      <c r="AC96" s="671" t="e">
        <f t="shared" si="34"/>
        <v>#DIV/0!</v>
      </c>
      <c r="AD96" s="672">
        <v>5980</v>
      </c>
      <c r="AE96" s="634" t="s">
        <v>544</v>
      </c>
      <c r="AH96" s="872">
        <v>3170</v>
      </c>
    </row>
    <row r="97" spans="3:34" x14ac:dyDescent="0.2">
      <c r="C97" s="655">
        <v>2003</v>
      </c>
      <c r="D97" s="655" t="s">
        <v>344</v>
      </c>
      <c r="F97" s="665">
        <f t="shared" si="33"/>
        <v>0</v>
      </c>
      <c r="G97" s="665">
        <f t="shared" si="28"/>
        <v>0</v>
      </c>
      <c r="H97" s="665"/>
      <c r="I97" s="665">
        <f t="shared" si="29"/>
        <v>0</v>
      </c>
      <c r="K97" s="667">
        <v>0.16</v>
      </c>
      <c r="L97" s="667">
        <v>0.8</v>
      </c>
      <c r="M97" s="667"/>
      <c r="O97" s="665">
        <f t="shared" si="30"/>
        <v>0</v>
      </c>
      <c r="P97" s="665">
        <f t="shared" si="30"/>
        <v>0</v>
      </c>
      <c r="Q97" s="665"/>
      <c r="R97" s="665">
        <f t="shared" si="31"/>
        <v>0</v>
      </c>
      <c r="S97" s="665"/>
      <c r="U97" s="665" t="e">
        <f t="shared" si="32"/>
        <v>#DIV/0!</v>
      </c>
      <c r="V97" s="665" t="e">
        <f t="shared" si="32"/>
        <v>#DIV/0!</v>
      </c>
      <c r="W97" s="665" t="e">
        <f t="shared" ref="W97:W119" si="38">W42+W69</f>
        <v>#DIV/0!</v>
      </c>
      <c r="Y97" s="665">
        <f t="shared" si="35"/>
        <v>0</v>
      </c>
      <c r="Z97" s="669" t="e">
        <f t="shared" si="36"/>
        <v>#DIV/0!</v>
      </c>
      <c r="AA97" s="782">
        <f t="shared" si="37"/>
        <v>0</v>
      </c>
      <c r="AB97" s="11"/>
      <c r="AC97" s="671" t="e">
        <f t="shared" si="34"/>
        <v>#DIV/0!</v>
      </c>
      <c r="AD97" s="672">
        <v>6076</v>
      </c>
      <c r="AE97" s="634" t="s">
        <v>544</v>
      </c>
      <c r="AH97" s="872">
        <v>4091</v>
      </c>
    </row>
    <row r="98" spans="3:34" x14ac:dyDescent="0.2">
      <c r="C98" s="655">
        <v>2004</v>
      </c>
      <c r="D98" s="655" t="s">
        <v>344</v>
      </c>
      <c r="F98" s="665">
        <f t="shared" si="33"/>
        <v>0</v>
      </c>
      <c r="G98" s="665">
        <f t="shared" si="28"/>
        <v>0</v>
      </c>
      <c r="H98" s="665"/>
      <c r="I98" s="665">
        <f t="shared" si="29"/>
        <v>0</v>
      </c>
      <c r="K98" s="667">
        <v>0.16</v>
      </c>
      <c r="L98" s="667">
        <v>0.8</v>
      </c>
      <c r="M98" s="667"/>
      <c r="O98" s="665">
        <f t="shared" si="30"/>
        <v>0</v>
      </c>
      <c r="P98" s="665">
        <f t="shared" si="30"/>
        <v>0</v>
      </c>
      <c r="Q98" s="665"/>
      <c r="R98" s="665">
        <f t="shared" si="31"/>
        <v>0</v>
      </c>
      <c r="S98" s="665"/>
      <c r="U98" s="665" t="e">
        <f t="shared" si="32"/>
        <v>#DIV/0!</v>
      </c>
      <c r="V98" s="665" t="e">
        <f t="shared" si="32"/>
        <v>#DIV/0!</v>
      </c>
      <c r="W98" s="665" t="e">
        <f t="shared" si="38"/>
        <v>#DIV/0!</v>
      </c>
      <c r="Y98" s="665">
        <f t="shared" si="35"/>
        <v>0</v>
      </c>
      <c r="Z98" s="669" t="e">
        <f t="shared" si="36"/>
        <v>#DIV/0!</v>
      </c>
      <c r="AA98" s="782">
        <f t="shared" si="37"/>
        <v>0</v>
      </c>
      <c r="AB98" s="11"/>
      <c r="AC98" s="671" t="e">
        <f t="shared" si="34"/>
        <v>#DIV/0!</v>
      </c>
      <c r="AD98" s="672">
        <v>6689</v>
      </c>
      <c r="AE98" s="634"/>
      <c r="AH98" s="873">
        <v>3011</v>
      </c>
    </row>
    <row r="99" spans="3:34" x14ac:dyDescent="0.2">
      <c r="C99" s="655">
        <v>2005</v>
      </c>
      <c r="D99" s="655" t="s">
        <v>344</v>
      </c>
      <c r="F99" s="665">
        <f t="shared" si="33"/>
        <v>0</v>
      </c>
      <c r="G99" s="665">
        <f t="shared" si="28"/>
        <v>0</v>
      </c>
      <c r="H99" s="665"/>
      <c r="I99" s="665">
        <f t="shared" si="29"/>
        <v>0</v>
      </c>
      <c r="K99" s="667">
        <v>0.16</v>
      </c>
      <c r="L99" s="667">
        <v>0.8</v>
      </c>
      <c r="M99" s="667"/>
      <c r="O99" s="665">
        <f t="shared" si="30"/>
        <v>0</v>
      </c>
      <c r="P99" s="665">
        <f t="shared" si="30"/>
        <v>0</v>
      </c>
      <c r="Q99" s="665"/>
      <c r="R99" s="665">
        <f t="shared" si="31"/>
        <v>0</v>
      </c>
      <c r="S99" s="665"/>
      <c r="U99" s="665" t="e">
        <f t="shared" si="32"/>
        <v>#DIV/0!</v>
      </c>
      <c r="V99" s="665" t="e">
        <f t="shared" si="32"/>
        <v>#DIV/0!</v>
      </c>
      <c r="W99" s="665" t="e">
        <f t="shared" si="38"/>
        <v>#DIV/0!</v>
      </c>
      <c r="Y99" s="665">
        <f t="shared" si="35"/>
        <v>0</v>
      </c>
      <c r="Z99" s="669" t="e">
        <f t="shared" si="36"/>
        <v>#DIV/0!</v>
      </c>
      <c r="AA99" s="782">
        <f t="shared" si="37"/>
        <v>0</v>
      </c>
      <c r="AB99" s="11"/>
      <c r="AC99" s="671" t="e">
        <f t="shared" si="34"/>
        <v>#DIV/0!</v>
      </c>
      <c r="AD99" s="672">
        <v>3115</v>
      </c>
      <c r="AE99" s="634"/>
    </row>
    <row r="100" spans="3:34" x14ac:dyDescent="0.2">
      <c r="C100" s="655">
        <v>2006</v>
      </c>
      <c r="D100" s="655" t="s">
        <v>344</v>
      </c>
      <c r="F100" s="665">
        <f t="shared" si="33"/>
        <v>0</v>
      </c>
      <c r="G100" s="665">
        <f t="shared" si="28"/>
        <v>0</v>
      </c>
      <c r="H100" s="665"/>
      <c r="I100" s="665">
        <f t="shared" si="29"/>
        <v>0</v>
      </c>
      <c r="K100" s="667">
        <v>0.16</v>
      </c>
      <c r="L100" s="667">
        <v>0.8</v>
      </c>
      <c r="M100" s="667"/>
      <c r="O100" s="665">
        <f t="shared" si="30"/>
        <v>0</v>
      </c>
      <c r="P100" s="665">
        <f t="shared" si="30"/>
        <v>0</v>
      </c>
      <c r="Q100" s="665"/>
      <c r="R100" s="665">
        <f t="shared" si="31"/>
        <v>0</v>
      </c>
      <c r="S100" s="665"/>
      <c r="U100" s="665" t="e">
        <f t="shared" si="32"/>
        <v>#DIV/0!</v>
      </c>
      <c r="V100" s="665" t="e">
        <f t="shared" si="32"/>
        <v>#DIV/0!</v>
      </c>
      <c r="W100" s="665" t="e">
        <f t="shared" si="38"/>
        <v>#DIV/0!</v>
      </c>
      <c r="Y100" s="665">
        <f t="shared" si="35"/>
        <v>0</v>
      </c>
      <c r="Z100" s="669" t="e">
        <f t="shared" si="36"/>
        <v>#DIV/0!</v>
      </c>
      <c r="AA100" s="782">
        <f t="shared" si="37"/>
        <v>0</v>
      </c>
      <c r="AB100" s="11"/>
      <c r="AC100" s="671" t="e">
        <f t="shared" si="34"/>
        <v>#DIV/0!</v>
      </c>
      <c r="AD100" s="672">
        <v>4513</v>
      </c>
      <c r="AE100" s="634"/>
    </row>
    <row r="101" spans="3:34" x14ac:dyDescent="0.2">
      <c r="C101" s="655">
        <v>2007</v>
      </c>
      <c r="D101" s="655" t="s">
        <v>344</v>
      </c>
      <c r="F101" s="665">
        <f t="shared" si="33"/>
        <v>0</v>
      </c>
      <c r="G101" s="665">
        <f t="shared" si="28"/>
        <v>0</v>
      </c>
      <c r="H101" s="665"/>
      <c r="I101" s="665">
        <f t="shared" si="29"/>
        <v>0</v>
      </c>
      <c r="K101" s="667">
        <v>0.16</v>
      </c>
      <c r="L101" s="667">
        <v>0.8</v>
      </c>
      <c r="M101" s="667"/>
      <c r="O101" s="665">
        <f t="shared" si="30"/>
        <v>0</v>
      </c>
      <c r="P101" s="665">
        <f t="shared" si="30"/>
        <v>0</v>
      </c>
      <c r="Q101" s="665"/>
      <c r="R101" s="665">
        <f t="shared" si="31"/>
        <v>0</v>
      </c>
      <c r="S101" s="665"/>
      <c r="U101" s="665" t="e">
        <f t="shared" si="32"/>
        <v>#DIV/0!</v>
      </c>
      <c r="V101" s="665" t="e">
        <f t="shared" si="32"/>
        <v>#DIV/0!</v>
      </c>
      <c r="W101" s="665" t="e">
        <f t="shared" si="38"/>
        <v>#DIV/0!</v>
      </c>
      <c r="Y101" s="665">
        <f t="shared" si="35"/>
        <v>0</v>
      </c>
      <c r="Z101" s="669" t="e">
        <f t="shared" si="36"/>
        <v>#DIV/0!</v>
      </c>
      <c r="AA101" s="782">
        <f t="shared" si="37"/>
        <v>0</v>
      </c>
      <c r="AB101" s="11"/>
      <c r="AC101" s="671" t="e">
        <f t="shared" si="34"/>
        <v>#DIV/0!</v>
      </c>
      <c r="AD101" s="672">
        <v>4031</v>
      </c>
      <c r="AE101" s="634"/>
    </row>
    <row r="102" spans="3:34" x14ac:dyDescent="0.2">
      <c r="C102" s="655">
        <v>2008</v>
      </c>
      <c r="D102" s="655" t="s">
        <v>344</v>
      </c>
      <c r="F102" s="665">
        <f t="shared" si="33"/>
        <v>0</v>
      </c>
      <c r="G102" s="665">
        <f t="shared" si="28"/>
        <v>0</v>
      </c>
      <c r="H102" s="665"/>
      <c r="I102" s="665">
        <f t="shared" si="29"/>
        <v>0</v>
      </c>
      <c r="K102" s="667">
        <v>0.16</v>
      </c>
      <c r="L102" s="667">
        <v>0.8</v>
      </c>
      <c r="M102" s="667"/>
      <c r="O102" s="665">
        <f t="shared" si="30"/>
        <v>0</v>
      </c>
      <c r="P102" s="665">
        <f t="shared" si="30"/>
        <v>0</v>
      </c>
      <c r="Q102" s="665"/>
      <c r="R102" s="665">
        <f t="shared" si="31"/>
        <v>0</v>
      </c>
      <c r="S102" s="665"/>
      <c r="U102" s="665">
        <f t="shared" si="32"/>
        <v>0</v>
      </c>
      <c r="V102" s="665">
        <f t="shared" si="32"/>
        <v>0</v>
      </c>
      <c r="W102" s="665">
        <f t="shared" si="38"/>
        <v>0</v>
      </c>
      <c r="Y102" s="665">
        <f t="shared" si="35"/>
        <v>0</v>
      </c>
      <c r="Z102" s="669" t="e">
        <f t="shared" si="36"/>
        <v>#DIV/0!</v>
      </c>
      <c r="AA102" s="782">
        <f t="shared" si="37"/>
        <v>0</v>
      </c>
      <c r="AB102" s="11"/>
      <c r="AC102" s="671">
        <f t="shared" si="34"/>
        <v>0</v>
      </c>
      <c r="AD102" s="672">
        <v>385</v>
      </c>
      <c r="AE102" s="634"/>
    </row>
    <row r="103" spans="3:34" x14ac:dyDescent="0.2">
      <c r="C103" s="655">
        <v>2009</v>
      </c>
      <c r="D103" s="655" t="s">
        <v>344</v>
      </c>
      <c r="F103" s="665">
        <f t="shared" si="33"/>
        <v>0</v>
      </c>
      <c r="G103" s="665">
        <f t="shared" si="28"/>
        <v>0</v>
      </c>
      <c r="H103" s="665"/>
      <c r="I103" s="665">
        <f t="shared" si="29"/>
        <v>0</v>
      </c>
      <c r="K103" s="667">
        <v>0.16</v>
      </c>
      <c r="L103" s="667">
        <v>0.8</v>
      </c>
      <c r="M103" s="667"/>
      <c r="O103" s="665">
        <f t="shared" si="30"/>
        <v>0</v>
      </c>
      <c r="P103" s="665">
        <f t="shared" si="30"/>
        <v>0</v>
      </c>
      <c r="Q103" s="665"/>
      <c r="R103" s="665">
        <f t="shared" si="31"/>
        <v>0</v>
      </c>
      <c r="S103" s="665"/>
      <c r="U103" s="665">
        <f t="shared" si="32"/>
        <v>0</v>
      </c>
      <c r="V103" s="665">
        <f t="shared" si="32"/>
        <v>0</v>
      </c>
      <c r="W103" s="665">
        <f t="shared" si="38"/>
        <v>0</v>
      </c>
      <c r="Y103" s="665">
        <f t="shared" si="35"/>
        <v>0</v>
      </c>
      <c r="Z103" s="669" t="e">
        <f t="shared" si="36"/>
        <v>#DIV/0!</v>
      </c>
      <c r="AA103" s="782">
        <f t="shared" si="37"/>
        <v>0</v>
      </c>
      <c r="AB103" s="11"/>
      <c r="AC103" s="671">
        <f t="shared" si="34"/>
        <v>0</v>
      </c>
      <c r="AD103" s="672">
        <v>1123</v>
      </c>
      <c r="AE103" s="634"/>
    </row>
    <row r="104" spans="3:34" x14ac:dyDescent="0.2">
      <c r="C104" s="655">
        <v>2010</v>
      </c>
      <c r="D104" s="655" t="s">
        <v>344</v>
      </c>
      <c r="F104" s="665">
        <f t="shared" si="33"/>
        <v>0</v>
      </c>
      <c r="G104" s="665">
        <f t="shared" si="28"/>
        <v>0</v>
      </c>
      <c r="H104" s="665"/>
      <c r="I104" s="665">
        <f t="shared" si="29"/>
        <v>0</v>
      </c>
      <c r="K104" s="667">
        <v>0.16</v>
      </c>
      <c r="L104" s="667">
        <v>0.8</v>
      </c>
      <c r="M104" s="667"/>
      <c r="O104" s="665">
        <f t="shared" si="30"/>
        <v>0</v>
      </c>
      <c r="P104" s="665">
        <f t="shared" si="30"/>
        <v>0</v>
      </c>
      <c r="Q104" s="665"/>
      <c r="R104" s="665">
        <f t="shared" si="31"/>
        <v>0</v>
      </c>
      <c r="S104" s="665"/>
      <c r="U104" s="665">
        <f t="shared" si="32"/>
        <v>0</v>
      </c>
      <c r="V104" s="665">
        <f t="shared" si="32"/>
        <v>0</v>
      </c>
      <c r="W104" s="665">
        <f t="shared" si="38"/>
        <v>0</v>
      </c>
      <c r="Y104" s="665">
        <f t="shared" si="35"/>
        <v>0</v>
      </c>
      <c r="Z104" s="669" t="e">
        <f t="shared" si="36"/>
        <v>#DIV/0!</v>
      </c>
      <c r="AA104" s="782">
        <f t="shared" si="37"/>
        <v>0</v>
      </c>
      <c r="AB104" s="11"/>
      <c r="AC104" s="671">
        <f t="shared" si="34"/>
        <v>0</v>
      </c>
      <c r="AD104" s="672">
        <v>822</v>
      </c>
      <c r="AE104" s="634"/>
    </row>
    <row r="105" spans="3:34" x14ac:dyDescent="0.2">
      <c r="C105" s="655">
        <v>2011</v>
      </c>
      <c r="D105" s="655" t="s">
        <v>344</v>
      </c>
      <c r="F105" s="665">
        <f t="shared" si="33"/>
        <v>0</v>
      </c>
      <c r="G105" s="665">
        <f t="shared" si="28"/>
        <v>0</v>
      </c>
      <c r="H105" s="665"/>
      <c r="I105" s="665">
        <f t="shared" si="29"/>
        <v>0</v>
      </c>
      <c r="K105" s="667">
        <v>0.16</v>
      </c>
      <c r="L105" s="667">
        <v>0.8</v>
      </c>
      <c r="M105" s="667"/>
      <c r="O105" s="665">
        <f t="shared" si="30"/>
        <v>0</v>
      </c>
      <c r="P105" s="665">
        <f t="shared" si="30"/>
        <v>0</v>
      </c>
      <c r="Q105" s="665"/>
      <c r="R105" s="665">
        <f t="shared" si="31"/>
        <v>0</v>
      </c>
      <c r="S105" s="665"/>
      <c r="U105" s="665">
        <f t="shared" si="32"/>
        <v>0</v>
      </c>
      <c r="V105" s="665">
        <f t="shared" si="32"/>
        <v>0</v>
      </c>
      <c r="W105" s="665">
        <f t="shared" si="38"/>
        <v>0</v>
      </c>
      <c r="Y105" s="665">
        <f t="shared" si="35"/>
        <v>0</v>
      </c>
      <c r="Z105" s="669" t="e">
        <f t="shared" si="36"/>
        <v>#DIV/0!</v>
      </c>
      <c r="AA105" s="782">
        <f t="shared" si="37"/>
        <v>0</v>
      </c>
      <c r="AB105" s="11"/>
      <c r="AC105" s="671">
        <f t="shared" si="34"/>
        <v>0</v>
      </c>
      <c r="AD105" s="672">
        <v>1204</v>
      </c>
      <c r="AE105" s="634"/>
    </row>
    <row r="106" spans="3:34" x14ac:dyDescent="0.2">
      <c r="C106" s="655">
        <v>2012</v>
      </c>
      <c r="D106" s="655" t="s">
        <v>344</v>
      </c>
      <c r="F106" s="665">
        <f t="shared" si="33"/>
        <v>0</v>
      </c>
      <c r="G106" s="665">
        <f t="shared" si="28"/>
        <v>0</v>
      </c>
      <c r="H106" s="665"/>
      <c r="I106" s="665">
        <f t="shared" si="29"/>
        <v>0</v>
      </c>
      <c r="K106" s="667">
        <v>0.16</v>
      </c>
      <c r="L106" s="667">
        <v>0.8</v>
      </c>
      <c r="M106" s="667"/>
      <c r="O106" s="665">
        <f t="shared" si="30"/>
        <v>0</v>
      </c>
      <c r="P106" s="665">
        <f t="shared" si="30"/>
        <v>0</v>
      </c>
      <c r="Q106" s="665"/>
      <c r="R106" s="665">
        <f t="shared" si="31"/>
        <v>0</v>
      </c>
      <c r="S106" s="665"/>
      <c r="U106" s="665">
        <f t="shared" si="32"/>
        <v>0</v>
      </c>
      <c r="V106" s="665">
        <f t="shared" si="32"/>
        <v>0</v>
      </c>
      <c r="W106" s="665">
        <f t="shared" si="38"/>
        <v>0</v>
      </c>
      <c r="Y106" s="665">
        <f t="shared" si="35"/>
        <v>0</v>
      </c>
      <c r="Z106" s="669" t="e">
        <f t="shared" si="36"/>
        <v>#DIV/0!</v>
      </c>
      <c r="AA106" s="782">
        <f t="shared" si="37"/>
        <v>0</v>
      </c>
      <c r="AB106" s="11"/>
      <c r="AC106" s="671">
        <f t="shared" si="34"/>
        <v>0</v>
      </c>
      <c r="AD106" s="672"/>
      <c r="AE106" s="634"/>
    </row>
    <row r="107" spans="3:34" x14ac:dyDescent="0.2">
      <c r="C107" s="655">
        <v>2013</v>
      </c>
      <c r="D107" s="655" t="s">
        <v>344</v>
      </c>
      <c r="F107" s="665">
        <f t="shared" si="33"/>
        <v>0</v>
      </c>
      <c r="G107" s="665">
        <f t="shared" si="28"/>
        <v>0</v>
      </c>
      <c r="H107" s="665"/>
      <c r="I107" s="665">
        <f t="shared" si="29"/>
        <v>0</v>
      </c>
      <c r="K107" s="667">
        <v>0.16</v>
      </c>
      <c r="L107" s="667">
        <v>0.8</v>
      </c>
      <c r="M107" s="667"/>
      <c r="O107" s="665">
        <f t="shared" si="30"/>
        <v>0</v>
      </c>
      <c r="P107" s="665">
        <f t="shared" si="30"/>
        <v>0</v>
      </c>
      <c r="Q107" s="665"/>
      <c r="R107" s="665">
        <f t="shared" si="31"/>
        <v>0</v>
      </c>
      <c r="S107" s="665"/>
      <c r="U107" s="665">
        <f t="shared" si="32"/>
        <v>0</v>
      </c>
      <c r="V107" s="665">
        <f t="shared" si="32"/>
        <v>0</v>
      </c>
      <c r="W107" s="665">
        <f t="shared" si="38"/>
        <v>0</v>
      </c>
      <c r="Y107" s="665">
        <f t="shared" si="35"/>
        <v>0</v>
      </c>
      <c r="Z107" s="669" t="e">
        <f t="shared" si="36"/>
        <v>#DIV/0!</v>
      </c>
      <c r="AA107" s="782">
        <f t="shared" si="37"/>
        <v>0</v>
      </c>
      <c r="AB107" s="11"/>
      <c r="AC107" s="671">
        <f t="shared" si="34"/>
        <v>0</v>
      </c>
      <c r="AD107" s="672"/>
      <c r="AE107" s="634"/>
    </row>
    <row r="108" spans="3:34" x14ac:dyDescent="0.2">
      <c r="C108" s="655">
        <v>2014</v>
      </c>
      <c r="D108" s="655" t="s">
        <v>344</v>
      </c>
      <c r="F108" s="665">
        <f t="shared" si="33"/>
        <v>0</v>
      </c>
      <c r="G108" s="665">
        <f t="shared" si="28"/>
        <v>0</v>
      </c>
      <c r="H108" s="665"/>
      <c r="I108" s="665">
        <f t="shared" si="29"/>
        <v>0</v>
      </c>
      <c r="K108" s="667">
        <v>0.16</v>
      </c>
      <c r="L108" s="667">
        <v>0.8</v>
      </c>
      <c r="M108" s="667"/>
      <c r="O108" s="665">
        <f t="shared" si="30"/>
        <v>0</v>
      </c>
      <c r="P108" s="665">
        <f t="shared" si="30"/>
        <v>0</v>
      </c>
      <c r="Q108" s="665"/>
      <c r="R108" s="665">
        <f t="shared" si="31"/>
        <v>0</v>
      </c>
      <c r="S108" s="665"/>
      <c r="U108" s="665">
        <f t="shared" si="32"/>
        <v>0</v>
      </c>
      <c r="V108" s="665">
        <f t="shared" si="32"/>
        <v>0</v>
      </c>
      <c r="W108" s="665">
        <f t="shared" si="38"/>
        <v>0</v>
      </c>
      <c r="Y108" s="665">
        <f t="shared" si="35"/>
        <v>0</v>
      </c>
      <c r="Z108" s="669" t="e">
        <f t="shared" si="36"/>
        <v>#DIV/0!</v>
      </c>
      <c r="AA108" s="782">
        <f t="shared" si="37"/>
        <v>0</v>
      </c>
      <c r="AB108" s="11"/>
      <c r="AC108" s="671">
        <f t="shared" si="34"/>
        <v>0</v>
      </c>
      <c r="AD108" s="672"/>
      <c r="AE108" s="634"/>
    </row>
    <row r="109" spans="3:34" x14ac:dyDescent="0.2">
      <c r="C109" s="655">
        <v>2015</v>
      </c>
      <c r="D109" s="655" t="s">
        <v>344</v>
      </c>
      <c r="F109" s="665">
        <f t="shared" si="33"/>
        <v>0</v>
      </c>
      <c r="G109" s="665">
        <f t="shared" si="28"/>
        <v>0</v>
      </c>
      <c r="H109" s="665"/>
      <c r="I109" s="665">
        <f t="shared" si="29"/>
        <v>0</v>
      </c>
      <c r="K109" s="667">
        <v>0.16</v>
      </c>
      <c r="L109" s="667">
        <v>0.8</v>
      </c>
      <c r="M109" s="667"/>
      <c r="O109" s="665">
        <f t="shared" si="30"/>
        <v>0</v>
      </c>
      <c r="P109" s="665">
        <f t="shared" si="30"/>
        <v>0</v>
      </c>
      <c r="Q109" s="665"/>
      <c r="R109" s="665">
        <f t="shared" si="31"/>
        <v>0</v>
      </c>
      <c r="S109" s="665"/>
      <c r="U109" s="665">
        <f t="shared" si="32"/>
        <v>0</v>
      </c>
      <c r="V109" s="665">
        <f t="shared" si="32"/>
        <v>0</v>
      </c>
      <c r="W109" s="665">
        <f t="shared" si="38"/>
        <v>0</v>
      </c>
      <c r="Y109" s="665">
        <f t="shared" si="35"/>
        <v>0</v>
      </c>
      <c r="Z109" s="669" t="e">
        <f t="shared" si="36"/>
        <v>#DIV/0!</v>
      </c>
      <c r="AA109" s="782">
        <f t="shared" si="37"/>
        <v>0</v>
      </c>
      <c r="AB109" s="11"/>
      <c r="AC109" s="671">
        <f t="shared" si="34"/>
        <v>0</v>
      </c>
      <c r="AD109" s="672"/>
      <c r="AE109" s="634"/>
    </row>
    <row r="110" spans="3:34" x14ac:dyDescent="0.2">
      <c r="C110" s="655">
        <v>2016</v>
      </c>
      <c r="D110" s="655" t="s">
        <v>344</v>
      </c>
      <c r="F110" s="665">
        <f t="shared" si="33"/>
        <v>0</v>
      </c>
      <c r="G110" s="665">
        <f t="shared" si="28"/>
        <v>0</v>
      </c>
      <c r="H110" s="665"/>
      <c r="I110" s="665">
        <f t="shared" si="29"/>
        <v>0</v>
      </c>
      <c r="K110" s="667">
        <v>0.16</v>
      </c>
      <c r="L110" s="667">
        <v>0.8</v>
      </c>
      <c r="M110" s="667"/>
      <c r="O110" s="665">
        <f t="shared" ref="O110:P119" si="39">O55+O82</f>
        <v>0</v>
      </c>
      <c r="P110" s="665">
        <f t="shared" si="39"/>
        <v>0</v>
      </c>
      <c r="Q110" s="665"/>
      <c r="R110" s="665">
        <f t="shared" si="31"/>
        <v>0</v>
      </c>
      <c r="S110" s="665"/>
      <c r="U110" s="665">
        <f t="shared" ref="U110:V119" si="40">U55+O82</f>
        <v>0</v>
      </c>
      <c r="V110" s="665">
        <f t="shared" si="40"/>
        <v>0</v>
      </c>
      <c r="W110" s="665">
        <f t="shared" si="38"/>
        <v>0</v>
      </c>
      <c r="Y110" s="665">
        <f t="shared" si="35"/>
        <v>0</v>
      </c>
      <c r="Z110" s="669" t="e">
        <f t="shared" si="36"/>
        <v>#DIV/0!</v>
      </c>
      <c r="AA110" s="782">
        <f t="shared" si="37"/>
        <v>0</v>
      </c>
      <c r="AB110" s="11"/>
      <c r="AC110" s="671">
        <f t="shared" si="34"/>
        <v>0</v>
      </c>
      <c r="AD110" s="672"/>
      <c r="AE110" s="634"/>
    </row>
    <row r="111" spans="3:34" x14ac:dyDescent="0.2">
      <c r="C111" s="655">
        <v>2017</v>
      </c>
      <c r="D111" s="655" t="s">
        <v>344</v>
      </c>
      <c r="F111" s="665">
        <f t="shared" si="33"/>
        <v>0</v>
      </c>
      <c r="G111" s="665">
        <f t="shared" si="28"/>
        <v>0</v>
      </c>
      <c r="H111" s="665"/>
      <c r="I111" s="665">
        <f t="shared" si="29"/>
        <v>0</v>
      </c>
      <c r="K111" s="667">
        <v>0.16</v>
      </c>
      <c r="L111" s="667">
        <v>0.8</v>
      </c>
      <c r="M111" s="667"/>
      <c r="O111" s="665">
        <f t="shared" si="39"/>
        <v>0</v>
      </c>
      <c r="P111" s="665">
        <f t="shared" si="39"/>
        <v>0</v>
      </c>
      <c r="Q111" s="665"/>
      <c r="R111" s="665">
        <f t="shared" si="31"/>
        <v>0</v>
      </c>
      <c r="S111" s="665"/>
      <c r="U111" s="665">
        <f t="shared" si="40"/>
        <v>0</v>
      </c>
      <c r="V111" s="665">
        <f t="shared" si="40"/>
        <v>0</v>
      </c>
      <c r="W111" s="665">
        <f t="shared" si="38"/>
        <v>0</v>
      </c>
      <c r="Y111" s="665">
        <f t="shared" si="35"/>
        <v>0</v>
      </c>
      <c r="Z111" s="669">
        <f t="shared" si="36"/>
        <v>5.0000000000000001E-4</v>
      </c>
      <c r="AA111" s="782">
        <f t="shared" si="37"/>
        <v>0</v>
      </c>
      <c r="AB111" s="11"/>
      <c r="AC111" s="671">
        <f t="shared" si="34"/>
        <v>0</v>
      </c>
      <c r="AD111" s="672"/>
      <c r="AE111" s="634"/>
    </row>
    <row r="112" spans="3:34" x14ac:dyDescent="0.2">
      <c r="C112" s="655">
        <v>2018</v>
      </c>
      <c r="D112" s="655" t="s">
        <v>344</v>
      </c>
      <c r="F112" s="665">
        <f t="shared" si="33"/>
        <v>0</v>
      </c>
      <c r="G112" s="665">
        <f t="shared" si="28"/>
        <v>0</v>
      </c>
      <c r="H112" s="665"/>
      <c r="I112" s="665">
        <f t="shared" si="29"/>
        <v>0</v>
      </c>
      <c r="K112" s="667">
        <v>0.16</v>
      </c>
      <c r="L112" s="667">
        <v>0.8</v>
      </c>
      <c r="M112" s="667"/>
      <c r="O112" s="665">
        <f t="shared" si="39"/>
        <v>0</v>
      </c>
      <c r="P112" s="665">
        <f t="shared" si="39"/>
        <v>0</v>
      </c>
      <c r="Q112" s="665"/>
      <c r="R112" s="665">
        <f t="shared" si="31"/>
        <v>0</v>
      </c>
      <c r="S112" s="665"/>
      <c r="U112" s="665">
        <f t="shared" si="40"/>
        <v>0</v>
      </c>
      <c r="V112" s="665">
        <f t="shared" si="40"/>
        <v>0</v>
      </c>
      <c r="W112" s="665">
        <f t="shared" si="38"/>
        <v>0</v>
      </c>
      <c r="Y112" s="665">
        <f t="shared" si="35"/>
        <v>0</v>
      </c>
      <c r="Z112" s="669">
        <f t="shared" si="36"/>
        <v>2.0899999999999998E-3</v>
      </c>
      <c r="AA112" s="782">
        <f t="shared" si="37"/>
        <v>0</v>
      </c>
      <c r="AB112" s="11"/>
      <c r="AC112" s="671">
        <f t="shared" si="34"/>
        <v>0</v>
      </c>
      <c r="AD112" s="672"/>
      <c r="AE112" s="634"/>
    </row>
    <row r="113" spans="1:31" x14ac:dyDescent="0.2">
      <c r="C113" s="655">
        <v>2019</v>
      </c>
      <c r="D113" s="655" t="s">
        <v>344</v>
      </c>
      <c r="F113" s="665">
        <f t="shared" si="33"/>
        <v>0</v>
      </c>
      <c r="G113" s="665">
        <f t="shared" si="28"/>
        <v>0</v>
      </c>
      <c r="H113" s="665"/>
      <c r="I113" s="665">
        <f t="shared" si="29"/>
        <v>0</v>
      </c>
      <c r="K113" s="667">
        <v>0.16</v>
      </c>
      <c r="L113" s="667">
        <v>0.8</v>
      </c>
      <c r="M113" s="667"/>
      <c r="O113" s="665">
        <f t="shared" si="39"/>
        <v>0</v>
      </c>
      <c r="P113" s="665">
        <f t="shared" si="39"/>
        <v>0</v>
      </c>
      <c r="Q113" s="665"/>
      <c r="R113" s="665">
        <f t="shared" si="31"/>
        <v>0</v>
      </c>
      <c r="S113" s="665"/>
      <c r="U113" s="665">
        <f t="shared" si="40"/>
        <v>0</v>
      </c>
      <c r="V113" s="665">
        <f t="shared" si="40"/>
        <v>0</v>
      </c>
      <c r="W113" s="665">
        <f t="shared" si="38"/>
        <v>0</v>
      </c>
      <c r="Y113" s="665">
        <f t="shared" si="35"/>
        <v>0</v>
      </c>
      <c r="Z113" s="669">
        <f t="shared" si="36"/>
        <v>0</v>
      </c>
      <c r="AA113" s="782">
        <f t="shared" si="37"/>
        <v>0</v>
      </c>
      <c r="AB113" s="11"/>
      <c r="AC113" s="671">
        <f t="shared" si="34"/>
        <v>0</v>
      </c>
      <c r="AD113" s="672"/>
      <c r="AE113" s="634"/>
    </row>
    <row r="114" spans="1:31" x14ac:dyDescent="0.2">
      <c r="C114" s="655">
        <v>2020</v>
      </c>
      <c r="D114" s="655" t="s">
        <v>344</v>
      </c>
      <c r="F114" s="665">
        <f t="shared" si="33"/>
        <v>0</v>
      </c>
      <c r="G114" s="665">
        <f t="shared" si="28"/>
        <v>0</v>
      </c>
      <c r="H114" s="665"/>
      <c r="I114" s="665">
        <f t="shared" si="29"/>
        <v>0</v>
      </c>
      <c r="K114" s="667">
        <v>0.16</v>
      </c>
      <c r="L114" s="667">
        <v>0.8</v>
      </c>
      <c r="M114" s="667"/>
      <c r="O114" s="665">
        <f t="shared" si="39"/>
        <v>0</v>
      </c>
      <c r="P114" s="665">
        <f t="shared" si="39"/>
        <v>0</v>
      </c>
      <c r="Q114" s="665"/>
      <c r="R114" s="665">
        <f t="shared" si="31"/>
        <v>0</v>
      </c>
      <c r="S114" s="665"/>
      <c r="U114" s="665">
        <f t="shared" si="40"/>
        <v>0</v>
      </c>
      <c r="V114" s="665">
        <f t="shared" si="40"/>
        <v>0</v>
      </c>
      <c r="W114" s="665">
        <f t="shared" si="38"/>
        <v>0</v>
      </c>
      <c r="Y114" s="665">
        <f t="shared" si="35"/>
        <v>0</v>
      </c>
      <c r="Z114" s="669" t="e">
        <f t="shared" si="36"/>
        <v>#DIV/0!</v>
      </c>
      <c r="AA114" s="782">
        <f t="shared" si="37"/>
        <v>0</v>
      </c>
      <c r="AB114" s="11"/>
      <c r="AC114" s="671">
        <f>ROUND(W114+AA114,0)</f>
        <v>0</v>
      </c>
      <c r="AD114" s="672"/>
      <c r="AE114" s="634"/>
    </row>
    <row r="115" spans="1:31" x14ac:dyDescent="0.2">
      <c r="C115" s="655">
        <v>2021</v>
      </c>
      <c r="D115" s="655" t="s">
        <v>344</v>
      </c>
      <c r="F115" s="665">
        <f t="shared" si="33"/>
        <v>0</v>
      </c>
      <c r="G115" s="665">
        <f t="shared" si="28"/>
        <v>0</v>
      </c>
      <c r="H115" s="665"/>
      <c r="I115" s="665">
        <f t="shared" si="29"/>
        <v>0</v>
      </c>
      <c r="K115" s="667">
        <v>0.16</v>
      </c>
      <c r="L115" s="667">
        <v>0.8</v>
      </c>
      <c r="M115" s="667"/>
      <c r="O115" s="665">
        <f t="shared" si="39"/>
        <v>0</v>
      </c>
      <c r="P115" s="665">
        <f t="shared" si="39"/>
        <v>0</v>
      </c>
      <c r="Q115" s="665"/>
      <c r="R115" s="665">
        <f t="shared" si="31"/>
        <v>0</v>
      </c>
      <c r="S115" s="665"/>
      <c r="U115" s="665">
        <f t="shared" si="40"/>
        <v>0</v>
      </c>
      <c r="V115" s="665">
        <f t="shared" si="40"/>
        <v>0</v>
      </c>
      <c r="W115" s="665">
        <f t="shared" si="38"/>
        <v>0</v>
      </c>
      <c r="Y115" s="665">
        <f t="shared" si="35"/>
        <v>0</v>
      </c>
      <c r="Z115" s="669" t="e">
        <f t="shared" si="36"/>
        <v>#DIV/0!</v>
      </c>
      <c r="AA115" s="782">
        <f t="shared" si="37"/>
        <v>0</v>
      </c>
      <c r="AB115" s="11"/>
      <c r="AC115" s="671">
        <f>ROUND(W115+AA115,0)</f>
        <v>0</v>
      </c>
      <c r="AD115" s="672"/>
      <c r="AE115" s="634"/>
    </row>
    <row r="116" spans="1:31" x14ac:dyDescent="0.2">
      <c r="C116" s="655">
        <v>2022</v>
      </c>
      <c r="D116" s="655" t="s">
        <v>344</v>
      </c>
      <c r="F116" s="665">
        <f t="shared" si="33"/>
        <v>0</v>
      </c>
      <c r="G116" s="665">
        <f t="shared" si="28"/>
        <v>0</v>
      </c>
      <c r="H116" s="665"/>
      <c r="I116" s="665">
        <f t="shared" si="29"/>
        <v>0</v>
      </c>
      <c r="K116" s="667">
        <v>0.16</v>
      </c>
      <c r="L116" s="667">
        <v>0.8</v>
      </c>
      <c r="M116" s="667"/>
      <c r="O116" s="665">
        <f t="shared" si="39"/>
        <v>0</v>
      </c>
      <c r="P116" s="665">
        <f t="shared" si="39"/>
        <v>0</v>
      </c>
      <c r="Q116" s="665"/>
      <c r="R116" s="665">
        <f t="shared" si="31"/>
        <v>0</v>
      </c>
      <c r="S116" s="665"/>
      <c r="U116" s="665">
        <f t="shared" si="40"/>
        <v>0</v>
      </c>
      <c r="V116" s="665">
        <f t="shared" si="40"/>
        <v>0</v>
      </c>
      <c r="W116" s="665">
        <f t="shared" si="38"/>
        <v>0</v>
      </c>
      <c r="Y116" s="665">
        <f t="shared" si="35"/>
        <v>0</v>
      </c>
      <c r="Z116" s="669" t="e">
        <f t="shared" si="36"/>
        <v>#DIV/0!</v>
      </c>
      <c r="AA116" s="782">
        <f t="shared" si="37"/>
        <v>0</v>
      </c>
      <c r="AB116" s="11"/>
      <c r="AC116" s="671">
        <f>ROUND(W116+AA116,0)</f>
        <v>0</v>
      </c>
      <c r="AD116" s="672"/>
      <c r="AE116" s="634"/>
    </row>
    <row r="117" spans="1:31" x14ac:dyDescent="0.2">
      <c r="C117" s="655">
        <v>2023</v>
      </c>
      <c r="D117" s="655" t="s">
        <v>344</v>
      </c>
      <c r="F117" s="665">
        <f t="shared" si="33"/>
        <v>0</v>
      </c>
      <c r="G117" s="665">
        <f t="shared" si="28"/>
        <v>0</v>
      </c>
      <c r="H117" s="665"/>
      <c r="I117" s="665">
        <f t="shared" si="29"/>
        <v>0</v>
      </c>
      <c r="K117" s="667">
        <v>0.16</v>
      </c>
      <c r="L117" s="667">
        <v>0.8</v>
      </c>
      <c r="M117" s="667"/>
      <c r="O117" s="665">
        <f t="shared" si="39"/>
        <v>0</v>
      </c>
      <c r="P117" s="665">
        <f t="shared" si="39"/>
        <v>0</v>
      </c>
      <c r="Q117" s="665"/>
      <c r="R117" s="665">
        <f t="shared" si="31"/>
        <v>0</v>
      </c>
      <c r="S117" s="665"/>
      <c r="U117" s="665">
        <f t="shared" si="40"/>
        <v>0</v>
      </c>
      <c r="V117" s="665">
        <f t="shared" si="40"/>
        <v>0</v>
      </c>
      <c r="W117" s="665">
        <f t="shared" si="38"/>
        <v>0</v>
      </c>
      <c r="Y117" s="665">
        <f t="shared" si="35"/>
        <v>0</v>
      </c>
      <c r="Z117" s="669" t="e">
        <f t="shared" si="36"/>
        <v>#DIV/0!</v>
      </c>
      <c r="AA117" s="782">
        <f t="shared" si="37"/>
        <v>0</v>
      </c>
      <c r="AB117" s="11"/>
      <c r="AC117" s="671">
        <f>ROUND(W117+AA117,0)</f>
        <v>0</v>
      </c>
      <c r="AD117" s="672"/>
      <c r="AE117" s="634"/>
    </row>
    <row r="118" spans="1:31" x14ac:dyDescent="0.2">
      <c r="C118" s="655">
        <v>2024</v>
      </c>
      <c r="D118" s="655" t="s">
        <v>344</v>
      </c>
      <c r="F118" s="665">
        <f t="shared" si="33"/>
        <v>0</v>
      </c>
      <c r="G118" s="665">
        <f t="shared" si="33"/>
        <v>0</v>
      </c>
      <c r="H118" s="665"/>
      <c r="I118" s="665">
        <f t="shared" si="29"/>
        <v>0</v>
      </c>
      <c r="K118" s="667">
        <v>0.16</v>
      </c>
      <c r="L118" s="667">
        <v>0.8</v>
      </c>
      <c r="M118" s="667"/>
      <c r="O118" s="665">
        <f t="shared" si="39"/>
        <v>0</v>
      </c>
      <c r="P118" s="665">
        <f t="shared" si="39"/>
        <v>0</v>
      </c>
      <c r="Q118" s="665"/>
      <c r="R118" s="665">
        <f t="shared" si="31"/>
        <v>0</v>
      </c>
      <c r="S118" s="665"/>
      <c r="U118" s="665">
        <f t="shared" si="40"/>
        <v>0</v>
      </c>
      <c r="V118" s="665">
        <f t="shared" si="40"/>
        <v>0</v>
      </c>
      <c r="W118" s="665">
        <f t="shared" si="38"/>
        <v>0</v>
      </c>
      <c r="Y118" s="665">
        <f t="shared" si="35"/>
        <v>0</v>
      </c>
      <c r="Z118" s="669">
        <f t="shared" si="36"/>
        <v>1.1685346150887039E-3</v>
      </c>
      <c r="AA118" s="782">
        <f t="shared" si="37"/>
        <v>0</v>
      </c>
      <c r="AB118" s="11"/>
      <c r="AC118" s="671">
        <f t="shared" ref="AC118:AC119" si="41">ROUND(W118+AA118,0)</f>
        <v>0</v>
      </c>
      <c r="AD118" s="672"/>
      <c r="AE118" s="634"/>
    </row>
    <row r="119" spans="1:31" x14ac:dyDescent="0.2">
      <c r="C119" s="655">
        <f>C91</f>
        <v>2025</v>
      </c>
      <c r="D119" s="655" t="s">
        <v>344</v>
      </c>
      <c r="F119" s="665">
        <f t="shared" ref="F119:G119" si="42">F64+F91</f>
        <v>0</v>
      </c>
      <c r="G119" s="665">
        <f t="shared" si="42"/>
        <v>0</v>
      </c>
      <c r="H119" s="665"/>
      <c r="I119" s="665">
        <f t="shared" si="29"/>
        <v>0</v>
      </c>
      <c r="K119" s="667">
        <v>0.16</v>
      </c>
      <c r="L119" s="667">
        <v>0.8</v>
      </c>
      <c r="M119" s="667"/>
      <c r="O119" s="665">
        <f t="shared" si="39"/>
        <v>0</v>
      </c>
      <c r="P119" s="665">
        <f t="shared" si="39"/>
        <v>0</v>
      </c>
      <c r="Q119" s="665"/>
      <c r="R119" s="665">
        <f t="shared" si="31"/>
        <v>0</v>
      </c>
      <c r="S119" s="665"/>
      <c r="U119" s="665">
        <f t="shared" si="40"/>
        <v>0</v>
      </c>
      <c r="V119" s="665">
        <f t="shared" si="40"/>
        <v>0</v>
      </c>
      <c r="W119" s="665">
        <f t="shared" si="38"/>
        <v>0</v>
      </c>
      <c r="Y119" s="665">
        <f t="shared" si="35"/>
        <v>0</v>
      </c>
      <c r="Z119" s="669" t="e">
        <f t="shared" si="36"/>
        <v>#DIV/0!</v>
      </c>
      <c r="AA119" s="782">
        <f t="shared" si="37"/>
        <v>0</v>
      </c>
      <c r="AB119" s="11"/>
      <c r="AC119" s="671">
        <f t="shared" si="41"/>
        <v>0</v>
      </c>
      <c r="AD119" s="672"/>
      <c r="AE119" s="634"/>
    </row>
    <row r="120" spans="1:31" x14ac:dyDescent="0.2">
      <c r="A120" s="658"/>
      <c r="B120" s="658"/>
      <c r="C120" s="651"/>
      <c r="D120" s="651"/>
      <c r="E120" s="658"/>
      <c r="F120" s="774"/>
      <c r="G120" s="774"/>
      <c r="H120" s="774"/>
      <c r="I120" s="774"/>
      <c r="J120" s="658"/>
      <c r="K120" s="660"/>
      <c r="L120" s="660"/>
      <c r="M120" s="660"/>
      <c r="N120" s="658"/>
      <c r="O120" s="774"/>
      <c r="P120" s="774"/>
      <c r="Q120" s="774"/>
      <c r="R120" s="774"/>
      <c r="S120" s="774"/>
      <c r="T120" s="658"/>
      <c r="U120" s="658"/>
      <c r="V120" s="658"/>
      <c r="W120" s="658"/>
      <c r="X120" s="658"/>
      <c r="Y120" s="774"/>
      <c r="Z120" s="660"/>
      <c r="AA120" s="870"/>
      <c r="AB120" s="777"/>
      <c r="AC120" s="870"/>
      <c r="AE120" s="634"/>
    </row>
    <row r="121" spans="1:31" ht="3" customHeight="1" x14ac:dyDescent="0.2">
      <c r="F121" s="665"/>
      <c r="G121" s="665"/>
      <c r="H121" s="665"/>
      <c r="I121" s="665"/>
      <c r="O121" s="665"/>
      <c r="P121" s="665"/>
      <c r="Q121" s="665"/>
      <c r="R121" s="665"/>
      <c r="S121" s="665"/>
      <c r="Y121" s="665"/>
      <c r="AA121" s="782"/>
      <c r="AB121" s="11"/>
      <c r="AC121" s="782"/>
      <c r="AE121" s="634"/>
    </row>
    <row r="122" spans="1:31" ht="15.75" x14ac:dyDescent="0.2">
      <c r="A122" s="874">
        <v>1</v>
      </c>
      <c r="B122" s="12" t="s">
        <v>545</v>
      </c>
      <c r="G122" s="875"/>
      <c r="H122" s="875"/>
      <c r="I122" s="875"/>
      <c r="J122" s="876"/>
      <c r="K122" s="877"/>
      <c r="L122" s="877"/>
      <c r="M122" s="877"/>
      <c r="N122" s="876"/>
      <c r="O122" s="875"/>
      <c r="P122" s="875"/>
      <c r="Q122" s="875"/>
      <c r="R122" s="875"/>
      <c r="S122" s="875"/>
      <c r="T122" s="876"/>
      <c r="U122" s="876"/>
      <c r="V122" s="876"/>
      <c r="W122" s="876"/>
      <c r="X122" s="876"/>
      <c r="Y122" s="875"/>
      <c r="Z122" s="877"/>
      <c r="AA122" s="875"/>
      <c r="AB122" s="876"/>
      <c r="AC122" s="875"/>
    </row>
    <row r="123" spans="1:31" ht="12.75" customHeight="1" x14ac:dyDescent="0.25">
      <c r="A123" s="878"/>
      <c r="B123" s="879" t="s">
        <v>546</v>
      </c>
      <c r="D123" s="880" t="s">
        <v>547</v>
      </c>
      <c r="G123" s="875"/>
      <c r="H123" s="875"/>
      <c r="I123" s="875"/>
      <c r="J123" s="876"/>
      <c r="K123" s="877"/>
      <c r="L123" s="877"/>
      <c r="M123" s="877"/>
      <c r="N123" s="876"/>
      <c r="O123" s="875"/>
      <c r="P123" s="875"/>
      <c r="Q123" s="875"/>
      <c r="R123" s="875"/>
      <c r="S123" s="875"/>
      <c r="T123" s="876"/>
      <c r="U123" s="876"/>
      <c r="V123" s="876"/>
      <c r="W123" s="876"/>
      <c r="X123" s="876"/>
      <c r="Y123" s="875"/>
      <c r="Z123" s="877"/>
      <c r="AA123" s="875"/>
      <c r="AB123" s="876"/>
      <c r="AC123" s="875"/>
    </row>
    <row r="124" spans="1:31" ht="12.75" customHeight="1" x14ac:dyDescent="0.25">
      <c r="A124" s="878"/>
      <c r="D124" s="876" t="s">
        <v>548</v>
      </c>
      <c r="G124" s="875"/>
      <c r="H124" s="875"/>
      <c r="I124" s="875"/>
      <c r="J124" s="876"/>
      <c r="K124" s="877"/>
      <c r="L124" s="877"/>
      <c r="M124" s="877"/>
      <c r="N124" s="876"/>
      <c r="O124" s="875"/>
      <c r="P124" s="875"/>
      <c r="Q124" s="875"/>
      <c r="R124" s="875"/>
      <c r="S124" s="875"/>
      <c r="T124" s="876"/>
      <c r="U124" s="876"/>
      <c r="V124" s="876"/>
      <c r="W124" s="876"/>
      <c r="X124" s="876"/>
      <c r="Y124" s="875"/>
      <c r="Z124" s="877"/>
      <c r="AA124" s="875"/>
      <c r="AB124" s="876"/>
      <c r="AC124" s="875"/>
    </row>
    <row r="125" spans="1:31" ht="12.75" customHeight="1" x14ac:dyDescent="0.2">
      <c r="B125" s="879" t="s">
        <v>549</v>
      </c>
      <c r="D125" s="880" t="s">
        <v>550</v>
      </c>
      <c r="G125" s="875"/>
      <c r="H125" s="875"/>
      <c r="I125" s="875"/>
      <c r="J125" s="876"/>
      <c r="K125" s="877"/>
      <c r="L125" s="877"/>
      <c r="M125" s="877"/>
      <c r="N125" s="876"/>
      <c r="O125" s="875"/>
      <c r="P125" s="875"/>
      <c r="Q125" s="875"/>
      <c r="R125" s="875"/>
      <c r="S125" s="875"/>
      <c r="T125" s="876"/>
      <c r="U125" s="876"/>
      <c r="V125" s="876"/>
      <c r="W125" s="876"/>
      <c r="X125" s="876"/>
      <c r="Y125" s="875"/>
      <c r="Z125" s="877"/>
      <c r="AA125" s="875"/>
      <c r="AB125" s="876"/>
      <c r="AC125" s="875"/>
    </row>
    <row r="126" spans="1:31" x14ac:dyDescent="0.2">
      <c r="B126" s="881" t="s">
        <v>551</v>
      </c>
      <c r="D126" s="880" t="s">
        <v>552</v>
      </c>
      <c r="G126" s="875"/>
      <c r="H126" s="875"/>
      <c r="I126" s="875"/>
      <c r="J126" s="876"/>
      <c r="K126" s="877"/>
      <c r="L126" s="877"/>
      <c r="M126" s="877"/>
      <c r="N126" s="876"/>
      <c r="O126" s="875"/>
      <c r="P126" s="875"/>
      <c r="Q126" s="875"/>
      <c r="R126" s="875"/>
      <c r="S126" s="875"/>
      <c r="T126" s="876"/>
      <c r="U126" s="876"/>
      <c r="V126" s="876"/>
      <c r="W126" s="876"/>
      <c r="X126" s="876"/>
      <c r="Y126" s="875"/>
      <c r="Z126" s="877"/>
      <c r="AA126" s="875"/>
      <c r="AB126" s="876"/>
      <c r="AC126" s="875"/>
    </row>
    <row r="127" spans="1:31" x14ac:dyDescent="0.2">
      <c r="B127" s="881" t="s">
        <v>553</v>
      </c>
      <c r="D127" s="880" t="s">
        <v>554</v>
      </c>
      <c r="G127" s="875"/>
      <c r="H127" s="875"/>
      <c r="I127" s="875"/>
      <c r="J127" s="876"/>
      <c r="K127" s="877"/>
      <c r="L127" s="877"/>
      <c r="M127" s="877"/>
      <c r="N127" s="876"/>
      <c r="O127" s="875"/>
      <c r="P127" s="875"/>
      <c r="Q127" s="875"/>
      <c r="R127" s="875"/>
      <c r="S127" s="875"/>
      <c r="T127" s="876"/>
      <c r="U127" s="876"/>
      <c r="V127" s="876"/>
      <c r="W127" s="876"/>
      <c r="X127" s="876"/>
      <c r="Y127" s="875"/>
      <c r="Z127" s="877"/>
      <c r="AA127" s="875"/>
      <c r="AB127" s="876"/>
      <c r="AC127" s="875"/>
    </row>
    <row r="128" spans="1:31" x14ac:dyDescent="0.2">
      <c r="B128" s="881" t="s">
        <v>555</v>
      </c>
      <c r="D128" s="880" t="s">
        <v>556</v>
      </c>
      <c r="G128" s="875"/>
      <c r="H128" s="875"/>
      <c r="I128" s="875"/>
      <c r="J128" s="876"/>
      <c r="K128" s="877"/>
      <c r="L128" s="877"/>
      <c r="M128" s="877"/>
      <c r="N128" s="876"/>
      <c r="O128" s="875"/>
      <c r="P128" s="875"/>
      <c r="Q128" s="875"/>
      <c r="R128" s="875"/>
      <c r="S128" s="875"/>
      <c r="T128" s="876"/>
      <c r="U128" s="876"/>
      <c r="V128" s="876"/>
      <c r="W128" s="876"/>
      <c r="X128" s="876"/>
      <c r="Y128" s="875"/>
      <c r="Z128" s="877"/>
      <c r="AA128" s="875"/>
      <c r="AB128" s="876"/>
      <c r="AC128" s="875"/>
    </row>
    <row r="129" spans="1:29" x14ac:dyDescent="0.2">
      <c r="B129" s="881" t="s">
        <v>557</v>
      </c>
      <c r="D129" s="880" t="s">
        <v>556</v>
      </c>
      <c r="G129" s="875"/>
      <c r="H129" s="875"/>
      <c r="I129" s="875"/>
      <c r="J129" s="876"/>
      <c r="K129" s="877"/>
      <c r="L129" s="877"/>
      <c r="M129" s="877"/>
      <c r="N129" s="876"/>
      <c r="O129" s="875"/>
      <c r="P129" s="875"/>
      <c r="Q129" s="875"/>
      <c r="R129" s="875"/>
      <c r="S129" s="875"/>
      <c r="T129" s="876"/>
      <c r="U129" s="876"/>
      <c r="V129" s="876"/>
      <c r="W129" s="876"/>
      <c r="X129" s="876"/>
      <c r="Y129" s="875"/>
      <c r="Z129" s="877"/>
      <c r="AA129" s="875"/>
      <c r="AB129" s="876"/>
      <c r="AC129" s="875"/>
    </row>
    <row r="130" spans="1:29" x14ac:dyDescent="0.2">
      <c r="B130" s="881" t="s">
        <v>558</v>
      </c>
      <c r="D130" s="880" t="s">
        <v>556</v>
      </c>
      <c r="G130" s="875"/>
      <c r="H130" s="875"/>
      <c r="I130" s="875"/>
      <c r="J130" s="876"/>
      <c r="K130" s="877"/>
      <c r="L130" s="877"/>
      <c r="M130" s="877"/>
      <c r="N130" s="876"/>
      <c r="O130" s="875"/>
      <c r="P130" s="875"/>
      <c r="Q130" s="875"/>
      <c r="R130" s="875"/>
      <c r="S130" s="875"/>
      <c r="T130" s="876"/>
      <c r="U130" s="876"/>
      <c r="V130" s="876"/>
      <c r="W130" s="876"/>
      <c r="X130" s="876"/>
      <c r="Y130" s="875"/>
      <c r="Z130" s="877"/>
      <c r="AA130" s="875"/>
      <c r="AB130" s="876"/>
      <c r="AC130" s="875"/>
    </row>
    <row r="131" spans="1:29" x14ac:dyDescent="0.2">
      <c r="B131" s="881" t="s">
        <v>559</v>
      </c>
      <c r="D131" s="880" t="s">
        <v>556</v>
      </c>
      <c r="G131" s="875"/>
      <c r="H131" s="875"/>
      <c r="I131" s="875"/>
      <c r="J131" s="876"/>
      <c r="K131" s="877"/>
      <c r="L131" s="877"/>
      <c r="M131" s="877"/>
      <c r="N131" s="876"/>
      <c r="O131" s="875"/>
      <c r="P131" s="875"/>
      <c r="Q131" s="875"/>
      <c r="R131" s="875"/>
      <c r="S131" s="875"/>
      <c r="T131" s="876"/>
      <c r="U131" s="876"/>
      <c r="V131" s="876"/>
      <c r="W131" s="876"/>
      <c r="X131" s="876"/>
      <c r="Y131" s="875"/>
      <c r="Z131" s="877"/>
      <c r="AA131" s="875"/>
      <c r="AB131" s="876"/>
      <c r="AC131" s="875"/>
    </row>
    <row r="132" spans="1:29" x14ac:dyDescent="0.2">
      <c r="B132" s="881" t="s">
        <v>560</v>
      </c>
      <c r="D132" s="880" t="s">
        <v>561</v>
      </c>
      <c r="G132" s="875"/>
      <c r="H132" s="875"/>
      <c r="I132" s="875"/>
      <c r="J132" s="876"/>
      <c r="K132" s="877"/>
      <c r="L132" s="877"/>
      <c r="M132" s="877"/>
      <c r="N132" s="876"/>
      <c r="O132" s="875"/>
      <c r="P132" s="875"/>
      <c r="Q132" s="875"/>
      <c r="R132" s="875"/>
      <c r="S132" s="875"/>
      <c r="T132" s="876"/>
      <c r="U132" s="876"/>
      <c r="V132" s="876"/>
      <c r="W132" s="876"/>
      <c r="X132" s="876"/>
      <c r="Y132" s="875"/>
      <c r="Z132" s="877"/>
      <c r="AA132" s="875"/>
      <c r="AB132" s="876"/>
      <c r="AC132" s="875"/>
    </row>
    <row r="133" spans="1:29" x14ac:dyDescent="0.2">
      <c r="B133" s="881" t="s">
        <v>562</v>
      </c>
      <c r="D133" s="880" t="s">
        <v>563</v>
      </c>
      <c r="G133" s="875"/>
      <c r="H133" s="875"/>
      <c r="I133" s="875"/>
      <c r="J133" s="876"/>
      <c r="K133" s="877"/>
      <c r="L133" s="877"/>
      <c r="M133" s="877"/>
      <c r="N133" s="876"/>
      <c r="O133" s="875"/>
      <c r="P133" s="875"/>
      <c r="Q133" s="875"/>
      <c r="R133" s="875"/>
      <c r="S133" s="875"/>
      <c r="T133" s="876"/>
      <c r="U133" s="876"/>
      <c r="V133" s="876"/>
      <c r="W133" s="876"/>
      <c r="X133" s="876"/>
      <c r="Y133" s="875"/>
      <c r="Z133" s="877"/>
      <c r="AA133" s="875"/>
      <c r="AB133" s="876"/>
      <c r="AC133" s="875"/>
    </row>
    <row r="134" spans="1:29" x14ac:dyDescent="0.2">
      <c r="B134" s="881" t="s">
        <v>564</v>
      </c>
      <c r="D134" s="880" t="s">
        <v>565</v>
      </c>
      <c r="G134" s="875"/>
      <c r="H134" s="875"/>
      <c r="I134" s="875"/>
      <c r="J134" s="876"/>
      <c r="K134" s="877"/>
      <c r="L134" s="877"/>
      <c r="M134" s="877"/>
      <c r="N134" s="876"/>
      <c r="O134" s="875"/>
      <c r="P134" s="875"/>
      <c r="Q134" s="875"/>
      <c r="R134" s="875"/>
      <c r="S134" s="875"/>
      <c r="T134" s="876"/>
      <c r="U134" s="876"/>
      <c r="V134" s="876"/>
      <c r="W134" s="876"/>
      <c r="X134" s="876"/>
      <c r="Y134" s="875"/>
      <c r="Z134" s="877"/>
      <c r="AA134" s="875"/>
      <c r="AB134" s="876"/>
      <c r="AC134" s="875"/>
    </row>
    <row r="135" spans="1:29" x14ac:dyDescent="0.2">
      <c r="B135" s="881" t="s">
        <v>566</v>
      </c>
      <c r="D135" s="880" t="s">
        <v>567</v>
      </c>
      <c r="G135" s="875"/>
      <c r="H135" s="875"/>
      <c r="I135" s="875"/>
      <c r="J135" s="876"/>
      <c r="K135" s="877"/>
      <c r="L135" s="877"/>
      <c r="M135" s="877"/>
      <c r="N135" s="876"/>
      <c r="O135" s="875"/>
      <c r="P135" s="875"/>
      <c r="Q135" s="875"/>
      <c r="R135" s="875"/>
      <c r="S135" s="875"/>
      <c r="T135" s="876"/>
      <c r="U135" s="876"/>
      <c r="V135" s="876"/>
      <c r="W135" s="876"/>
      <c r="X135" s="876"/>
      <c r="Y135" s="875"/>
      <c r="Z135" s="877"/>
      <c r="AA135" s="875"/>
      <c r="AB135" s="876"/>
      <c r="AC135" s="875"/>
    </row>
    <row r="136" spans="1:29" x14ac:dyDescent="0.2">
      <c r="B136" s="12" t="s">
        <v>568</v>
      </c>
      <c r="G136" s="875"/>
      <c r="H136" s="875"/>
      <c r="I136" s="875"/>
      <c r="J136" s="876"/>
      <c r="K136" s="877"/>
      <c r="L136" s="877"/>
      <c r="M136" s="877"/>
      <c r="N136" s="876"/>
      <c r="O136" s="875"/>
      <c r="P136" s="875"/>
      <c r="Q136" s="875"/>
      <c r="R136" s="875"/>
      <c r="S136" s="875"/>
      <c r="T136" s="876"/>
      <c r="U136" s="876"/>
      <c r="V136" s="876"/>
      <c r="W136" s="876"/>
      <c r="X136" s="876"/>
      <c r="Y136" s="875"/>
      <c r="Z136" s="877"/>
      <c r="AA136" s="875"/>
      <c r="AB136" s="876"/>
      <c r="AC136" s="875"/>
    </row>
    <row r="137" spans="1:29" x14ac:dyDescent="0.2">
      <c r="B137" s="12" t="s">
        <v>569</v>
      </c>
      <c r="G137" s="875"/>
      <c r="H137" s="875"/>
      <c r="I137" s="875"/>
      <c r="J137" s="876"/>
      <c r="K137" s="877"/>
      <c r="L137" s="877"/>
      <c r="M137" s="877"/>
      <c r="N137" s="876"/>
      <c r="O137" s="875"/>
      <c r="P137" s="875"/>
      <c r="Q137" s="875"/>
      <c r="R137" s="875"/>
      <c r="S137" s="875"/>
      <c r="T137" s="876"/>
      <c r="U137" s="876"/>
      <c r="V137" s="876"/>
      <c r="W137" s="876"/>
      <c r="X137" s="876"/>
      <c r="Y137" s="875"/>
      <c r="Z137" s="877"/>
      <c r="AA137" s="875"/>
      <c r="AB137" s="876"/>
      <c r="AC137" s="875"/>
    </row>
    <row r="138" spans="1:29" ht="15.75" x14ac:dyDescent="0.2">
      <c r="A138" s="874">
        <v>2</v>
      </c>
      <c r="B138" s="12" t="s">
        <v>570</v>
      </c>
      <c r="G138" s="875"/>
      <c r="H138" s="875"/>
      <c r="I138" s="875"/>
      <c r="J138" s="876"/>
      <c r="K138" s="877"/>
      <c r="L138" s="877"/>
      <c r="M138" s="877"/>
      <c r="N138" s="876"/>
      <c r="O138" s="875"/>
      <c r="P138" s="875"/>
      <c r="Q138" s="875"/>
      <c r="R138" s="875"/>
      <c r="S138" s="875"/>
      <c r="T138" s="876"/>
      <c r="U138" s="876"/>
      <c r="V138" s="876"/>
      <c r="W138" s="876"/>
      <c r="X138" s="876"/>
      <c r="Y138" s="875"/>
      <c r="Z138" s="877"/>
      <c r="AA138" s="875"/>
      <c r="AB138" s="876"/>
      <c r="AC138" s="875"/>
    </row>
    <row r="139" spans="1:29" ht="12.75" customHeight="1" x14ac:dyDescent="0.2">
      <c r="B139" s="12" t="s">
        <v>571</v>
      </c>
      <c r="G139" s="875"/>
      <c r="H139" s="875"/>
      <c r="I139" s="875"/>
      <c r="J139" s="876"/>
      <c r="K139" s="877"/>
      <c r="L139" s="877"/>
      <c r="M139" s="877"/>
      <c r="N139" s="876"/>
      <c r="O139" s="875"/>
      <c r="P139" s="875"/>
      <c r="Q139" s="875"/>
      <c r="R139" s="875"/>
      <c r="S139" s="875"/>
      <c r="T139" s="876"/>
      <c r="U139" s="876"/>
      <c r="V139" s="876"/>
      <c r="W139" s="876"/>
      <c r="X139" s="876"/>
      <c r="Y139" s="875"/>
      <c r="Z139" s="877"/>
      <c r="AA139" s="875"/>
      <c r="AB139" s="876"/>
      <c r="AC139" s="875"/>
    </row>
    <row r="140" spans="1:29" x14ac:dyDescent="0.2">
      <c r="B140" s="12" t="s">
        <v>572</v>
      </c>
      <c r="G140" s="875"/>
      <c r="H140" s="875"/>
      <c r="I140" s="875"/>
      <c r="J140" s="876"/>
      <c r="K140" s="877"/>
      <c r="L140" s="877"/>
      <c r="M140" s="877"/>
      <c r="N140" s="876"/>
      <c r="O140" s="875"/>
      <c r="P140" s="875"/>
      <c r="Q140" s="875"/>
      <c r="R140" s="875"/>
      <c r="S140" s="875"/>
      <c r="T140" s="876"/>
      <c r="U140" s="876"/>
      <c r="V140" s="876"/>
      <c r="W140" s="876"/>
      <c r="X140" s="876"/>
      <c r="Y140" s="875"/>
      <c r="Z140" s="877"/>
      <c r="AA140" s="875"/>
      <c r="AB140" s="876"/>
      <c r="AC140" s="875"/>
    </row>
    <row r="141" spans="1:29" x14ac:dyDescent="0.2">
      <c r="D141" s="882"/>
      <c r="E141" s="876"/>
      <c r="F141" s="875"/>
      <c r="G141" s="875"/>
      <c r="H141" s="875"/>
      <c r="I141" s="875"/>
      <c r="J141" s="876"/>
      <c r="K141" s="877"/>
      <c r="L141" s="877"/>
      <c r="M141" s="877"/>
      <c r="N141" s="876"/>
      <c r="O141" s="875"/>
      <c r="P141" s="875"/>
      <c r="Q141" s="875"/>
      <c r="R141" s="875"/>
      <c r="S141" s="875"/>
      <c r="T141" s="876"/>
      <c r="U141" s="876"/>
      <c r="V141" s="876"/>
      <c r="W141" s="876"/>
      <c r="X141" s="876"/>
      <c r="Y141" s="875"/>
      <c r="Z141" s="877"/>
      <c r="AA141" s="875"/>
      <c r="AB141" s="876"/>
      <c r="AC141" s="875"/>
    </row>
    <row r="142" spans="1:29" x14ac:dyDescent="0.2">
      <c r="C142" s="655">
        <v>1</v>
      </c>
      <c r="D142" s="655">
        <v>2</v>
      </c>
      <c r="E142" s="655">
        <v>3</v>
      </c>
      <c r="F142" s="655">
        <v>4</v>
      </c>
      <c r="G142" s="655">
        <v>5</v>
      </c>
      <c r="H142" s="655">
        <v>6</v>
      </c>
      <c r="I142" s="655">
        <v>7</v>
      </c>
      <c r="J142" s="655">
        <v>8</v>
      </c>
      <c r="K142" s="655">
        <v>9</v>
      </c>
      <c r="L142" s="655">
        <v>10</v>
      </c>
      <c r="M142" s="655">
        <v>11</v>
      </c>
      <c r="N142" s="655">
        <v>12</v>
      </c>
      <c r="O142" s="655">
        <v>13</v>
      </c>
      <c r="P142" s="655">
        <v>14</v>
      </c>
      <c r="Q142" s="655">
        <v>15</v>
      </c>
      <c r="R142" s="655">
        <v>16</v>
      </c>
      <c r="S142" s="655">
        <v>17</v>
      </c>
      <c r="T142" s="655">
        <v>18</v>
      </c>
      <c r="U142" s="655">
        <v>19</v>
      </c>
      <c r="V142" s="655">
        <v>20</v>
      </c>
      <c r="W142" s="655">
        <v>21</v>
      </c>
      <c r="X142" s="655">
        <v>22</v>
      </c>
      <c r="Y142" s="655">
        <v>23</v>
      </c>
      <c r="Z142" s="655">
        <v>24</v>
      </c>
      <c r="AA142" s="655">
        <v>25</v>
      </c>
      <c r="AB142" s="655">
        <v>26</v>
      </c>
      <c r="AC142" s="655">
        <v>27</v>
      </c>
    </row>
    <row r="147" spans="1:29" x14ac:dyDescent="0.2">
      <c r="A147" s="12" t="s">
        <v>573</v>
      </c>
    </row>
    <row r="149" spans="1:29" x14ac:dyDescent="0.2">
      <c r="C149" s="655">
        <f t="shared" ref="C149:C166" si="43">C39</f>
        <v>2000</v>
      </c>
      <c r="D149" s="655" t="s">
        <v>455</v>
      </c>
      <c r="F149" s="12"/>
      <c r="M149" s="12"/>
      <c r="N149" s="657"/>
      <c r="Q149" s="12"/>
      <c r="R149" s="12"/>
      <c r="S149" s="12"/>
      <c r="W149" s="657"/>
      <c r="X149" s="662"/>
      <c r="Z149" s="12"/>
      <c r="AA149" s="883" t="e">
        <f t="shared" ref="AA149:AA171" si="44">AC39</f>
        <v>#DIV/0!</v>
      </c>
      <c r="AC149" s="657">
        <f>SUM(AC10:AC37)</f>
        <v>226</v>
      </c>
    </row>
    <row r="150" spans="1:29" x14ac:dyDescent="0.2">
      <c r="C150" s="655">
        <f t="shared" si="43"/>
        <v>2001</v>
      </c>
      <c r="D150" s="655" t="s">
        <v>455</v>
      </c>
      <c r="F150" s="12"/>
      <c r="M150" s="12"/>
      <c r="N150" s="657"/>
      <c r="Q150" s="12"/>
      <c r="R150" s="12"/>
      <c r="S150" s="12"/>
      <c r="W150" s="657"/>
      <c r="X150" s="662"/>
      <c r="Z150" s="12"/>
      <c r="AA150" s="883" t="e">
        <f t="shared" si="44"/>
        <v>#DIV/0!</v>
      </c>
      <c r="AC150" s="657" t="e">
        <f>SUM(AC93:AC121)</f>
        <v>#DIV/0!</v>
      </c>
    </row>
    <row r="151" spans="1:29" x14ac:dyDescent="0.2">
      <c r="C151" s="655">
        <f t="shared" si="43"/>
        <v>2002</v>
      </c>
      <c r="D151" s="655" t="s">
        <v>455</v>
      </c>
      <c r="F151" s="12"/>
      <c r="M151" s="12"/>
      <c r="N151" s="657"/>
      <c r="Q151" s="12"/>
      <c r="R151" s="12"/>
      <c r="S151" s="12"/>
      <c r="W151" s="657"/>
      <c r="X151" s="662"/>
      <c r="Z151" s="12"/>
      <c r="AA151" s="883" t="e">
        <f t="shared" si="44"/>
        <v>#DIV/0!</v>
      </c>
    </row>
    <row r="152" spans="1:29" x14ac:dyDescent="0.2">
      <c r="C152" s="655">
        <f t="shared" si="43"/>
        <v>2003</v>
      </c>
      <c r="D152" s="655" t="s">
        <v>455</v>
      </c>
      <c r="F152" s="12"/>
      <c r="M152" s="12"/>
      <c r="N152" s="657"/>
      <c r="Q152" s="12"/>
      <c r="R152" s="12"/>
      <c r="S152" s="12"/>
      <c r="W152" s="657"/>
      <c r="X152" s="662"/>
      <c r="Z152" s="12"/>
      <c r="AA152" s="883" t="e">
        <f t="shared" si="44"/>
        <v>#DIV/0!</v>
      </c>
    </row>
    <row r="153" spans="1:29" x14ac:dyDescent="0.2">
      <c r="C153" s="655">
        <f t="shared" si="43"/>
        <v>2004</v>
      </c>
      <c r="D153" s="655" t="s">
        <v>455</v>
      </c>
      <c r="F153" s="12"/>
      <c r="M153" s="12"/>
      <c r="N153" s="657"/>
      <c r="Q153" s="12"/>
      <c r="R153" s="12"/>
      <c r="S153" s="12"/>
      <c r="W153" s="657"/>
      <c r="X153" s="662"/>
      <c r="Z153" s="12"/>
      <c r="AA153" s="883" t="e">
        <f t="shared" si="44"/>
        <v>#DIV/0!</v>
      </c>
    </row>
    <row r="154" spans="1:29" x14ac:dyDescent="0.2">
      <c r="C154" s="655">
        <f t="shared" si="43"/>
        <v>2005</v>
      </c>
      <c r="D154" s="655" t="s">
        <v>455</v>
      </c>
      <c r="F154" s="12"/>
      <c r="M154" s="12"/>
      <c r="N154" s="657"/>
      <c r="Q154" s="12"/>
      <c r="R154" s="12"/>
      <c r="S154" s="12"/>
      <c r="W154" s="657"/>
      <c r="X154" s="662"/>
      <c r="Z154" s="12"/>
      <c r="AA154" s="883" t="e">
        <f t="shared" si="44"/>
        <v>#DIV/0!</v>
      </c>
    </row>
    <row r="155" spans="1:29" x14ac:dyDescent="0.2">
      <c r="C155" s="655">
        <f t="shared" si="43"/>
        <v>2006</v>
      </c>
      <c r="D155" s="655" t="s">
        <v>455</v>
      </c>
      <c r="F155" s="12"/>
      <c r="M155" s="12"/>
      <c r="N155" s="657"/>
      <c r="Q155" s="12"/>
      <c r="R155" s="12"/>
      <c r="S155" s="12"/>
      <c r="W155" s="657"/>
      <c r="X155" s="662"/>
      <c r="Z155" s="12"/>
      <c r="AA155" s="883" t="e">
        <f t="shared" si="44"/>
        <v>#DIV/0!</v>
      </c>
    </row>
    <row r="156" spans="1:29" x14ac:dyDescent="0.2">
      <c r="C156" s="655">
        <f t="shared" si="43"/>
        <v>2007</v>
      </c>
      <c r="D156" s="655" t="s">
        <v>455</v>
      </c>
      <c r="F156" s="12"/>
      <c r="M156" s="12"/>
      <c r="N156" s="657"/>
      <c r="Q156" s="12"/>
      <c r="R156" s="12"/>
      <c r="S156" s="12"/>
      <c r="W156" s="657"/>
      <c r="X156" s="662"/>
      <c r="Z156" s="12"/>
      <c r="AA156" s="883" t="e">
        <f t="shared" si="44"/>
        <v>#DIV/0!</v>
      </c>
    </row>
    <row r="157" spans="1:29" x14ac:dyDescent="0.2">
      <c r="C157" s="655">
        <f t="shared" si="43"/>
        <v>2008</v>
      </c>
      <c r="D157" s="655" t="s">
        <v>455</v>
      </c>
      <c r="F157" s="12"/>
      <c r="M157" s="12"/>
      <c r="N157" s="657"/>
      <c r="Q157" s="12"/>
      <c r="R157" s="12"/>
      <c r="S157" s="12"/>
      <c r="W157" s="657"/>
      <c r="X157" s="662"/>
      <c r="Z157" s="12"/>
      <c r="AA157" s="883">
        <f t="shared" si="44"/>
        <v>0</v>
      </c>
    </row>
    <row r="158" spans="1:29" x14ac:dyDescent="0.2">
      <c r="C158" s="655">
        <f t="shared" si="43"/>
        <v>2009</v>
      </c>
      <c r="D158" s="655" t="s">
        <v>455</v>
      </c>
      <c r="F158" s="12"/>
      <c r="M158" s="12"/>
      <c r="N158" s="657"/>
      <c r="Q158" s="12"/>
      <c r="R158" s="12"/>
      <c r="S158" s="12"/>
      <c r="W158" s="657"/>
      <c r="X158" s="662"/>
      <c r="Z158" s="12"/>
      <c r="AA158" s="883">
        <f t="shared" si="44"/>
        <v>0</v>
      </c>
    </row>
    <row r="159" spans="1:29" x14ac:dyDescent="0.2">
      <c r="C159" s="655">
        <f t="shared" si="43"/>
        <v>2010</v>
      </c>
      <c r="D159" s="655" t="s">
        <v>455</v>
      </c>
      <c r="F159" s="12"/>
      <c r="M159" s="12"/>
      <c r="N159" s="657"/>
      <c r="Q159" s="12"/>
      <c r="R159" s="12"/>
      <c r="S159" s="12"/>
      <c r="W159" s="657"/>
      <c r="X159" s="662"/>
      <c r="Z159" s="12"/>
      <c r="AA159" s="883">
        <f t="shared" si="44"/>
        <v>0</v>
      </c>
    </row>
    <row r="160" spans="1:29" x14ac:dyDescent="0.2">
      <c r="C160" s="655">
        <f t="shared" si="43"/>
        <v>2011</v>
      </c>
      <c r="D160" s="655" t="s">
        <v>455</v>
      </c>
      <c r="F160" s="12"/>
      <c r="M160" s="12"/>
      <c r="N160" s="657"/>
      <c r="Q160" s="12"/>
      <c r="R160" s="12"/>
      <c r="S160" s="12"/>
      <c r="W160" s="657"/>
      <c r="X160" s="662"/>
      <c r="Z160" s="12"/>
      <c r="AA160" s="883">
        <f t="shared" si="44"/>
        <v>0</v>
      </c>
    </row>
    <row r="161" spans="3:27" x14ac:dyDescent="0.2">
      <c r="C161" s="655">
        <f t="shared" si="43"/>
        <v>2012</v>
      </c>
      <c r="D161" s="655" t="s">
        <v>455</v>
      </c>
      <c r="F161" s="12"/>
      <c r="M161" s="12"/>
      <c r="N161" s="657"/>
      <c r="Q161" s="12"/>
      <c r="R161" s="12"/>
      <c r="S161" s="12"/>
      <c r="W161" s="657"/>
      <c r="X161" s="662"/>
      <c r="Z161" s="12"/>
      <c r="AA161" s="883">
        <f t="shared" si="44"/>
        <v>0</v>
      </c>
    </row>
    <row r="162" spans="3:27" x14ac:dyDescent="0.2">
      <c r="C162" s="655">
        <f t="shared" si="43"/>
        <v>2013</v>
      </c>
      <c r="D162" s="655" t="s">
        <v>455</v>
      </c>
      <c r="F162" s="12"/>
      <c r="M162" s="12"/>
      <c r="N162" s="657"/>
      <c r="Q162" s="12"/>
      <c r="R162" s="12"/>
      <c r="S162" s="12"/>
      <c r="W162" s="657"/>
      <c r="X162" s="662"/>
      <c r="Z162" s="12"/>
      <c r="AA162" s="883">
        <f t="shared" si="44"/>
        <v>0</v>
      </c>
    </row>
    <row r="163" spans="3:27" x14ac:dyDescent="0.2">
      <c r="C163" s="655">
        <f t="shared" si="43"/>
        <v>2014</v>
      </c>
      <c r="D163" s="655" t="s">
        <v>455</v>
      </c>
      <c r="F163" s="12"/>
      <c r="M163" s="12"/>
      <c r="N163" s="657"/>
      <c r="Q163" s="12"/>
      <c r="R163" s="12"/>
      <c r="S163" s="12"/>
      <c r="W163" s="657"/>
      <c r="X163" s="662"/>
      <c r="Z163" s="12"/>
      <c r="AA163" s="883">
        <f t="shared" si="44"/>
        <v>0</v>
      </c>
    </row>
    <row r="164" spans="3:27" x14ac:dyDescent="0.2">
      <c r="C164" s="655">
        <f t="shared" si="43"/>
        <v>2015</v>
      </c>
      <c r="D164" s="655" t="s">
        <v>455</v>
      </c>
      <c r="F164" s="12"/>
      <c r="M164" s="12"/>
      <c r="N164" s="657"/>
      <c r="Q164" s="12"/>
      <c r="R164" s="12"/>
      <c r="S164" s="12"/>
      <c r="W164" s="657"/>
      <c r="X164" s="662"/>
      <c r="Z164" s="12"/>
      <c r="AA164" s="883">
        <f t="shared" si="44"/>
        <v>0</v>
      </c>
    </row>
    <row r="165" spans="3:27" x14ac:dyDescent="0.2">
      <c r="C165" s="655">
        <f t="shared" si="43"/>
        <v>2016</v>
      </c>
      <c r="D165" s="655" t="s">
        <v>455</v>
      </c>
      <c r="F165" s="12"/>
      <c r="M165" s="12"/>
      <c r="N165" s="657"/>
      <c r="Q165" s="12"/>
      <c r="R165" s="12"/>
      <c r="S165" s="12"/>
      <c r="W165" s="657"/>
      <c r="X165" s="662"/>
      <c r="Z165" s="12"/>
      <c r="AA165" s="883">
        <f t="shared" si="44"/>
        <v>0</v>
      </c>
    </row>
    <row r="166" spans="3:27" x14ac:dyDescent="0.2">
      <c r="C166" s="655">
        <f t="shared" si="43"/>
        <v>2017</v>
      </c>
      <c r="D166" s="655" t="s">
        <v>455</v>
      </c>
      <c r="F166" s="12"/>
      <c r="M166" s="12"/>
      <c r="N166" s="657"/>
      <c r="Q166" s="12"/>
      <c r="R166" s="12"/>
      <c r="S166" s="12"/>
      <c r="W166" s="657"/>
      <c r="X166" s="662"/>
      <c r="Z166" s="12"/>
      <c r="AA166" s="883">
        <f t="shared" si="44"/>
        <v>0</v>
      </c>
    </row>
    <row r="167" spans="3:27" x14ac:dyDescent="0.2">
      <c r="C167" s="655">
        <v>2018</v>
      </c>
      <c r="D167" s="655" t="s">
        <v>455</v>
      </c>
      <c r="F167" s="12"/>
      <c r="M167" s="12"/>
      <c r="N167" s="657"/>
      <c r="Q167" s="12"/>
      <c r="R167" s="12"/>
      <c r="S167" s="12"/>
      <c r="W167" s="657"/>
      <c r="X167" s="662"/>
      <c r="Z167" s="12"/>
      <c r="AA167" s="883">
        <f t="shared" si="44"/>
        <v>0</v>
      </c>
    </row>
    <row r="168" spans="3:27" x14ac:dyDescent="0.2">
      <c r="C168" s="655">
        <v>2019</v>
      </c>
      <c r="D168" s="655" t="s">
        <v>455</v>
      </c>
      <c r="F168" s="12"/>
      <c r="M168" s="12"/>
      <c r="N168" s="657"/>
      <c r="Q168" s="12"/>
      <c r="R168" s="12"/>
      <c r="S168" s="12"/>
      <c r="W168" s="657"/>
      <c r="X168" s="662"/>
      <c r="Z168" s="12"/>
      <c r="AA168" s="883">
        <f t="shared" si="44"/>
        <v>0</v>
      </c>
    </row>
    <row r="169" spans="3:27" x14ac:dyDescent="0.2">
      <c r="C169" s="655">
        <v>2020</v>
      </c>
      <c r="D169" s="655" t="s">
        <v>455</v>
      </c>
      <c r="F169" s="12"/>
      <c r="M169" s="12"/>
      <c r="N169" s="657"/>
      <c r="Q169" s="12"/>
      <c r="R169" s="12"/>
      <c r="S169" s="12"/>
      <c r="W169" s="657"/>
      <c r="X169" s="662"/>
      <c r="Z169" s="12"/>
      <c r="AA169" s="883">
        <f t="shared" si="44"/>
        <v>0</v>
      </c>
    </row>
    <row r="170" spans="3:27" x14ac:dyDescent="0.2">
      <c r="C170" s="655">
        <v>2021</v>
      </c>
      <c r="D170" s="655" t="s">
        <v>455</v>
      </c>
      <c r="F170" s="12"/>
      <c r="M170" s="12"/>
      <c r="N170" s="657"/>
      <c r="Q170" s="12"/>
      <c r="R170" s="12"/>
      <c r="S170" s="12"/>
      <c r="W170" s="657"/>
      <c r="X170" s="662"/>
      <c r="Z170" s="12"/>
      <c r="AA170" s="883">
        <f t="shared" si="44"/>
        <v>0</v>
      </c>
    </row>
    <row r="171" spans="3:27" x14ac:dyDescent="0.2">
      <c r="C171" s="655">
        <v>2022</v>
      </c>
      <c r="D171" s="655" t="s">
        <v>455</v>
      </c>
      <c r="F171" s="12"/>
      <c r="M171" s="12"/>
      <c r="N171" s="657"/>
      <c r="Q171" s="12"/>
      <c r="R171" s="12"/>
      <c r="S171" s="12"/>
      <c r="W171" s="657"/>
      <c r="X171" s="662"/>
      <c r="Z171" s="12"/>
      <c r="AA171" s="883">
        <f t="shared" si="44"/>
        <v>0</v>
      </c>
    </row>
    <row r="172" spans="3:27" x14ac:dyDescent="0.2">
      <c r="F172" s="12"/>
      <c r="M172" s="12"/>
      <c r="N172" s="657"/>
      <c r="Q172" s="12"/>
      <c r="R172" s="12"/>
      <c r="S172" s="12"/>
      <c r="W172" s="657"/>
      <c r="X172" s="662"/>
      <c r="Z172" s="12"/>
      <c r="AA172" s="883"/>
    </row>
    <row r="173" spans="3:27" x14ac:dyDescent="0.2">
      <c r="F173" s="12"/>
      <c r="M173" s="12"/>
      <c r="N173" s="657"/>
      <c r="Q173" s="12"/>
      <c r="R173" s="12"/>
      <c r="S173" s="12"/>
      <c r="W173" s="657"/>
      <c r="X173" s="662"/>
      <c r="Z173" s="12"/>
      <c r="AA173" s="883"/>
    </row>
    <row r="174" spans="3:27" x14ac:dyDescent="0.2">
      <c r="F174" s="12"/>
      <c r="M174" s="12"/>
      <c r="N174" s="657"/>
      <c r="Q174" s="12"/>
      <c r="R174" s="12"/>
      <c r="S174" s="12"/>
      <c r="W174" s="657"/>
      <c r="X174" s="662"/>
      <c r="Z174" s="12"/>
      <c r="AA174" s="883"/>
    </row>
    <row r="175" spans="3:27" x14ac:dyDescent="0.2">
      <c r="F175" s="12"/>
      <c r="M175" s="12"/>
      <c r="N175" s="657"/>
      <c r="Q175" s="12"/>
      <c r="R175" s="12"/>
      <c r="S175" s="12"/>
      <c r="W175" s="657"/>
      <c r="X175" s="662"/>
      <c r="Z175" s="12"/>
      <c r="AA175" s="883"/>
    </row>
    <row r="176" spans="3:27" x14ac:dyDescent="0.2">
      <c r="F176" s="12"/>
      <c r="M176" s="12"/>
      <c r="N176" s="657"/>
      <c r="Q176" s="12"/>
      <c r="R176" s="12"/>
      <c r="S176" s="12"/>
      <c r="W176" s="657"/>
      <c r="X176" s="662"/>
      <c r="Z176" s="12"/>
      <c r="AA176" s="883"/>
    </row>
    <row r="177" spans="3:27" x14ac:dyDescent="0.2">
      <c r="F177" s="12"/>
      <c r="M177" s="12"/>
      <c r="N177" s="657"/>
      <c r="Q177" s="12"/>
      <c r="R177" s="12"/>
      <c r="S177" s="12"/>
      <c r="W177" s="657"/>
      <c r="X177" s="662"/>
      <c r="Z177" s="12"/>
      <c r="AA177" s="883"/>
    </row>
    <row r="178" spans="3:27" x14ac:dyDescent="0.2">
      <c r="F178" s="12"/>
      <c r="M178" s="12"/>
      <c r="N178" s="657"/>
      <c r="Q178" s="12"/>
      <c r="R178" s="12"/>
      <c r="S178" s="12"/>
      <c r="W178" s="657"/>
      <c r="X178" s="662"/>
      <c r="Z178" s="12"/>
      <c r="AA178" s="883"/>
    </row>
    <row r="179" spans="3:27" x14ac:dyDescent="0.2">
      <c r="F179" s="12"/>
      <c r="M179" s="12"/>
      <c r="N179" s="657"/>
      <c r="Q179" s="12"/>
      <c r="R179" s="12"/>
      <c r="S179" s="12"/>
      <c r="W179" s="657"/>
      <c r="X179" s="662"/>
      <c r="Z179" s="12"/>
      <c r="AA179" s="883"/>
    </row>
    <row r="180" spans="3:27" x14ac:dyDescent="0.2">
      <c r="F180" s="12"/>
      <c r="M180" s="12"/>
      <c r="N180" s="657"/>
      <c r="Q180" s="12"/>
      <c r="R180" s="12"/>
      <c r="S180" s="12"/>
      <c r="W180" s="657"/>
      <c r="X180" s="662"/>
      <c r="Z180" s="12"/>
      <c r="AA180" s="883"/>
    </row>
    <row r="181" spans="3:27" x14ac:dyDescent="0.2">
      <c r="F181" s="12"/>
      <c r="M181" s="12"/>
      <c r="N181" s="657"/>
      <c r="Q181" s="12"/>
      <c r="R181" s="12"/>
      <c r="S181" s="12"/>
      <c r="W181" s="657"/>
      <c r="X181" s="662"/>
      <c r="Z181" s="12"/>
      <c r="AA181" s="883"/>
    </row>
    <row r="182" spans="3:27" x14ac:dyDescent="0.2">
      <c r="C182" s="655">
        <f t="shared" ref="C182:C204" si="45">C149</f>
        <v>2000</v>
      </c>
      <c r="D182" s="655" t="s">
        <v>574</v>
      </c>
      <c r="F182" s="12"/>
      <c r="M182" s="12"/>
      <c r="N182" s="657"/>
      <c r="Q182" s="12"/>
      <c r="R182" s="12"/>
      <c r="S182" s="12"/>
      <c r="W182" s="657"/>
      <c r="X182" s="662"/>
      <c r="Z182" s="12"/>
      <c r="AA182" s="883"/>
    </row>
    <row r="183" spans="3:27" x14ac:dyDescent="0.2">
      <c r="C183" s="655">
        <f t="shared" si="45"/>
        <v>2001</v>
      </c>
      <c r="D183" s="655" t="s">
        <v>574</v>
      </c>
      <c r="F183" s="12"/>
      <c r="M183" s="12"/>
      <c r="N183" s="657"/>
      <c r="Q183" s="12"/>
      <c r="R183" s="12"/>
      <c r="S183" s="12"/>
      <c r="W183" s="657"/>
      <c r="X183" s="662"/>
      <c r="Z183" s="12"/>
      <c r="AA183" s="883"/>
    </row>
    <row r="184" spans="3:27" x14ac:dyDescent="0.2">
      <c r="C184" s="655">
        <f t="shared" si="45"/>
        <v>2002</v>
      </c>
      <c r="D184" s="655" t="s">
        <v>574</v>
      </c>
      <c r="F184" s="12"/>
      <c r="M184" s="12"/>
      <c r="N184" s="657"/>
      <c r="Q184" s="12"/>
      <c r="R184" s="12"/>
      <c r="S184" s="12"/>
      <c r="W184" s="657"/>
      <c r="X184" s="662"/>
      <c r="Z184" s="12"/>
      <c r="AA184" s="883"/>
    </row>
    <row r="185" spans="3:27" x14ac:dyDescent="0.2">
      <c r="C185" s="655">
        <f t="shared" si="45"/>
        <v>2003</v>
      </c>
      <c r="D185" s="655" t="s">
        <v>574</v>
      </c>
      <c r="F185" s="12"/>
      <c r="M185" s="12"/>
      <c r="N185" s="657"/>
      <c r="Q185" s="12"/>
      <c r="R185" s="12"/>
      <c r="S185" s="12"/>
      <c r="W185" s="657"/>
      <c r="X185" s="662"/>
      <c r="Z185" s="12"/>
      <c r="AA185" s="883"/>
    </row>
    <row r="186" spans="3:27" x14ac:dyDescent="0.2">
      <c r="C186" s="655">
        <f t="shared" si="45"/>
        <v>2004</v>
      </c>
      <c r="D186" s="655" t="s">
        <v>574</v>
      </c>
      <c r="F186" s="12"/>
      <c r="M186" s="12"/>
      <c r="N186" s="657"/>
      <c r="Q186" s="12"/>
      <c r="R186" s="12"/>
      <c r="S186" s="12"/>
      <c r="W186" s="657"/>
      <c r="X186" s="662"/>
      <c r="Z186" s="12"/>
      <c r="AA186" s="883"/>
    </row>
    <row r="187" spans="3:27" x14ac:dyDescent="0.2">
      <c r="C187" s="655">
        <f t="shared" si="45"/>
        <v>2005</v>
      </c>
      <c r="D187" s="655" t="s">
        <v>574</v>
      </c>
      <c r="F187" s="12"/>
      <c r="M187" s="12"/>
      <c r="N187" s="657"/>
      <c r="Q187" s="12"/>
      <c r="R187" s="12"/>
      <c r="S187" s="12"/>
      <c r="W187" s="657"/>
      <c r="X187" s="662"/>
      <c r="Z187" s="12"/>
      <c r="AA187" s="883"/>
    </row>
    <row r="188" spans="3:27" x14ac:dyDescent="0.2">
      <c r="C188" s="655">
        <f t="shared" si="45"/>
        <v>2006</v>
      </c>
      <c r="D188" s="655" t="s">
        <v>574</v>
      </c>
      <c r="F188" s="12"/>
      <c r="M188" s="12"/>
      <c r="N188" s="657"/>
      <c r="Q188" s="12"/>
      <c r="R188" s="12"/>
      <c r="S188" s="12"/>
      <c r="W188" s="657"/>
      <c r="X188" s="662"/>
      <c r="Z188" s="12"/>
      <c r="AA188" s="883"/>
    </row>
    <row r="189" spans="3:27" x14ac:dyDescent="0.2">
      <c r="C189" s="655">
        <f t="shared" si="45"/>
        <v>2007</v>
      </c>
      <c r="D189" s="655" t="s">
        <v>574</v>
      </c>
      <c r="F189" s="12"/>
      <c r="M189" s="12"/>
      <c r="N189" s="657"/>
      <c r="Q189" s="12"/>
      <c r="R189" s="12"/>
      <c r="S189" s="12"/>
      <c r="W189" s="657"/>
      <c r="X189" s="662"/>
      <c r="Z189" s="12"/>
      <c r="AA189" s="883"/>
    </row>
    <row r="190" spans="3:27" x14ac:dyDescent="0.2">
      <c r="C190" s="655">
        <f t="shared" si="45"/>
        <v>2008</v>
      </c>
      <c r="D190" s="655" t="s">
        <v>574</v>
      </c>
      <c r="F190" s="12"/>
      <c r="M190" s="12"/>
      <c r="N190" s="657"/>
      <c r="Q190" s="12"/>
      <c r="R190" s="12"/>
      <c r="S190" s="12"/>
      <c r="W190" s="657"/>
      <c r="X190" s="662"/>
      <c r="Z190" s="12"/>
      <c r="AA190" s="883"/>
    </row>
    <row r="191" spans="3:27" x14ac:dyDescent="0.2">
      <c r="C191" s="655">
        <f t="shared" si="45"/>
        <v>2009</v>
      </c>
      <c r="D191" s="655" t="s">
        <v>574</v>
      </c>
      <c r="F191" s="12"/>
      <c r="M191" s="12"/>
      <c r="N191" s="657"/>
      <c r="Q191" s="12"/>
      <c r="R191" s="12"/>
      <c r="S191" s="12"/>
      <c r="W191" s="657"/>
      <c r="X191" s="662"/>
      <c r="Z191" s="12"/>
      <c r="AA191" s="883"/>
    </row>
    <row r="192" spans="3:27" x14ac:dyDescent="0.2">
      <c r="C192" s="655">
        <f t="shared" si="45"/>
        <v>2010</v>
      </c>
      <c r="D192" s="655" t="s">
        <v>574</v>
      </c>
      <c r="F192" s="12"/>
      <c r="M192" s="12"/>
      <c r="N192" s="657"/>
      <c r="Q192" s="12"/>
      <c r="R192" s="12"/>
      <c r="S192" s="12"/>
      <c r="W192" s="657"/>
      <c r="X192" s="662"/>
      <c r="Z192" s="12"/>
      <c r="AA192" s="883"/>
    </row>
    <row r="193" spans="3:27" x14ac:dyDescent="0.2">
      <c r="C193" s="655">
        <f t="shared" si="45"/>
        <v>2011</v>
      </c>
      <c r="D193" s="655" t="s">
        <v>574</v>
      </c>
      <c r="F193" s="12"/>
      <c r="M193" s="12"/>
      <c r="N193" s="657"/>
      <c r="Q193" s="12"/>
      <c r="R193" s="12"/>
      <c r="S193" s="12"/>
      <c r="W193" s="657"/>
      <c r="X193" s="662"/>
      <c r="Z193" s="12"/>
      <c r="AA193" s="883"/>
    </row>
    <row r="194" spans="3:27" x14ac:dyDescent="0.2">
      <c r="C194" s="655">
        <f t="shared" si="45"/>
        <v>2012</v>
      </c>
      <c r="D194" s="655" t="s">
        <v>574</v>
      </c>
      <c r="F194" s="12"/>
      <c r="M194" s="12"/>
      <c r="N194" s="657"/>
      <c r="Q194" s="12"/>
      <c r="R194" s="12"/>
      <c r="S194" s="12"/>
      <c r="W194" s="657"/>
      <c r="X194" s="662"/>
      <c r="Z194" s="12"/>
      <c r="AA194" s="883"/>
    </row>
    <row r="195" spans="3:27" x14ac:dyDescent="0.2">
      <c r="C195" s="655">
        <f t="shared" si="45"/>
        <v>2013</v>
      </c>
      <c r="D195" s="655" t="s">
        <v>574</v>
      </c>
      <c r="F195" s="12"/>
      <c r="M195" s="12"/>
      <c r="N195" s="657"/>
      <c r="Q195" s="12"/>
      <c r="R195" s="12"/>
      <c r="S195" s="12"/>
      <c r="W195" s="657"/>
      <c r="X195" s="662"/>
      <c r="Z195" s="12"/>
      <c r="AA195" s="883"/>
    </row>
    <row r="196" spans="3:27" x14ac:dyDescent="0.2">
      <c r="C196" s="655">
        <f t="shared" si="45"/>
        <v>2014</v>
      </c>
      <c r="D196" s="655" t="s">
        <v>574</v>
      </c>
      <c r="F196" s="12"/>
      <c r="M196" s="12"/>
      <c r="N196" s="657"/>
      <c r="Q196" s="12"/>
      <c r="R196" s="12"/>
      <c r="S196" s="12"/>
      <c r="W196" s="657"/>
      <c r="X196" s="662"/>
      <c r="Z196" s="12"/>
      <c r="AA196" s="883"/>
    </row>
    <row r="197" spans="3:27" x14ac:dyDescent="0.2">
      <c r="C197" s="655">
        <f t="shared" si="45"/>
        <v>2015</v>
      </c>
      <c r="D197" s="655" t="s">
        <v>574</v>
      </c>
      <c r="F197" s="12"/>
      <c r="M197" s="12"/>
      <c r="N197" s="657"/>
      <c r="Q197" s="12"/>
      <c r="R197" s="12"/>
      <c r="S197" s="12"/>
      <c r="W197" s="657"/>
      <c r="X197" s="662"/>
      <c r="Z197" s="12"/>
      <c r="AA197" s="883"/>
    </row>
    <row r="198" spans="3:27" x14ac:dyDescent="0.2">
      <c r="C198" s="655">
        <f t="shared" si="45"/>
        <v>2016</v>
      </c>
      <c r="D198" s="655" t="s">
        <v>574</v>
      </c>
      <c r="F198" s="12"/>
      <c r="M198" s="12"/>
      <c r="N198" s="657"/>
      <c r="Q198" s="12"/>
      <c r="R198" s="12"/>
      <c r="S198" s="12"/>
      <c r="W198" s="657"/>
      <c r="X198" s="662"/>
      <c r="Z198" s="12"/>
      <c r="AA198" s="883"/>
    </row>
    <row r="199" spans="3:27" x14ac:dyDescent="0.2">
      <c r="C199" s="655">
        <f t="shared" si="45"/>
        <v>2017</v>
      </c>
      <c r="D199" s="655" t="s">
        <v>574</v>
      </c>
      <c r="F199" s="12"/>
      <c r="M199" s="12"/>
      <c r="N199" s="657"/>
      <c r="Q199" s="12"/>
      <c r="R199" s="12"/>
      <c r="S199" s="12"/>
      <c r="W199" s="657"/>
      <c r="X199" s="662"/>
      <c r="Z199" s="12"/>
      <c r="AA199" s="883"/>
    </row>
    <row r="200" spans="3:27" x14ac:dyDescent="0.2">
      <c r="C200" s="655">
        <f t="shared" si="45"/>
        <v>2018</v>
      </c>
      <c r="D200" s="655" t="s">
        <v>574</v>
      </c>
      <c r="F200" s="12"/>
      <c r="M200" s="12"/>
      <c r="N200" s="657"/>
      <c r="Q200" s="12"/>
      <c r="R200" s="12"/>
      <c r="S200" s="12"/>
      <c r="W200" s="657"/>
      <c r="X200" s="662"/>
      <c r="Z200" s="12"/>
      <c r="AA200" s="883"/>
    </row>
    <row r="201" spans="3:27" x14ac:dyDescent="0.2">
      <c r="C201" s="655">
        <f t="shared" si="45"/>
        <v>2019</v>
      </c>
      <c r="D201" s="655" t="s">
        <v>574</v>
      </c>
      <c r="F201" s="12"/>
      <c r="M201" s="12"/>
      <c r="N201" s="657"/>
      <c r="Q201" s="12"/>
      <c r="R201" s="12"/>
      <c r="S201" s="12"/>
      <c r="W201" s="657"/>
      <c r="X201" s="662"/>
      <c r="Z201" s="12"/>
      <c r="AA201" s="883"/>
    </row>
    <row r="202" spans="3:27" x14ac:dyDescent="0.2">
      <c r="C202" s="655">
        <f t="shared" si="45"/>
        <v>2020</v>
      </c>
      <c r="D202" s="655" t="s">
        <v>574</v>
      </c>
      <c r="F202" s="12"/>
      <c r="M202" s="12"/>
      <c r="N202" s="657"/>
      <c r="Q202" s="12"/>
      <c r="R202" s="12"/>
      <c r="S202" s="12"/>
      <c r="W202" s="657"/>
      <c r="X202" s="662"/>
      <c r="Z202" s="12"/>
      <c r="AA202" s="883"/>
    </row>
    <row r="203" spans="3:27" x14ac:dyDescent="0.2">
      <c r="C203" s="655">
        <f t="shared" si="45"/>
        <v>2021</v>
      </c>
      <c r="D203" s="655" t="s">
        <v>574</v>
      </c>
      <c r="F203" s="12"/>
      <c r="M203" s="12"/>
      <c r="N203" s="657"/>
      <c r="Q203" s="12"/>
      <c r="R203" s="12"/>
      <c r="S203" s="12"/>
      <c r="W203" s="657"/>
      <c r="X203" s="662"/>
      <c r="Z203" s="12"/>
      <c r="AA203" s="883"/>
    </row>
    <row r="204" spans="3:27" x14ac:dyDescent="0.2">
      <c r="C204" s="655">
        <f t="shared" si="45"/>
        <v>2022</v>
      </c>
      <c r="D204" s="655" t="s">
        <v>574</v>
      </c>
      <c r="F204" s="12"/>
      <c r="M204" s="12"/>
      <c r="N204" s="657"/>
      <c r="Q204" s="12"/>
      <c r="R204" s="12"/>
      <c r="S204" s="12"/>
      <c r="W204" s="657"/>
      <c r="X204" s="662"/>
      <c r="Z204" s="12"/>
      <c r="AA204" s="883"/>
    </row>
    <row r="205" spans="3:27" x14ac:dyDescent="0.2">
      <c r="F205" s="12"/>
      <c r="M205" s="12"/>
      <c r="N205" s="657"/>
      <c r="Q205" s="12"/>
      <c r="R205" s="12"/>
      <c r="S205" s="12"/>
      <c r="W205" s="657"/>
      <c r="X205" s="662"/>
      <c r="Z205" s="12"/>
      <c r="AA205" s="883"/>
    </row>
    <row r="206" spans="3:27" x14ac:dyDescent="0.2">
      <c r="F206" s="12"/>
      <c r="M206" s="12"/>
      <c r="N206" s="657"/>
      <c r="Q206" s="12"/>
      <c r="R206" s="12"/>
      <c r="S206" s="12"/>
      <c r="W206" s="657"/>
      <c r="X206" s="662"/>
      <c r="Z206" s="12"/>
      <c r="AA206" s="883"/>
    </row>
    <row r="207" spans="3:27" x14ac:dyDescent="0.2">
      <c r="F207" s="12"/>
      <c r="M207" s="12"/>
      <c r="N207" s="657"/>
      <c r="Q207" s="12"/>
      <c r="R207" s="12"/>
      <c r="S207" s="12"/>
      <c r="W207" s="657"/>
      <c r="X207" s="662"/>
      <c r="Z207" s="12"/>
      <c r="AA207" s="883"/>
    </row>
    <row r="208" spans="3:27" x14ac:dyDescent="0.2">
      <c r="C208" s="655">
        <f t="shared" ref="C208:C226" si="46">C182</f>
        <v>2000</v>
      </c>
      <c r="D208" s="655" t="s">
        <v>67</v>
      </c>
      <c r="F208" s="12"/>
      <c r="M208" s="12"/>
      <c r="N208" s="657"/>
      <c r="Q208" s="12"/>
      <c r="R208" s="12"/>
      <c r="S208" s="12"/>
      <c r="W208" s="657"/>
      <c r="X208" s="662"/>
      <c r="Z208" s="12"/>
      <c r="AA208" s="883">
        <f>AC66</f>
        <v>0</v>
      </c>
    </row>
    <row r="209" spans="3:27" x14ac:dyDescent="0.2">
      <c r="C209" s="655">
        <f t="shared" si="46"/>
        <v>2001</v>
      </c>
      <c r="D209" s="655" t="s">
        <v>67</v>
      </c>
      <c r="F209" s="12"/>
      <c r="M209" s="12"/>
      <c r="N209" s="657"/>
      <c r="Q209" s="12"/>
      <c r="R209" s="12"/>
      <c r="S209" s="12"/>
      <c r="W209" s="657"/>
      <c r="X209" s="662"/>
      <c r="Z209" s="12"/>
      <c r="AA209" s="883">
        <f t="shared" ref="AA209:AA230" si="47">AC67</f>
        <v>0</v>
      </c>
    </row>
    <row r="210" spans="3:27" x14ac:dyDescent="0.2">
      <c r="C210" s="655">
        <f t="shared" si="46"/>
        <v>2002</v>
      </c>
      <c r="D210" s="655" t="s">
        <v>67</v>
      </c>
      <c r="F210" s="12"/>
      <c r="M210" s="12"/>
      <c r="N210" s="657"/>
      <c r="Q210" s="12"/>
      <c r="R210" s="12"/>
      <c r="S210" s="12"/>
      <c r="W210" s="657"/>
      <c r="X210" s="662"/>
      <c r="Z210" s="12"/>
      <c r="AA210" s="883">
        <f t="shared" si="47"/>
        <v>0</v>
      </c>
    </row>
    <row r="211" spans="3:27" x14ac:dyDescent="0.2">
      <c r="C211" s="655">
        <f t="shared" si="46"/>
        <v>2003</v>
      </c>
      <c r="D211" s="655" t="s">
        <v>67</v>
      </c>
      <c r="F211" s="12"/>
      <c r="M211" s="12"/>
      <c r="N211" s="657"/>
      <c r="Q211" s="12"/>
      <c r="R211" s="12"/>
      <c r="S211" s="12"/>
      <c r="W211" s="657"/>
      <c r="X211" s="662"/>
      <c r="Z211" s="12"/>
      <c r="AA211" s="883">
        <f t="shared" si="47"/>
        <v>0</v>
      </c>
    </row>
    <row r="212" spans="3:27" x14ac:dyDescent="0.2">
      <c r="C212" s="655">
        <f t="shared" si="46"/>
        <v>2004</v>
      </c>
      <c r="D212" s="655" t="s">
        <v>67</v>
      </c>
      <c r="F212" s="12"/>
      <c r="M212" s="12"/>
      <c r="N212" s="657"/>
      <c r="Q212" s="12"/>
      <c r="R212" s="12"/>
      <c r="S212" s="12"/>
      <c r="W212" s="657"/>
      <c r="X212" s="662"/>
      <c r="Z212" s="12"/>
      <c r="AA212" s="883">
        <f t="shared" si="47"/>
        <v>0</v>
      </c>
    </row>
    <row r="213" spans="3:27" x14ac:dyDescent="0.2">
      <c r="C213" s="655">
        <f t="shared" si="46"/>
        <v>2005</v>
      </c>
      <c r="D213" s="655" t="s">
        <v>67</v>
      </c>
      <c r="F213" s="12"/>
      <c r="M213" s="12"/>
      <c r="N213" s="657"/>
      <c r="Q213" s="12"/>
      <c r="R213" s="12"/>
      <c r="S213" s="12"/>
      <c r="W213" s="657"/>
      <c r="X213" s="662"/>
      <c r="Z213" s="12"/>
      <c r="AA213" s="883">
        <f t="shared" si="47"/>
        <v>0</v>
      </c>
    </row>
    <row r="214" spans="3:27" x14ac:dyDescent="0.2">
      <c r="C214" s="655">
        <f t="shared" si="46"/>
        <v>2006</v>
      </c>
      <c r="D214" s="655" t="s">
        <v>67</v>
      </c>
      <c r="F214" s="12"/>
      <c r="M214" s="12"/>
      <c r="N214" s="657"/>
      <c r="Q214" s="12"/>
      <c r="R214" s="12"/>
      <c r="S214" s="12"/>
      <c r="W214" s="657"/>
      <c r="X214" s="662"/>
      <c r="Z214" s="12"/>
      <c r="AA214" s="883">
        <f t="shared" si="47"/>
        <v>0</v>
      </c>
    </row>
    <row r="215" spans="3:27" x14ac:dyDescent="0.2">
      <c r="C215" s="655">
        <f t="shared" si="46"/>
        <v>2007</v>
      </c>
      <c r="D215" s="655" t="s">
        <v>67</v>
      </c>
      <c r="F215" s="12"/>
      <c r="M215" s="12"/>
      <c r="N215" s="657"/>
      <c r="Q215" s="12"/>
      <c r="R215" s="12"/>
      <c r="S215" s="12"/>
      <c r="W215" s="657"/>
      <c r="X215" s="662"/>
      <c r="Z215" s="12"/>
      <c r="AA215" s="883">
        <f t="shared" si="47"/>
        <v>0</v>
      </c>
    </row>
    <row r="216" spans="3:27" x14ac:dyDescent="0.2">
      <c r="C216" s="655">
        <f t="shared" si="46"/>
        <v>2008</v>
      </c>
      <c r="D216" s="655" t="s">
        <v>67</v>
      </c>
      <c r="F216" s="12"/>
      <c r="M216" s="12"/>
      <c r="N216" s="657"/>
      <c r="Q216" s="12"/>
      <c r="R216" s="12"/>
      <c r="S216" s="12"/>
      <c r="W216" s="657"/>
      <c r="X216" s="662"/>
      <c r="Z216" s="12"/>
      <c r="AA216" s="883">
        <f t="shared" si="47"/>
        <v>0</v>
      </c>
    </row>
    <row r="217" spans="3:27" x14ac:dyDescent="0.2">
      <c r="C217" s="655">
        <f t="shared" si="46"/>
        <v>2009</v>
      </c>
      <c r="D217" s="655" t="s">
        <v>67</v>
      </c>
      <c r="F217" s="12"/>
      <c r="M217" s="12"/>
      <c r="N217" s="657"/>
      <c r="Q217" s="12"/>
      <c r="R217" s="12"/>
      <c r="S217" s="12"/>
      <c r="W217" s="657"/>
      <c r="X217" s="662"/>
      <c r="Z217" s="12"/>
      <c r="AA217" s="883">
        <f t="shared" si="47"/>
        <v>0</v>
      </c>
    </row>
    <row r="218" spans="3:27" x14ac:dyDescent="0.2">
      <c r="C218" s="655">
        <f t="shared" si="46"/>
        <v>2010</v>
      </c>
      <c r="D218" s="655" t="s">
        <v>67</v>
      </c>
      <c r="F218" s="12"/>
      <c r="M218" s="12"/>
      <c r="N218" s="657"/>
      <c r="Q218" s="12"/>
      <c r="R218" s="12"/>
      <c r="S218" s="12"/>
      <c r="W218" s="657"/>
      <c r="X218" s="662"/>
      <c r="Z218" s="12"/>
      <c r="AA218" s="883">
        <f t="shared" si="47"/>
        <v>0</v>
      </c>
    </row>
    <row r="219" spans="3:27" x14ac:dyDescent="0.2">
      <c r="C219" s="655">
        <f t="shared" si="46"/>
        <v>2011</v>
      </c>
      <c r="D219" s="655" t="s">
        <v>67</v>
      </c>
      <c r="F219" s="12"/>
      <c r="M219" s="12"/>
      <c r="N219" s="657"/>
      <c r="Q219" s="12"/>
      <c r="R219" s="12"/>
      <c r="S219" s="12"/>
      <c r="W219" s="657"/>
      <c r="X219" s="662"/>
      <c r="Z219" s="12"/>
      <c r="AA219" s="883">
        <f t="shared" si="47"/>
        <v>0</v>
      </c>
    </row>
    <row r="220" spans="3:27" x14ac:dyDescent="0.2">
      <c r="C220" s="655">
        <f t="shared" si="46"/>
        <v>2012</v>
      </c>
      <c r="D220" s="655" t="s">
        <v>67</v>
      </c>
      <c r="F220" s="12"/>
      <c r="M220" s="12"/>
      <c r="N220" s="657"/>
      <c r="Q220" s="12"/>
      <c r="R220" s="12"/>
      <c r="S220" s="12"/>
      <c r="W220" s="657"/>
      <c r="X220" s="662"/>
      <c r="Z220" s="12"/>
      <c r="AA220" s="883">
        <f t="shared" si="47"/>
        <v>0</v>
      </c>
    </row>
    <row r="221" spans="3:27" x14ac:dyDescent="0.2">
      <c r="C221" s="655">
        <f t="shared" si="46"/>
        <v>2013</v>
      </c>
      <c r="D221" s="655" t="s">
        <v>67</v>
      </c>
      <c r="F221" s="12"/>
      <c r="M221" s="12"/>
      <c r="N221" s="657"/>
      <c r="Q221" s="12"/>
      <c r="R221" s="12"/>
      <c r="S221" s="12"/>
      <c r="W221" s="657"/>
      <c r="X221" s="662"/>
      <c r="Z221" s="12"/>
      <c r="AA221" s="883">
        <f t="shared" si="47"/>
        <v>0</v>
      </c>
    </row>
    <row r="222" spans="3:27" x14ac:dyDescent="0.2">
      <c r="C222" s="655">
        <f t="shared" si="46"/>
        <v>2014</v>
      </c>
      <c r="D222" s="655" t="s">
        <v>67</v>
      </c>
      <c r="F222" s="12"/>
      <c r="M222" s="12"/>
      <c r="N222" s="657"/>
      <c r="Q222" s="12"/>
      <c r="R222" s="12"/>
      <c r="S222" s="12"/>
      <c r="W222" s="657"/>
      <c r="X222" s="662"/>
      <c r="Z222" s="12"/>
      <c r="AA222" s="883">
        <f t="shared" si="47"/>
        <v>0</v>
      </c>
    </row>
    <row r="223" spans="3:27" x14ac:dyDescent="0.2">
      <c r="C223" s="655">
        <f t="shared" si="46"/>
        <v>2015</v>
      </c>
      <c r="D223" s="655" t="s">
        <v>67</v>
      </c>
      <c r="F223" s="12"/>
      <c r="M223" s="12"/>
      <c r="N223" s="657"/>
      <c r="Q223" s="12"/>
      <c r="R223" s="12"/>
      <c r="S223" s="12"/>
      <c r="W223" s="657"/>
      <c r="X223" s="662"/>
      <c r="Z223" s="12"/>
      <c r="AA223" s="883">
        <f t="shared" si="47"/>
        <v>0</v>
      </c>
    </row>
    <row r="224" spans="3:27" x14ac:dyDescent="0.2">
      <c r="C224" s="655">
        <f t="shared" si="46"/>
        <v>2016</v>
      </c>
      <c r="D224" s="655" t="s">
        <v>67</v>
      </c>
      <c r="AA224" s="883">
        <f t="shared" si="47"/>
        <v>0</v>
      </c>
    </row>
    <row r="225" spans="3:27" x14ac:dyDescent="0.2">
      <c r="C225" s="655">
        <f t="shared" si="46"/>
        <v>2017</v>
      </c>
      <c r="D225" s="655" t="s">
        <v>67</v>
      </c>
      <c r="F225" s="12"/>
      <c r="M225" s="12"/>
      <c r="N225" s="657"/>
      <c r="Q225" s="12"/>
      <c r="R225" s="12"/>
      <c r="S225" s="12"/>
      <c r="W225" s="657"/>
      <c r="X225" s="662"/>
      <c r="Z225" s="12"/>
      <c r="AA225" s="883">
        <f t="shared" si="47"/>
        <v>0</v>
      </c>
    </row>
    <row r="226" spans="3:27" x14ac:dyDescent="0.2">
      <c r="C226" s="655">
        <f t="shared" si="46"/>
        <v>2018</v>
      </c>
      <c r="D226" s="655" t="s">
        <v>67</v>
      </c>
      <c r="F226" s="12"/>
      <c r="M226" s="12"/>
      <c r="N226" s="657"/>
      <c r="Q226" s="12"/>
      <c r="R226" s="12"/>
      <c r="S226" s="12"/>
      <c r="W226" s="657"/>
      <c r="X226" s="662"/>
      <c r="Z226" s="12"/>
      <c r="AA226" s="883">
        <f t="shared" si="47"/>
        <v>0</v>
      </c>
    </row>
    <row r="227" spans="3:27" x14ac:dyDescent="0.2">
      <c r="C227" s="655">
        <f>C201</f>
        <v>2019</v>
      </c>
      <c r="D227" s="655" t="s">
        <v>67</v>
      </c>
      <c r="F227" s="12"/>
      <c r="M227" s="12"/>
      <c r="N227" s="657"/>
      <c r="Q227" s="12"/>
      <c r="R227" s="12"/>
      <c r="S227" s="12"/>
      <c r="W227" s="657"/>
      <c r="X227" s="662"/>
      <c r="Z227" s="12"/>
      <c r="AA227" s="883">
        <f t="shared" si="47"/>
        <v>0</v>
      </c>
    </row>
    <row r="228" spans="3:27" x14ac:dyDescent="0.2">
      <c r="C228" s="655">
        <f>C202</f>
        <v>2020</v>
      </c>
      <c r="D228" s="655" t="s">
        <v>67</v>
      </c>
      <c r="AA228" s="883">
        <f t="shared" si="47"/>
        <v>0</v>
      </c>
    </row>
    <row r="229" spans="3:27" x14ac:dyDescent="0.2">
      <c r="C229" s="655">
        <f>C203</f>
        <v>2021</v>
      </c>
      <c r="D229" s="655" t="s">
        <v>67</v>
      </c>
      <c r="AA229" s="883">
        <f t="shared" si="47"/>
        <v>0</v>
      </c>
    </row>
    <row r="230" spans="3:27" x14ac:dyDescent="0.2">
      <c r="C230" s="655">
        <f>C204</f>
        <v>2022</v>
      </c>
      <c r="D230" s="655" t="s">
        <v>67</v>
      </c>
      <c r="AA230" s="883">
        <f t="shared" si="47"/>
        <v>0</v>
      </c>
    </row>
  </sheetData>
  <mergeCells count="9">
    <mergeCell ref="AH16:AI16"/>
    <mergeCell ref="AH17:AI17"/>
    <mergeCell ref="F3:R3"/>
    <mergeCell ref="U3:W3"/>
    <mergeCell ref="Y3:AA3"/>
    <mergeCell ref="F4:I4"/>
    <mergeCell ref="K4:M4"/>
    <mergeCell ref="O4:R4"/>
    <mergeCell ref="U4:W4"/>
  </mergeCells>
  <printOptions horizontalCentered="1"/>
  <pageMargins left="0.39" right="0.3" top="0.44" bottom="0.4" header="0.3" footer="0.17"/>
  <pageSetup scale="76" fitToHeight="2" orientation="landscape" r:id="rId1"/>
  <headerFooter alignWithMargins="0">
    <oddHeader>&amp;R&amp;"Calibri"&amp;12&amp;K000000 Unclassified - Non-Classifié&amp;1#_x000D_</oddHeader>
    <oddFooter>&amp;CPage &amp;P of &amp;N</oddFooter>
  </headerFooter>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03D68-3905-4CC4-B452-14C7FEB91006}">
  <sheetPr>
    <tabColor theme="1" tint="4.9989318521683403E-2"/>
  </sheetPr>
  <dimension ref="A1:AP60"/>
  <sheetViews>
    <sheetView workbookViewId="0">
      <pane xSplit="1" ySplit="2" topLeftCell="B3" activePane="bottomRight" state="frozen"/>
      <selection activeCell="C49" sqref="C49:E49"/>
      <selection pane="topRight" activeCell="C49" sqref="C49:E49"/>
      <selection pane="bottomLeft" activeCell="C49" sqref="C49:E49"/>
      <selection pane="bottomRight" activeCell="C49" sqref="C49:E49"/>
    </sheetView>
  </sheetViews>
  <sheetFormatPr defaultColWidth="8.85546875" defaultRowHeight="12.75" x14ac:dyDescent="0.2"/>
  <cols>
    <col min="1" max="1" width="13.42578125" style="585" bestFit="1" customWidth="1"/>
    <col min="2" max="2" width="7.140625" style="585" bestFit="1" customWidth="1"/>
    <col min="3" max="5" width="5.5703125" style="585" bestFit="1" customWidth="1"/>
    <col min="6" max="11" width="6.140625" style="585" bestFit="1" customWidth="1"/>
    <col min="12" max="12" width="7.42578125" style="585" customWidth="1"/>
    <col min="13" max="14" width="6.140625" style="585" bestFit="1" customWidth="1"/>
    <col min="15" max="15" width="6.140625" style="585" customWidth="1"/>
    <col min="16" max="16" width="5" style="585" customWidth="1"/>
    <col min="17" max="22" width="8.85546875" style="585"/>
    <col min="23" max="36" width="9.42578125" style="585" bestFit="1" customWidth="1"/>
    <col min="37" max="16384" width="8.85546875" style="585"/>
  </cols>
  <sheetData>
    <row r="1" spans="1:42" x14ac:dyDescent="0.2">
      <c r="A1" s="585" t="s">
        <v>596</v>
      </c>
      <c r="B1" s="585" t="s">
        <v>36</v>
      </c>
      <c r="U1" s="585" t="s">
        <v>597</v>
      </c>
    </row>
    <row r="2" spans="1:42" ht="13.5" x14ac:dyDescent="0.25">
      <c r="A2" s="585" t="s">
        <v>598</v>
      </c>
      <c r="B2" s="585">
        <v>2007</v>
      </c>
      <c r="C2" s="585">
        <v>2010</v>
      </c>
      <c r="D2" s="585">
        <v>2011</v>
      </c>
      <c r="E2" s="585">
        <v>2012</v>
      </c>
      <c r="F2" s="585">
        <v>2013</v>
      </c>
      <c r="G2" s="585">
        <v>2014</v>
      </c>
      <c r="H2" s="585">
        <v>2017</v>
      </c>
      <c r="I2" s="585">
        <v>2018</v>
      </c>
      <c r="J2" s="585">
        <v>2019</v>
      </c>
      <c r="K2" s="585">
        <v>2020</v>
      </c>
      <c r="L2" s="585">
        <v>2021</v>
      </c>
      <c r="M2" s="585">
        <v>2022</v>
      </c>
      <c r="N2" s="585">
        <v>2023</v>
      </c>
      <c r="O2" s="585">
        <v>2024</v>
      </c>
      <c r="Q2" s="903" t="s">
        <v>150</v>
      </c>
      <c r="U2" s="904" t="s">
        <v>599</v>
      </c>
      <c r="V2" s="905">
        <v>2007</v>
      </c>
      <c r="W2" s="905">
        <v>2010</v>
      </c>
      <c r="X2" s="905">
        <v>2011</v>
      </c>
      <c r="Y2" s="905">
        <v>2012</v>
      </c>
      <c r="Z2" s="905">
        <v>2013</v>
      </c>
      <c r="AA2" s="905">
        <v>2014</v>
      </c>
      <c r="AB2" s="905">
        <v>2017</v>
      </c>
      <c r="AC2" s="905">
        <v>2018</v>
      </c>
      <c r="AD2" s="905">
        <v>2019</v>
      </c>
      <c r="AE2" s="905">
        <v>2020</v>
      </c>
      <c r="AG2" s="905">
        <f t="shared" ref="AG2:AP2" si="0">V2</f>
        <v>2007</v>
      </c>
      <c r="AH2" s="905">
        <f t="shared" si="0"/>
        <v>2010</v>
      </c>
      <c r="AI2" s="905">
        <f t="shared" si="0"/>
        <v>2011</v>
      </c>
      <c r="AJ2" s="905">
        <f t="shared" si="0"/>
        <v>2012</v>
      </c>
      <c r="AK2" s="905">
        <f t="shared" si="0"/>
        <v>2013</v>
      </c>
      <c r="AL2" s="905">
        <f t="shared" si="0"/>
        <v>2014</v>
      </c>
      <c r="AM2" s="905">
        <f t="shared" si="0"/>
        <v>2017</v>
      </c>
      <c r="AN2" s="905">
        <f t="shared" si="0"/>
        <v>2018</v>
      </c>
      <c r="AO2" s="905">
        <f t="shared" si="0"/>
        <v>2019</v>
      </c>
      <c r="AP2" s="905">
        <f t="shared" si="0"/>
        <v>2020</v>
      </c>
    </row>
    <row r="3" spans="1:42" x14ac:dyDescent="0.2">
      <c r="A3" s="906" t="s">
        <v>600</v>
      </c>
      <c r="B3" s="907">
        <v>4.68</v>
      </c>
      <c r="C3" s="907">
        <v>19.61</v>
      </c>
      <c r="D3" s="907">
        <v>14.540000000000001</v>
      </c>
      <c r="E3" s="907">
        <v>21.8</v>
      </c>
      <c r="F3" s="907">
        <v>14.11</v>
      </c>
      <c r="G3" s="907">
        <v>8.1292601431980902</v>
      </c>
      <c r="H3" s="907">
        <v>12.396944444444443</v>
      </c>
      <c r="I3" s="907">
        <v>11.593769968051118</v>
      </c>
      <c r="J3" s="907">
        <v>15.1713</v>
      </c>
      <c r="K3" s="907">
        <v>15.58867</v>
      </c>
      <c r="L3" s="907">
        <v>16.049040000000002</v>
      </c>
      <c r="M3" s="907">
        <f>M41</f>
        <v>21.583649999999999</v>
      </c>
      <c r="N3" s="907">
        <f t="shared" ref="N3:O3" si="1">N41</f>
        <v>22.510649999999998</v>
      </c>
      <c r="O3" s="907">
        <f t="shared" si="1"/>
        <v>25</v>
      </c>
      <c r="P3" s="908"/>
      <c r="Q3" s="908">
        <f>AVERAGE(B3:P3)</f>
        <v>15.911663182549546</v>
      </c>
      <c r="U3" s="909">
        <f t="shared" ref="U3:U10" si="2">AVERAGE(V3:AD3)</f>
        <v>13.559071667747304</v>
      </c>
      <c r="V3" s="910">
        <v>4.6803704540320759</v>
      </c>
      <c r="W3" s="910">
        <v>19.61</v>
      </c>
      <c r="X3" s="910">
        <v>14.540000000000001</v>
      </c>
      <c r="Y3" s="910">
        <v>21.8</v>
      </c>
      <c r="Z3" s="910">
        <v>14.11</v>
      </c>
      <c r="AA3" s="910">
        <v>8.1292601431980902</v>
      </c>
      <c r="AB3" s="910">
        <v>12.396944444444443</v>
      </c>
      <c r="AC3" s="910">
        <v>11.593769968051118</v>
      </c>
      <c r="AD3" s="910">
        <v>15.171300000000002</v>
      </c>
      <c r="AE3" s="910">
        <f>AH17*100</f>
        <v>15.588670000000002</v>
      </c>
      <c r="AG3" s="908">
        <f t="shared" ref="AG3:AP10" si="3">B3-V3</f>
        <v>-3.7045403207613958E-4</v>
      </c>
      <c r="AH3" s="908">
        <f t="shared" si="3"/>
        <v>0</v>
      </c>
      <c r="AI3" s="908">
        <f t="shared" si="3"/>
        <v>0</v>
      </c>
      <c r="AJ3" s="908">
        <f t="shared" si="3"/>
        <v>0</v>
      </c>
      <c r="AK3" s="908">
        <f t="shared" si="3"/>
        <v>0</v>
      </c>
      <c r="AL3" s="908">
        <f t="shared" si="3"/>
        <v>0</v>
      </c>
      <c r="AM3" s="908">
        <f t="shared" si="3"/>
        <v>0</v>
      </c>
      <c r="AN3" s="908">
        <f t="shared" si="3"/>
        <v>0</v>
      </c>
      <c r="AO3" s="908">
        <f t="shared" si="3"/>
        <v>0</v>
      </c>
      <c r="AP3" s="908">
        <f t="shared" si="3"/>
        <v>0</v>
      </c>
    </row>
    <row r="4" spans="1:42" x14ac:dyDescent="0.2">
      <c r="A4" s="906" t="s">
        <v>601</v>
      </c>
      <c r="B4" s="907">
        <v>17.2</v>
      </c>
      <c r="C4" s="907">
        <v>20.18</v>
      </c>
      <c r="D4" s="907">
        <v>13.07</v>
      </c>
      <c r="E4" s="907">
        <v>14.360000000000001</v>
      </c>
      <c r="F4" s="907">
        <v>18.509999999999998</v>
      </c>
      <c r="G4" s="907">
        <v>11.765799522673031</v>
      </c>
      <c r="H4" s="907">
        <v>8.9867129629629634</v>
      </c>
      <c r="I4" s="907">
        <v>11.601757188498404</v>
      </c>
      <c r="J4" s="907">
        <v>10.58151</v>
      </c>
      <c r="K4" s="907">
        <v>14.085100000000001</v>
      </c>
      <c r="L4" s="907">
        <v>23.019559999999998</v>
      </c>
      <c r="M4" s="907">
        <f t="shared" ref="M4:O10" si="4">M42</f>
        <v>20.925599999999999</v>
      </c>
      <c r="N4" s="907">
        <f t="shared" si="4"/>
        <v>12.252219999999999</v>
      </c>
      <c r="O4" s="907">
        <f t="shared" si="4"/>
        <v>20.967741935483872</v>
      </c>
      <c r="P4" s="908"/>
      <c r="Q4" s="908">
        <f t="shared" ref="Q4:Q11" si="5">AVERAGE(B4:P4)</f>
        <v>15.53614297211559</v>
      </c>
      <c r="U4" s="909">
        <f t="shared" si="2"/>
        <v>14.028309530341414</v>
      </c>
      <c r="V4" s="910">
        <v>17.199006098938334</v>
      </c>
      <c r="W4" s="910">
        <v>20.18</v>
      </c>
      <c r="X4" s="910">
        <v>13.07</v>
      </c>
      <c r="Y4" s="910">
        <v>14.360000000000001</v>
      </c>
      <c r="Z4" s="910">
        <v>18.509999999999998</v>
      </c>
      <c r="AA4" s="910">
        <v>11.765799522673031</v>
      </c>
      <c r="AB4" s="910">
        <v>8.9867129629629634</v>
      </c>
      <c r="AC4" s="910">
        <v>11.601757188498404</v>
      </c>
      <c r="AD4" s="910">
        <v>10.58151</v>
      </c>
      <c r="AE4" s="910">
        <f t="shared" ref="AE4:AE10" si="6">AH18*100</f>
        <v>14.085100000000001</v>
      </c>
      <c r="AG4" s="908">
        <f t="shared" si="3"/>
        <v>9.9390106166552528E-4</v>
      </c>
      <c r="AH4" s="908">
        <f t="shared" si="3"/>
        <v>0</v>
      </c>
      <c r="AI4" s="908">
        <f t="shared" si="3"/>
        <v>0</v>
      </c>
      <c r="AJ4" s="908">
        <f t="shared" si="3"/>
        <v>0</v>
      </c>
      <c r="AK4" s="908">
        <f t="shared" si="3"/>
        <v>0</v>
      </c>
      <c r="AL4" s="908">
        <f t="shared" si="3"/>
        <v>0</v>
      </c>
      <c r="AM4" s="908">
        <f t="shared" si="3"/>
        <v>0</v>
      </c>
      <c r="AN4" s="908">
        <f t="shared" si="3"/>
        <v>0</v>
      </c>
      <c r="AO4" s="908">
        <f t="shared" si="3"/>
        <v>0</v>
      </c>
      <c r="AP4" s="908">
        <f t="shared" si="3"/>
        <v>0</v>
      </c>
    </row>
    <row r="5" spans="1:42" x14ac:dyDescent="0.2">
      <c r="A5" s="585" t="s">
        <v>602</v>
      </c>
      <c r="B5" s="907">
        <v>12.65</v>
      </c>
      <c r="C5" s="907">
        <v>10.74</v>
      </c>
      <c r="D5" s="907">
        <v>10.7</v>
      </c>
      <c r="E5" s="907">
        <v>10.29</v>
      </c>
      <c r="F5" s="907">
        <v>11.49</v>
      </c>
      <c r="G5" s="907">
        <v>10.435513126491646</v>
      </c>
      <c r="H5" s="907">
        <v>14.296851851851851</v>
      </c>
      <c r="I5" s="907">
        <v>13.274281150159744</v>
      </c>
      <c r="J5" s="907">
        <v>12.18516</v>
      </c>
      <c r="K5" s="907">
        <v>10.42243</v>
      </c>
      <c r="L5" s="907">
        <v>11.289359999999999</v>
      </c>
      <c r="M5" s="907">
        <f t="shared" si="4"/>
        <v>6.6603399999999997</v>
      </c>
      <c r="N5" s="907">
        <f t="shared" si="4"/>
        <v>6.9375600000000004</v>
      </c>
      <c r="O5" s="907">
        <f t="shared" si="4"/>
        <v>8.870967741935484</v>
      </c>
      <c r="P5" s="908"/>
      <c r="Q5" s="908">
        <f t="shared" si="5"/>
        <v>10.731604562174194</v>
      </c>
      <c r="U5" s="909">
        <f t="shared" si="2"/>
        <v>11.784606222696178</v>
      </c>
      <c r="V5" s="910">
        <v>12.649649875762368</v>
      </c>
      <c r="W5" s="910">
        <v>10.74</v>
      </c>
      <c r="X5" s="910">
        <v>10.7</v>
      </c>
      <c r="Y5" s="910">
        <v>10.290000000000001</v>
      </c>
      <c r="Z5" s="910">
        <v>11.490000000000002</v>
      </c>
      <c r="AA5" s="910">
        <v>10.435513126491646</v>
      </c>
      <c r="AB5" s="910">
        <v>14.296851851851851</v>
      </c>
      <c r="AC5" s="910">
        <v>13.274281150159744</v>
      </c>
      <c r="AD5" s="910">
        <v>12.18516</v>
      </c>
      <c r="AE5" s="910">
        <f t="shared" si="6"/>
        <v>10.42243</v>
      </c>
      <c r="AG5" s="908">
        <f t="shared" si="3"/>
        <v>3.5012423763269851E-4</v>
      </c>
      <c r="AH5" s="908">
        <f t="shared" si="3"/>
        <v>0</v>
      </c>
      <c r="AI5" s="908">
        <f t="shared" si="3"/>
        <v>0</v>
      </c>
      <c r="AJ5" s="908">
        <f t="shared" si="3"/>
        <v>0</v>
      </c>
      <c r="AK5" s="908">
        <f t="shared" si="3"/>
        <v>0</v>
      </c>
      <c r="AL5" s="908">
        <f t="shared" si="3"/>
        <v>0</v>
      </c>
      <c r="AM5" s="908">
        <f t="shared" si="3"/>
        <v>0</v>
      </c>
      <c r="AN5" s="908">
        <f t="shared" si="3"/>
        <v>0</v>
      </c>
      <c r="AO5" s="908">
        <f t="shared" si="3"/>
        <v>0</v>
      </c>
      <c r="AP5" s="908">
        <f t="shared" si="3"/>
        <v>0</v>
      </c>
    </row>
    <row r="6" spans="1:42" x14ac:dyDescent="0.2">
      <c r="A6" s="906" t="s">
        <v>603</v>
      </c>
      <c r="B6" s="907">
        <v>8.06</v>
      </c>
      <c r="C6" s="907">
        <v>7.0900000000000007</v>
      </c>
      <c r="D6" s="907">
        <v>12.959999999999999</v>
      </c>
      <c r="E6" s="907">
        <v>8.74</v>
      </c>
      <c r="F6" s="907">
        <v>6.21</v>
      </c>
      <c r="G6" s="907">
        <v>8.8068019093078771</v>
      </c>
      <c r="H6" s="907">
        <v>4.7468981481481478</v>
      </c>
      <c r="I6" s="907">
        <v>3.304696485623003</v>
      </c>
      <c r="J6" s="907">
        <v>5.7171700000000003</v>
      </c>
      <c r="K6" s="907">
        <v>11.60426</v>
      </c>
      <c r="L6" s="907">
        <v>8.3641000000000005</v>
      </c>
      <c r="M6" s="907">
        <f t="shared" si="4"/>
        <v>3.88008</v>
      </c>
      <c r="N6" s="907">
        <f t="shared" si="4"/>
        <v>2.69042</v>
      </c>
      <c r="O6" s="907">
        <f t="shared" si="4"/>
        <v>8.4677419354838701</v>
      </c>
      <c r="P6" s="908"/>
      <c r="Q6" s="908">
        <f t="shared" si="5"/>
        <v>7.1887263198973512</v>
      </c>
      <c r="U6" s="909">
        <f t="shared" si="2"/>
        <v>7.2928000674198943</v>
      </c>
      <c r="V6" s="910">
        <v>8.0596340637000239</v>
      </c>
      <c r="W6" s="910">
        <v>7.0900000000000007</v>
      </c>
      <c r="X6" s="910">
        <v>12.959999999999999</v>
      </c>
      <c r="Y6" s="910">
        <v>8.74</v>
      </c>
      <c r="Z6" s="910">
        <v>6.21</v>
      </c>
      <c r="AA6" s="910">
        <v>8.8068019093078771</v>
      </c>
      <c r="AB6" s="910">
        <v>4.7468981481481478</v>
      </c>
      <c r="AC6" s="910">
        <v>3.304696485623003</v>
      </c>
      <c r="AD6" s="910">
        <v>5.7171700000000003</v>
      </c>
      <c r="AE6" s="910">
        <f t="shared" si="6"/>
        <v>11.60426</v>
      </c>
      <c r="AG6" s="908">
        <f t="shared" si="3"/>
        <v>3.6593629997661026E-4</v>
      </c>
      <c r="AH6" s="908">
        <f t="shared" si="3"/>
        <v>0</v>
      </c>
      <c r="AI6" s="908">
        <f t="shared" si="3"/>
        <v>0</v>
      </c>
      <c r="AJ6" s="908">
        <f t="shared" si="3"/>
        <v>0</v>
      </c>
      <c r="AK6" s="908">
        <f t="shared" si="3"/>
        <v>0</v>
      </c>
      <c r="AL6" s="908">
        <f t="shared" si="3"/>
        <v>0</v>
      </c>
      <c r="AM6" s="908">
        <f t="shared" si="3"/>
        <v>0</v>
      </c>
      <c r="AN6" s="908">
        <f t="shared" si="3"/>
        <v>0</v>
      </c>
      <c r="AO6" s="908">
        <f t="shared" si="3"/>
        <v>0</v>
      </c>
      <c r="AP6" s="908">
        <f t="shared" si="3"/>
        <v>0</v>
      </c>
    </row>
    <row r="7" spans="1:42" x14ac:dyDescent="0.2">
      <c r="A7" s="906" t="s">
        <v>604</v>
      </c>
      <c r="B7" s="907">
        <v>36.44</v>
      </c>
      <c r="C7" s="907">
        <v>33.019999999999996</v>
      </c>
      <c r="D7" s="907">
        <v>43.79</v>
      </c>
      <c r="E7" s="907">
        <v>35.25</v>
      </c>
      <c r="F7" s="907">
        <v>33.35</v>
      </c>
      <c r="G7" s="907">
        <v>41.397326968973744</v>
      </c>
      <c r="H7" s="907">
        <v>30.260092592592592</v>
      </c>
      <c r="I7" s="907">
        <v>38.488210862619809</v>
      </c>
      <c r="J7" s="907">
        <v>35.366480000000003</v>
      </c>
      <c r="K7" s="907">
        <v>27.111130000000003</v>
      </c>
      <c r="L7" s="907">
        <v>32.691990000000004</v>
      </c>
      <c r="M7" s="907">
        <f t="shared" si="4"/>
        <v>29.689990000000002</v>
      </c>
      <c r="N7" s="907">
        <f t="shared" si="4"/>
        <v>35.217650000000006</v>
      </c>
      <c r="O7" s="907">
        <f t="shared" si="4"/>
        <v>19.758064516129032</v>
      </c>
      <c r="P7" s="908"/>
      <c r="Q7" s="908">
        <f t="shared" si="5"/>
        <v>33.702209638593949</v>
      </c>
      <c r="U7" s="909">
        <f t="shared" si="2"/>
        <v>36.37357083673097</v>
      </c>
      <c r="V7" s="910">
        <v>36.440027106392591</v>
      </c>
      <c r="W7" s="910">
        <v>33.019999999999996</v>
      </c>
      <c r="X7" s="910">
        <v>43.789999999999992</v>
      </c>
      <c r="Y7" s="910">
        <v>35.25</v>
      </c>
      <c r="Z7" s="910">
        <v>33.35</v>
      </c>
      <c r="AA7" s="910">
        <v>41.397326968973744</v>
      </c>
      <c r="AB7" s="910">
        <v>30.260092592592592</v>
      </c>
      <c r="AC7" s="910">
        <v>38.488210862619809</v>
      </c>
      <c r="AD7" s="910">
        <v>35.366480000000003</v>
      </c>
      <c r="AE7" s="910">
        <f t="shared" si="6"/>
        <v>27.111129999999999</v>
      </c>
      <c r="AG7" s="908">
        <f t="shared" si="3"/>
        <v>-2.7106392593623241E-5</v>
      </c>
      <c r="AH7" s="908">
        <f t="shared" si="3"/>
        <v>0</v>
      </c>
      <c r="AI7" s="908">
        <f t="shared" si="3"/>
        <v>0</v>
      </c>
      <c r="AJ7" s="908">
        <f t="shared" si="3"/>
        <v>0</v>
      </c>
      <c r="AK7" s="908">
        <f t="shared" si="3"/>
        <v>0</v>
      </c>
      <c r="AL7" s="908">
        <f t="shared" si="3"/>
        <v>0</v>
      </c>
      <c r="AM7" s="908">
        <f t="shared" si="3"/>
        <v>0</v>
      </c>
      <c r="AN7" s="908">
        <f t="shared" si="3"/>
        <v>0</v>
      </c>
      <c r="AO7" s="908">
        <f t="shared" si="3"/>
        <v>0</v>
      </c>
      <c r="AP7" s="908">
        <f t="shared" si="3"/>
        <v>0</v>
      </c>
    </row>
    <row r="8" spans="1:42" x14ac:dyDescent="0.2">
      <c r="A8" s="585" t="s">
        <v>605</v>
      </c>
      <c r="B8" s="907">
        <v>10.059999999999999</v>
      </c>
      <c r="C8" s="907">
        <v>1.06</v>
      </c>
      <c r="D8" s="907">
        <v>0.67</v>
      </c>
      <c r="E8" s="907">
        <v>1.05</v>
      </c>
      <c r="F8" s="907">
        <v>9.7900000000000009</v>
      </c>
      <c r="G8" s="907">
        <v>7.9493317422434373</v>
      </c>
      <c r="H8" s="907">
        <v>9.2921759259259264</v>
      </c>
      <c r="I8" s="907">
        <v>9.2357507987220444</v>
      </c>
      <c r="J8" s="907">
        <v>12.138719999999999</v>
      </c>
      <c r="K8" s="907">
        <v>13.083640000000001</v>
      </c>
      <c r="L8" s="907">
        <v>4.8894500000000001</v>
      </c>
      <c r="M8" s="907">
        <f t="shared" si="4"/>
        <v>9.2927099999999996</v>
      </c>
      <c r="N8" s="907">
        <f t="shared" si="4"/>
        <v>13.85529</v>
      </c>
      <c r="O8" s="907">
        <f t="shared" si="4"/>
        <v>10.080645161290322</v>
      </c>
      <c r="P8" s="908"/>
      <c r="Q8" s="908">
        <f t="shared" si="5"/>
        <v>8.0319795448701221</v>
      </c>
      <c r="U8" s="909">
        <f t="shared" si="2"/>
        <v>6.8052186500245533</v>
      </c>
      <c r="V8" s="910">
        <v>10.060989383329568</v>
      </c>
      <c r="W8" s="910">
        <v>1.06</v>
      </c>
      <c r="X8" s="910">
        <v>0.67</v>
      </c>
      <c r="Y8" s="910">
        <v>1.05</v>
      </c>
      <c r="Z8" s="910">
        <v>9.7900000000000009</v>
      </c>
      <c r="AA8" s="910">
        <v>7.9493317422434373</v>
      </c>
      <c r="AB8" s="910">
        <v>9.2921759259259264</v>
      </c>
      <c r="AC8" s="910">
        <v>9.2357507987220444</v>
      </c>
      <c r="AD8" s="910">
        <v>12.138719999999999</v>
      </c>
      <c r="AE8" s="910">
        <f t="shared" si="6"/>
        <v>13.083640000000003</v>
      </c>
      <c r="AG8" s="908">
        <f t="shared" si="3"/>
        <v>-9.8938332956954866E-4</v>
      </c>
      <c r="AH8" s="908">
        <f t="shared" si="3"/>
        <v>0</v>
      </c>
      <c r="AI8" s="908">
        <f t="shared" si="3"/>
        <v>0</v>
      </c>
      <c r="AJ8" s="908">
        <f t="shared" si="3"/>
        <v>0</v>
      </c>
      <c r="AK8" s="908">
        <f t="shared" si="3"/>
        <v>0</v>
      </c>
      <c r="AL8" s="908">
        <f t="shared" si="3"/>
        <v>0</v>
      </c>
      <c r="AM8" s="908">
        <f t="shared" si="3"/>
        <v>0</v>
      </c>
      <c r="AN8" s="908">
        <f t="shared" si="3"/>
        <v>0</v>
      </c>
      <c r="AO8" s="908">
        <f t="shared" si="3"/>
        <v>0</v>
      </c>
      <c r="AP8" s="908">
        <f t="shared" si="3"/>
        <v>0</v>
      </c>
    </row>
    <row r="9" spans="1:42" x14ac:dyDescent="0.2">
      <c r="A9" s="585" t="s">
        <v>606</v>
      </c>
      <c r="B9" s="907">
        <v>8.33</v>
      </c>
      <c r="C9" s="907">
        <v>5.0200000000000005</v>
      </c>
      <c r="D9" s="907">
        <v>1.71</v>
      </c>
      <c r="E9" s="907">
        <v>4.2700000000000005</v>
      </c>
      <c r="F9" s="907">
        <v>3.1199999999999997</v>
      </c>
      <c r="G9" s="907">
        <v>8.3656324582338897</v>
      </c>
      <c r="H9" s="907">
        <v>12.507731481481482</v>
      </c>
      <c r="I9" s="907">
        <v>9.0501597444089459</v>
      </c>
      <c r="J9" s="907">
        <v>7.2964200000000003</v>
      </c>
      <c r="K9" s="907">
        <v>6.4314200000000001</v>
      </c>
      <c r="L9" s="907">
        <v>2.78227</v>
      </c>
      <c r="M9" s="907">
        <f t="shared" si="4"/>
        <v>5.6587399999999999</v>
      </c>
      <c r="N9" s="907">
        <f t="shared" si="4"/>
        <v>4.8215899999999996</v>
      </c>
      <c r="O9" s="907">
        <f t="shared" si="4"/>
        <v>6.0483870967741939</v>
      </c>
      <c r="P9" s="908"/>
      <c r="Q9" s="908">
        <f t="shared" si="5"/>
        <v>6.1008821986356079</v>
      </c>
      <c r="U9" s="909">
        <f t="shared" si="2"/>
        <v>6.6300712970815034</v>
      </c>
      <c r="V9" s="910">
        <v>8.3306979896092166</v>
      </c>
      <c r="W9" s="910">
        <v>5.0200000000000005</v>
      </c>
      <c r="X9" s="910">
        <v>1.71</v>
      </c>
      <c r="Y9" s="910">
        <v>4.2700000000000005</v>
      </c>
      <c r="Z9" s="910">
        <v>3.1199999999999997</v>
      </c>
      <c r="AA9" s="910">
        <v>8.3656324582338897</v>
      </c>
      <c r="AB9" s="910">
        <v>12.507731481481482</v>
      </c>
      <c r="AC9" s="910">
        <v>9.0501597444089459</v>
      </c>
      <c r="AD9" s="910">
        <v>7.2964200000000003</v>
      </c>
      <c r="AE9" s="910">
        <f t="shared" si="6"/>
        <v>6.4314200000000001</v>
      </c>
      <c r="AG9" s="908">
        <f t="shared" si="3"/>
        <v>-6.9798960921652053E-4</v>
      </c>
      <c r="AH9" s="908">
        <f t="shared" si="3"/>
        <v>0</v>
      </c>
      <c r="AI9" s="908">
        <f t="shared" si="3"/>
        <v>0</v>
      </c>
      <c r="AJ9" s="908">
        <f t="shared" si="3"/>
        <v>0</v>
      </c>
      <c r="AK9" s="908">
        <f t="shared" si="3"/>
        <v>0</v>
      </c>
      <c r="AL9" s="908">
        <f t="shared" si="3"/>
        <v>0</v>
      </c>
      <c r="AM9" s="908">
        <f t="shared" si="3"/>
        <v>0</v>
      </c>
      <c r="AN9" s="908">
        <f t="shared" si="3"/>
        <v>0</v>
      </c>
      <c r="AO9" s="908">
        <f t="shared" si="3"/>
        <v>0</v>
      </c>
      <c r="AP9" s="908">
        <f t="shared" si="3"/>
        <v>0</v>
      </c>
    </row>
    <row r="10" spans="1:42" x14ac:dyDescent="0.2">
      <c r="A10" s="585" t="s">
        <v>607</v>
      </c>
      <c r="B10" s="907">
        <v>2.58</v>
      </c>
      <c r="C10" s="907">
        <v>3.29</v>
      </c>
      <c r="D10" s="907">
        <v>2.5499999999999998</v>
      </c>
      <c r="E10" s="907">
        <v>4.24</v>
      </c>
      <c r="F10" s="907">
        <v>3.42</v>
      </c>
      <c r="G10" s="907">
        <v>3.1503341288782813</v>
      </c>
      <c r="H10" s="907">
        <v>7.5125925925925925</v>
      </c>
      <c r="I10" s="907">
        <v>3.4513738019169331</v>
      </c>
      <c r="J10" s="907">
        <v>1.5432500000000002</v>
      </c>
      <c r="K10" s="907">
        <v>1.67336</v>
      </c>
      <c r="L10" s="907">
        <v>0.91421000000000008</v>
      </c>
      <c r="M10" s="907">
        <f t="shared" si="4"/>
        <v>2.3088899999999999</v>
      </c>
      <c r="N10" s="907">
        <f t="shared" si="4"/>
        <v>1.7146100000000002</v>
      </c>
      <c r="O10" s="907">
        <f t="shared" si="4"/>
        <v>0.80645161290322576</v>
      </c>
      <c r="P10" s="908"/>
      <c r="Q10" s="908">
        <f t="shared" si="5"/>
        <v>2.7967908668779304</v>
      </c>
      <c r="U10" s="909">
        <f t="shared" si="2"/>
        <v>3.5263528390692924</v>
      </c>
      <c r="V10" s="910">
        <v>2.5796250282358253</v>
      </c>
      <c r="W10" s="910">
        <v>3.29</v>
      </c>
      <c r="X10" s="910">
        <v>2.5499999999999998</v>
      </c>
      <c r="Y10" s="910">
        <v>4.24</v>
      </c>
      <c r="Z10" s="910">
        <v>3.42</v>
      </c>
      <c r="AA10" s="910">
        <v>3.1503341288782813</v>
      </c>
      <c r="AB10" s="910">
        <v>7.5125925925925934</v>
      </c>
      <c r="AC10" s="910">
        <v>3.4513738019169327</v>
      </c>
      <c r="AD10" s="910">
        <v>1.5432500000000005</v>
      </c>
      <c r="AE10" s="910">
        <f t="shared" si="6"/>
        <v>1.6733600000000002</v>
      </c>
      <c r="AG10" s="908">
        <f t="shared" si="3"/>
        <v>3.7497176417478073E-4</v>
      </c>
      <c r="AH10" s="908">
        <f t="shared" si="3"/>
        <v>0</v>
      </c>
      <c r="AI10" s="908">
        <f t="shared" si="3"/>
        <v>0</v>
      </c>
      <c r="AJ10" s="908">
        <f t="shared" si="3"/>
        <v>0</v>
      </c>
      <c r="AK10" s="908">
        <f t="shared" si="3"/>
        <v>0</v>
      </c>
      <c r="AL10" s="908">
        <f t="shared" si="3"/>
        <v>0</v>
      </c>
      <c r="AM10" s="908">
        <f t="shared" si="3"/>
        <v>0</v>
      </c>
      <c r="AN10" s="908">
        <f t="shared" si="3"/>
        <v>0</v>
      </c>
      <c r="AO10" s="908">
        <f t="shared" si="3"/>
        <v>0</v>
      </c>
      <c r="AP10" s="908">
        <f t="shared" si="3"/>
        <v>0</v>
      </c>
    </row>
    <row r="11" spans="1:42" x14ac:dyDescent="0.2">
      <c r="A11" s="585" t="s">
        <v>608</v>
      </c>
      <c r="B11" s="908">
        <v>100</v>
      </c>
      <c r="C11" s="908">
        <v>100.01</v>
      </c>
      <c r="D11" s="908">
        <v>99.99</v>
      </c>
      <c r="E11" s="908">
        <v>99.999999999999986</v>
      </c>
      <c r="F11" s="908">
        <v>100.00000000000001</v>
      </c>
      <c r="G11" s="908">
        <v>99.999999999999986</v>
      </c>
      <c r="H11" s="908">
        <v>100.00000000000001</v>
      </c>
      <c r="I11" s="908">
        <v>100</v>
      </c>
      <c r="J11" s="908">
        <v>100.00001000000002</v>
      </c>
      <c r="K11" s="908">
        <v>100.00001000000002</v>
      </c>
      <c r="L11" s="908">
        <v>99.999979999999994</v>
      </c>
      <c r="M11" s="908">
        <v>100.00000000000001</v>
      </c>
      <c r="N11" s="908">
        <v>100.00000000000001</v>
      </c>
      <c r="O11" s="908">
        <v>100.00000000000001</v>
      </c>
      <c r="P11" s="908"/>
      <c r="Q11" s="911">
        <f t="shared" si="5"/>
        <v>100</v>
      </c>
      <c r="R11" s="912" t="s">
        <v>609</v>
      </c>
    </row>
    <row r="12" spans="1:42" x14ac:dyDescent="0.2">
      <c r="A12" s="913" t="s">
        <v>610</v>
      </c>
      <c r="B12" s="914">
        <v>18.39</v>
      </c>
      <c r="C12" s="914">
        <v>6.08</v>
      </c>
      <c r="D12" s="914">
        <v>2.38</v>
      </c>
      <c r="E12" s="914">
        <v>5.32</v>
      </c>
      <c r="F12" s="914">
        <v>12.91</v>
      </c>
      <c r="G12" s="914">
        <v>16.314964200477327</v>
      </c>
      <c r="H12" s="914">
        <v>21.79990740740741</v>
      </c>
      <c r="I12" s="914">
        <v>18.285910543130989</v>
      </c>
      <c r="J12" s="914">
        <v>19.435140000000001</v>
      </c>
      <c r="K12" s="914">
        <v>19.515060000000002</v>
      </c>
      <c r="L12" s="914">
        <v>7.6717200000000005</v>
      </c>
      <c r="M12" s="914">
        <f>M8+M9</f>
        <v>14.951449999999999</v>
      </c>
      <c r="N12" s="914">
        <f>N8+N9</f>
        <v>18.676880000000001</v>
      </c>
      <c r="O12" s="909">
        <v>15.771430000000001</v>
      </c>
      <c r="P12" s="915"/>
      <c r="Q12" s="910">
        <f>AVERAGE(B12:P12)</f>
        <v>14.107318725072551</v>
      </c>
      <c r="R12" s="916">
        <f>AVERAGE(K12:O12)</f>
        <v>15.317308000000001</v>
      </c>
      <c r="S12" s="917">
        <f>'[3]Tab 5 (CH Ian 23)'!P21*100</f>
        <v>18.676880000000001</v>
      </c>
    </row>
    <row r="13" spans="1:42" x14ac:dyDescent="0.2">
      <c r="A13" s="918" t="s">
        <v>611</v>
      </c>
      <c r="B13" s="910">
        <f>SUM(B6,B3:B4,B7)</f>
        <v>66.38</v>
      </c>
      <c r="C13" s="910">
        <f t="shared" ref="C13:L13" si="7">SUM(C6,C3:C4,C7)</f>
        <v>79.899999999999991</v>
      </c>
      <c r="D13" s="910">
        <f t="shared" si="7"/>
        <v>84.36</v>
      </c>
      <c r="E13" s="910">
        <f t="shared" si="7"/>
        <v>80.150000000000006</v>
      </c>
      <c r="F13" s="910">
        <f t="shared" si="7"/>
        <v>72.180000000000007</v>
      </c>
      <c r="G13" s="910">
        <f t="shared" si="7"/>
        <v>70.099188544152739</v>
      </c>
      <c r="H13" s="910">
        <f t="shared" si="7"/>
        <v>56.390648148148145</v>
      </c>
      <c r="I13" s="910">
        <f t="shared" si="7"/>
        <v>64.988434504792338</v>
      </c>
      <c r="J13" s="910">
        <f t="shared" si="7"/>
        <v>66.836460000000002</v>
      </c>
      <c r="K13" s="910">
        <f t="shared" si="7"/>
        <v>68.389160000000004</v>
      </c>
      <c r="L13" s="910">
        <f t="shared" si="7"/>
        <v>80.124690000000001</v>
      </c>
      <c r="M13" s="910">
        <f>SUM(M6,M3:M4,M7)</f>
        <v>76.079319999999996</v>
      </c>
      <c r="N13" s="910">
        <f>SUM(N6,N3:N4,N7)</f>
        <v>72.670940000000002</v>
      </c>
      <c r="O13" s="910"/>
    </row>
    <row r="14" spans="1:42" x14ac:dyDescent="0.2">
      <c r="A14" s="585" t="s">
        <v>612</v>
      </c>
      <c r="B14" s="585" t="s">
        <v>36</v>
      </c>
    </row>
    <row r="15" spans="1:42" ht="15.75" customHeight="1" x14ac:dyDescent="0.2">
      <c r="A15" s="585" t="s">
        <v>598</v>
      </c>
      <c r="B15" s="585">
        <v>2007</v>
      </c>
      <c r="C15" s="585">
        <v>2010</v>
      </c>
      <c r="D15" s="585">
        <v>2011</v>
      </c>
      <c r="E15" s="585">
        <v>2012</v>
      </c>
      <c r="F15" s="585">
        <v>2013</v>
      </c>
      <c r="G15" s="585">
        <v>2014</v>
      </c>
      <c r="H15" s="585">
        <v>2017</v>
      </c>
      <c r="I15" s="585">
        <v>2018</v>
      </c>
      <c r="J15" s="585">
        <v>2019</v>
      </c>
      <c r="K15" s="585">
        <v>2020</v>
      </c>
      <c r="L15" s="585">
        <v>2021</v>
      </c>
      <c r="M15" s="585">
        <v>2022</v>
      </c>
      <c r="N15" s="585">
        <f>N2</f>
        <v>2023</v>
      </c>
      <c r="O15" s="585">
        <v>2023</v>
      </c>
      <c r="Q15" s="919" t="s">
        <v>150</v>
      </c>
      <c r="W15" s="585">
        <v>1992</v>
      </c>
      <c r="X15" s="585">
        <v>1993</v>
      </c>
      <c r="Y15" s="585">
        <v>2007</v>
      </c>
      <c r="Z15" s="585">
        <v>2010</v>
      </c>
      <c r="AA15" s="585">
        <v>2011</v>
      </c>
      <c r="AB15" s="585">
        <v>2012</v>
      </c>
      <c r="AC15" s="585">
        <v>2013</v>
      </c>
      <c r="AD15" s="585">
        <v>2014</v>
      </c>
      <c r="AE15" s="585">
        <v>2017</v>
      </c>
      <c r="AF15" s="585">
        <v>2018</v>
      </c>
      <c r="AG15" s="585">
        <v>2019</v>
      </c>
      <c r="AH15" s="585">
        <v>2020</v>
      </c>
      <c r="AI15" s="585">
        <v>2021</v>
      </c>
      <c r="AJ15" s="585">
        <v>2022</v>
      </c>
      <c r="AK15" s="585">
        <v>2023</v>
      </c>
      <c r="AN15" s="585" t="s">
        <v>150</v>
      </c>
    </row>
    <row r="16" spans="1:42" x14ac:dyDescent="0.2">
      <c r="A16" s="585" t="s">
        <v>600</v>
      </c>
      <c r="B16" s="920">
        <v>26.161200000000001</v>
      </c>
      <c r="C16" s="920">
        <v>70.399900000000002</v>
      </c>
      <c r="D16" s="920">
        <v>72.7</v>
      </c>
      <c r="E16" s="920">
        <v>109</v>
      </c>
      <c r="F16" s="920">
        <v>70.408900000000003</v>
      </c>
      <c r="G16" s="920">
        <v>34.061599999999999</v>
      </c>
      <c r="H16" s="920">
        <v>26.777399999999997</v>
      </c>
      <c r="I16" s="920">
        <v>36.288499999999999</v>
      </c>
      <c r="J16" s="920">
        <v>67.967423999999994</v>
      </c>
      <c r="K16" s="920">
        <v>50.351404099999996</v>
      </c>
      <c r="L16" s="920">
        <v>59.862919200000007</v>
      </c>
      <c r="M16" s="920">
        <v>100.3639725</v>
      </c>
      <c r="N16" s="920">
        <v>66.406417500000003</v>
      </c>
      <c r="O16" s="920">
        <v>124</v>
      </c>
      <c r="P16" s="920"/>
      <c r="Q16" s="920">
        <f t="shared" ref="Q16:Q25" si="8">AVERAGE(B16:P16)</f>
        <v>65.339259807142852</v>
      </c>
    </row>
    <row r="17" spans="1:40" x14ac:dyDescent="0.2">
      <c r="A17" s="585" t="s">
        <v>601</v>
      </c>
      <c r="B17" s="920">
        <v>96.147999999999996</v>
      </c>
      <c r="C17" s="920">
        <v>72.446200000000005</v>
      </c>
      <c r="D17" s="920">
        <v>65.350000000000009</v>
      </c>
      <c r="E17" s="920">
        <v>71.8</v>
      </c>
      <c r="F17" s="920">
        <v>92.364899999999992</v>
      </c>
      <c r="G17" s="920">
        <v>49.298699999999997</v>
      </c>
      <c r="H17" s="920">
        <v>19.411300000000001</v>
      </c>
      <c r="I17" s="920">
        <v>36.313500000000005</v>
      </c>
      <c r="J17" s="920">
        <v>47.405164800000001</v>
      </c>
      <c r="K17" s="920">
        <v>45.494872999999998</v>
      </c>
      <c r="L17" s="920">
        <v>85.862958800000001</v>
      </c>
      <c r="M17" s="920">
        <v>97.304040000000001</v>
      </c>
      <c r="N17" s="920">
        <v>36.144049000000003</v>
      </c>
      <c r="O17" s="920">
        <v>104</v>
      </c>
      <c r="P17" s="920"/>
      <c r="Q17" s="920">
        <f t="shared" si="8"/>
        <v>65.667406114285711</v>
      </c>
      <c r="V17" s="585" t="s">
        <v>613</v>
      </c>
      <c r="W17" s="921">
        <v>0.21709900047596384</v>
      </c>
      <c r="X17" s="921">
        <v>0.22930603691464496</v>
      </c>
      <c r="Y17" s="921">
        <v>4.6803704540320762E-2</v>
      </c>
      <c r="Z17" s="921">
        <v>0.1961</v>
      </c>
      <c r="AA17" s="921">
        <v>0.1454</v>
      </c>
      <c r="AB17" s="921">
        <v>0.218</v>
      </c>
      <c r="AC17" s="921">
        <v>0.1411</v>
      </c>
      <c r="AD17" s="921">
        <v>8.1292601431980901E-2</v>
      </c>
      <c r="AE17" s="921">
        <v>0.12396944444444444</v>
      </c>
      <c r="AF17" s="921">
        <v>0.11593769968051118</v>
      </c>
      <c r="AG17" s="921">
        <v>0.15171300000000001</v>
      </c>
      <c r="AH17" s="921">
        <v>0.15588670000000002</v>
      </c>
      <c r="AM17" s="921"/>
      <c r="AN17" s="921">
        <v>0.15188401562398882</v>
      </c>
    </row>
    <row r="18" spans="1:40" x14ac:dyDescent="0.2">
      <c r="A18" s="585" t="s">
        <v>602</v>
      </c>
      <c r="B18" s="920">
        <v>70.71350000000001</v>
      </c>
      <c r="C18" s="920">
        <v>38.556599999999996</v>
      </c>
      <c r="D18" s="920">
        <v>53.5</v>
      </c>
      <c r="E18" s="920">
        <v>51.45</v>
      </c>
      <c r="F18" s="920">
        <v>57.335100000000004</v>
      </c>
      <c r="G18" s="920">
        <v>43.724799999999995</v>
      </c>
      <c r="H18" s="920">
        <v>30.881199999999996</v>
      </c>
      <c r="I18" s="920">
        <v>41.548499999999997</v>
      </c>
      <c r="J18" s="920">
        <v>54.589516799999998</v>
      </c>
      <c r="K18" s="920">
        <v>33.664448900000004</v>
      </c>
      <c r="L18" s="920">
        <v>42.109312799999998</v>
      </c>
      <c r="M18" s="920">
        <v>30.970580999999999</v>
      </c>
      <c r="N18" s="920">
        <v>20.465802</v>
      </c>
      <c r="O18" s="920">
        <v>44</v>
      </c>
      <c r="P18" s="920"/>
      <c r="Q18" s="920">
        <f t="shared" si="8"/>
        <v>43.822097250000013</v>
      </c>
      <c r="V18" s="585" t="s">
        <v>614</v>
      </c>
      <c r="W18" s="921">
        <v>0.12684435982865302</v>
      </c>
      <c r="X18" s="921">
        <v>8.4750544047714996E-2</v>
      </c>
      <c r="Y18" s="921">
        <v>0.17199006098938333</v>
      </c>
      <c r="Z18" s="921">
        <v>0.20180000000000001</v>
      </c>
      <c r="AA18" s="921">
        <v>0.13070000000000001</v>
      </c>
      <c r="AB18" s="921">
        <v>0.14360000000000001</v>
      </c>
      <c r="AC18" s="921">
        <v>0.18509999999999999</v>
      </c>
      <c r="AD18" s="921">
        <v>0.11765799522673032</v>
      </c>
      <c r="AE18" s="921">
        <v>8.986712962962963E-2</v>
      </c>
      <c r="AF18" s="921">
        <v>0.11601757188498403</v>
      </c>
      <c r="AG18" s="921">
        <v>0.1058151</v>
      </c>
      <c r="AH18" s="921">
        <v>0.140851</v>
      </c>
      <c r="AM18" s="921"/>
      <c r="AN18" s="921">
        <v>0.13458281346725795</v>
      </c>
    </row>
    <row r="19" spans="1:40" x14ac:dyDescent="0.2">
      <c r="A19" s="585" t="s">
        <v>603</v>
      </c>
      <c r="B19" s="920">
        <v>45.055400000000006</v>
      </c>
      <c r="C19" s="920">
        <v>25.453100000000003</v>
      </c>
      <c r="D19" s="920">
        <v>64.8</v>
      </c>
      <c r="E19" s="920">
        <v>43.7</v>
      </c>
      <c r="F19" s="920">
        <v>30.9879</v>
      </c>
      <c r="G19" s="920">
        <v>36.900500000000008</v>
      </c>
      <c r="H19" s="920">
        <v>10.253299999999999</v>
      </c>
      <c r="I19" s="920">
        <v>10.343699999999998</v>
      </c>
      <c r="J19" s="920">
        <v>25.6129216</v>
      </c>
      <c r="K19" s="920">
        <v>37.481759799999999</v>
      </c>
      <c r="L19" s="920">
        <v>31.198093000000004</v>
      </c>
      <c r="M19" s="920">
        <v>18.042372</v>
      </c>
      <c r="N19" s="920">
        <v>7.9367390000000002</v>
      </c>
      <c r="O19" s="920">
        <v>42</v>
      </c>
      <c r="P19" s="920"/>
      <c r="Q19" s="920">
        <f t="shared" si="8"/>
        <v>30.697556100000007</v>
      </c>
      <c r="V19" s="585" t="s">
        <v>615</v>
      </c>
      <c r="W19" s="921">
        <v>0.26160161827701095</v>
      </c>
      <c r="X19" s="921">
        <v>0.19468848230837429</v>
      </c>
      <c r="Y19" s="921">
        <v>0.12649649875762367</v>
      </c>
      <c r="Z19" s="921">
        <v>0.1074</v>
      </c>
      <c r="AA19" s="921">
        <v>0.107</v>
      </c>
      <c r="AB19" s="921">
        <v>0.10290000000000001</v>
      </c>
      <c r="AC19" s="921">
        <v>0.11490000000000002</v>
      </c>
      <c r="AD19" s="921">
        <v>0.10435513126491647</v>
      </c>
      <c r="AE19" s="921">
        <v>0.14296851851851852</v>
      </c>
      <c r="AF19" s="921">
        <v>0.13274281150159745</v>
      </c>
      <c r="AG19" s="921">
        <v>0.1218516</v>
      </c>
      <c r="AH19" s="921">
        <v>0.10422430000000001</v>
      </c>
      <c r="AM19" s="921"/>
      <c r="AN19" s="921">
        <v>0.13509408005233678</v>
      </c>
    </row>
    <row r="20" spans="1:40" x14ac:dyDescent="0.2">
      <c r="A20" s="585" t="s">
        <v>604</v>
      </c>
      <c r="B20" s="920">
        <v>203.6996</v>
      </c>
      <c r="C20" s="920">
        <v>118.54179999999999</v>
      </c>
      <c r="D20" s="920">
        <v>218.95</v>
      </c>
      <c r="E20" s="920">
        <v>176.25</v>
      </c>
      <c r="F20" s="920">
        <v>166.41650000000001</v>
      </c>
      <c r="G20" s="920">
        <v>173.45480000000001</v>
      </c>
      <c r="H20" s="920">
        <v>65.361799999999988</v>
      </c>
      <c r="I20" s="920">
        <v>120.46809999999999</v>
      </c>
      <c r="J20" s="920">
        <v>158.44183040000001</v>
      </c>
      <c r="K20" s="920">
        <v>87.568949900000007</v>
      </c>
      <c r="L20" s="920">
        <v>121.94112270000001</v>
      </c>
      <c r="M20" s="920">
        <v>138.05845349999998</v>
      </c>
      <c r="N20" s="920">
        <v>103.8920675</v>
      </c>
      <c r="O20" s="920">
        <v>98</v>
      </c>
      <c r="P20" s="920"/>
      <c r="Q20" s="920">
        <f t="shared" si="8"/>
        <v>139.36035885714287</v>
      </c>
      <c r="V20" s="585" t="s">
        <v>616</v>
      </c>
      <c r="W20" s="921">
        <v>9.4478819609709663E-2</v>
      </c>
      <c r="X20" s="921">
        <v>5.9482550173289274E-2</v>
      </c>
      <c r="Y20" s="921">
        <v>8.0596340637000233E-2</v>
      </c>
      <c r="Z20" s="921">
        <v>7.0900000000000005E-2</v>
      </c>
      <c r="AA20" s="921">
        <v>0.12959999999999999</v>
      </c>
      <c r="AB20" s="921">
        <v>8.7400000000000005E-2</v>
      </c>
      <c r="AC20" s="921">
        <v>6.2100000000000002E-2</v>
      </c>
      <c r="AD20" s="921">
        <v>8.8068019093078764E-2</v>
      </c>
      <c r="AE20" s="921">
        <v>4.746898148148148E-2</v>
      </c>
      <c r="AF20" s="921">
        <v>3.3046964856230029E-2</v>
      </c>
      <c r="AG20" s="921">
        <v>5.7171700000000006E-2</v>
      </c>
      <c r="AH20" s="921">
        <v>0.1160426</v>
      </c>
      <c r="AM20" s="921"/>
      <c r="AN20" s="921">
        <v>7.7196331320899134E-2</v>
      </c>
    </row>
    <row r="21" spans="1:40" x14ac:dyDescent="0.2">
      <c r="A21" s="585" t="s">
        <v>605</v>
      </c>
      <c r="B21" s="920">
        <v>56.235399999999998</v>
      </c>
      <c r="C21" s="920">
        <v>3.8054000000000001</v>
      </c>
      <c r="D21" s="920">
        <v>3.35</v>
      </c>
      <c r="E21" s="920">
        <v>5.25</v>
      </c>
      <c r="F21" s="920">
        <v>48.8521</v>
      </c>
      <c r="G21" s="920">
        <v>33.307700000000004</v>
      </c>
      <c r="H21" s="920">
        <v>20.071100000000001</v>
      </c>
      <c r="I21" s="920">
        <v>28.907899999999998</v>
      </c>
      <c r="J21" s="920">
        <v>54.381465599999991</v>
      </c>
      <c r="K21" s="920">
        <v>42.260157200000002</v>
      </c>
      <c r="L21" s="920">
        <v>18.237648499999999</v>
      </c>
      <c r="M21" s="920">
        <v>43.211101499999998</v>
      </c>
      <c r="N21" s="920">
        <v>40.873105500000001</v>
      </c>
      <c r="O21" s="920">
        <v>50</v>
      </c>
      <c r="P21" s="920"/>
      <c r="Q21" s="920">
        <f t="shared" si="8"/>
        <v>32.053077021428571</v>
      </c>
      <c r="V21" s="585" t="s">
        <v>617</v>
      </c>
      <c r="W21" s="921">
        <v>0.17402427415516422</v>
      </c>
      <c r="X21" s="921">
        <v>0.19839606673651972</v>
      </c>
      <c r="Y21" s="921">
        <v>0.36440027106392592</v>
      </c>
      <c r="Z21" s="921">
        <v>0.33019999999999999</v>
      </c>
      <c r="AA21" s="921">
        <v>0.43789999999999996</v>
      </c>
      <c r="AB21" s="921">
        <v>0.35250000000000004</v>
      </c>
      <c r="AC21" s="921">
        <v>0.33350000000000002</v>
      </c>
      <c r="AD21" s="921">
        <v>0.41397326968973747</v>
      </c>
      <c r="AE21" s="921">
        <v>0.30260092592592591</v>
      </c>
      <c r="AF21" s="921">
        <v>0.38488210862619809</v>
      </c>
      <c r="AG21" s="921">
        <v>0.3536648</v>
      </c>
      <c r="AH21" s="921">
        <v>0.2711113</v>
      </c>
      <c r="AM21" s="921"/>
      <c r="AN21" s="921">
        <v>0.32642941801645592</v>
      </c>
    </row>
    <row r="22" spans="1:40" x14ac:dyDescent="0.2">
      <c r="A22" s="585" t="s">
        <v>606</v>
      </c>
      <c r="B22" s="920">
        <v>46.564700000000002</v>
      </c>
      <c r="C22" s="920">
        <v>18.021799999999999</v>
      </c>
      <c r="D22" s="920">
        <v>8.5500000000000007</v>
      </c>
      <c r="E22" s="920">
        <v>21.35</v>
      </c>
      <c r="F22" s="920">
        <v>15.5688</v>
      </c>
      <c r="G22" s="920">
        <v>35.052</v>
      </c>
      <c r="H22" s="920">
        <v>27.0167</v>
      </c>
      <c r="I22" s="920">
        <v>28.327000000000002</v>
      </c>
      <c r="J22" s="920">
        <v>32.687961600000001</v>
      </c>
      <c r="K22" s="920">
        <v>20.773486600000002</v>
      </c>
      <c r="L22" s="920">
        <v>10.377867100000001</v>
      </c>
      <c r="M22" s="920">
        <v>26.313141000000002</v>
      </c>
      <c r="N22" s="920">
        <v>14.223690499999998</v>
      </c>
      <c r="O22" s="920">
        <v>30</v>
      </c>
      <c r="P22" s="920"/>
      <c r="Q22" s="920">
        <f t="shared" si="8"/>
        <v>23.916224771428574</v>
      </c>
      <c r="V22" s="585" t="s">
        <v>618</v>
      </c>
      <c r="W22" s="921">
        <v>3.1056639695383151E-2</v>
      </c>
      <c r="X22" s="921">
        <v>7.8907068590311921E-2</v>
      </c>
      <c r="Y22" s="921">
        <v>0.10060989383329569</v>
      </c>
      <c r="Z22" s="921">
        <v>1.06E-2</v>
      </c>
      <c r="AA22" s="921">
        <v>6.7000000000000002E-3</v>
      </c>
      <c r="AB22" s="921">
        <v>1.0500000000000001E-2</v>
      </c>
      <c r="AC22" s="921">
        <v>9.7900000000000015E-2</v>
      </c>
      <c r="AD22" s="921">
        <v>7.9493317422434373E-2</v>
      </c>
      <c r="AE22" s="921">
        <v>9.292175925925926E-2</v>
      </c>
      <c r="AF22" s="921">
        <v>9.235750798722045E-2</v>
      </c>
      <c r="AG22" s="921">
        <v>0.12138719999999999</v>
      </c>
      <c r="AH22" s="921">
        <v>0.13083640000000002</v>
      </c>
      <c r="AM22" s="921"/>
      <c r="AN22" s="921">
        <v>7.1105815565658745E-2</v>
      </c>
    </row>
    <row r="23" spans="1:40" x14ac:dyDescent="0.2">
      <c r="A23" s="585" t="s">
        <v>607</v>
      </c>
      <c r="B23" s="920">
        <v>14.4222</v>
      </c>
      <c r="C23" s="920">
        <v>11.8111</v>
      </c>
      <c r="D23" s="920">
        <v>12.75</v>
      </c>
      <c r="E23" s="920">
        <v>21.2</v>
      </c>
      <c r="F23" s="920">
        <v>17.065800000000003</v>
      </c>
      <c r="G23" s="920">
        <v>13.1999</v>
      </c>
      <c r="H23" s="920">
        <v>16.2272</v>
      </c>
      <c r="I23" s="920">
        <v>10.802800000000001</v>
      </c>
      <c r="J23" s="920">
        <v>6.9137600000000008</v>
      </c>
      <c r="K23" s="920">
        <v>5.4049527999999993</v>
      </c>
      <c r="L23" s="920">
        <v>3.4100033000000005</v>
      </c>
      <c r="M23" s="920">
        <v>10.7363385</v>
      </c>
      <c r="N23" s="920">
        <v>5.0580995</v>
      </c>
      <c r="O23" s="920">
        <v>4</v>
      </c>
      <c r="P23" s="920"/>
      <c r="Q23" s="920">
        <f t="shared" si="8"/>
        <v>10.928725292857141</v>
      </c>
      <c r="V23" s="585" t="s">
        <v>425</v>
      </c>
      <c r="W23" s="921">
        <v>5.4973821989528798E-2</v>
      </c>
      <c r="X23" s="921">
        <v>0.1398807125010075</v>
      </c>
      <c r="Y23" s="921">
        <v>8.3306979896092162E-2</v>
      </c>
      <c r="Z23" s="921">
        <v>5.0200000000000002E-2</v>
      </c>
      <c r="AA23" s="921">
        <v>1.7100000000000001E-2</v>
      </c>
      <c r="AB23" s="921">
        <v>4.2700000000000002E-2</v>
      </c>
      <c r="AC23" s="921">
        <v>3.1199999999999995E-2</v>
      </c>
      <c r="AD23" s="921">
        <v>8.3656324582338903E-2</v>
      </c>
      <c r="AE23" s="921">
        <v>0.12507731481481482</v>
      </c>
      <c r="AF23" s="921">
        <v>9.0501597444089463E-2</v>
      </c>
      <c r="AG23" s="921">
        <v>7.2964200000000007E-2</v>
      </c>
      <c r="AH23" s="921">
        <v>6.4314200000000002E-2</v>
      </c>
      <c r="AM23" s="921"/>
      <c r="AN23" s="921">
        <v>7.132292926898931E-2</v>
      </c>
    </row>
    <row r="24" spans="1:40" x14ac:dyDescent="0.2">
      <c r="A24" s="585" t="s">
        <v>608</v>
      </c>
      <c r="B24" s="920">
        <v>559</v>
      </c>
      <c r="C24" s="920">
        <v>359.03590000000003</v>
      </c>
      <c r="D24" s="920">
        <v>499.95000000000005</v>
      </c>
      <c r="E24" s="920">
        <v>500</v>
      </c>
      <c r="F24" s="920">
        <v>499.00000000000006</v>
      </c>
      <c r="G24" s="920">
        <v>419</v>
      </c>
      <c r="H24" s="920">
        <v>215.99999999999997</v>
      </c>
      <c r="I24" s="920">
        <v>312.99999999999994</v>
      </c>
      <c r="J24" s="920">
        <v>448.00004480000001</v>
      </c>
      <c r="K24" s="920">
        <v>323.00003229999999</v>
      </c>
      <c r="L24" s="920">
        <v>285.99994279999993</v>
      </c>
      <c r="M24" s="920">
        <f>SUM(M16:M23)</f>
        <v>465</v>
      </c>
      <c r="N24" s="920">
        <f t="shared" ref="N24:O24" si="9">SUM(N16:N23)</f>
        <v>294.99997049999996</v>
      </c>
      <c r="O24" s="920">
        <f t="shared" si="9"/>
        <v>496</v>
      </c>
      <c r="P24" s="920"/>
      <c r="Q24" s="922">
        <f t="shared" si="8"/>
        <v>405.57042074285715</v>
      </c>
      <c r="V24" s="585" t="s">
        <v>619</v>
      </c>
      <c r="W24" s="921">
        <v>3.9921465968586388E-2</v>
      </c>
      <c r="X24" s="921">
        <v>1.4588538728137342E-2</v>
      </c>
      <c r="Y24" s="921">
        <v>2.5796250282358255E-2</v>
      </c>
      <c r="Z24" s="921">
        <v>3.2899999999999999E-2</v>
      </c>
      <c r="AA24" s="921">
        <v>2.5499999999999998E-2</v>
      </c>
      <c r="AB24" s="921">
        <v>4.24E-2</v>
      </c>
      <c r="AC24" s="921">
        <v>3.4200000000000001E-2</v>
      </c>
      <c r="AD24" s="921">
        <v>3.1503341288782814E-2</v>
      </c>
      <c r="AE24" s="921">
        <v>7.5125925925925929E-2</v>
      </c>
      <c r="AF24" s="921">
        <v>3.4513738019169328E-2</v>
      </c>
      <c r="AG24" s="921">
        <v>1.5432500000000004E-2</v>
      </c>
      <c r="AH24" s="921">
        <v>1.6733600000000001E-2</v>
      </c>
      <c r="AM24" s="921"/>
      <c r="AN24" s="921">
        <v>3.2384613351080012E-2</v>
      </c>
    </row>
    <row r="25" spans="1:40" x14ac:dyDescent="0.2">
      <c r="A25" s="915" t="s">
        <v>610</v>
      </c>
      <c r="B25" s="923">
        <f t="shared" ref="B25:L25" si="10">SUM(B21:B22)</f>
        <v>102.8001</v>
      </c>
      <c r="C25" s="923">
        <f t="shared" si="10"/>
        <v>21.827199999999998</v>
      </c>
      <c r="D25" s="923">
        <f t="shared" si="10"/>
        <v>11.9</v>
      </c>
      <c r="E25" s="923">
        <f t="shared" si="10"/>
        <v>26.6</v>
      </c>
      <c r="F25" s="923">
        <f t="shared" si="10"/>
        <v>64.420900000000003</v>
      </c>
      <c r="G25" s="923">
        <f t="shared" si="10"/>
        <v>68.359700000000004</v>
      </c>
      <c r="H25" s="923">
        <f t="shared" si="10"/>
        <v>47.087800000000001</v>
      </c>
      <c r="I25" s="923">
        <f t="shared" si="10"/>
        <v>57.234899999999996</v>
      </c>
      <c r="J25" s="923">
        <f t="shared" si="10"/>
        <v>87.069427199999993</v>
      </c>
      <c r="K25" s="923">
        <f t="shared" si="10"/>
        <v>63.033643800000007</v>
      </c>
      <c r="L25" s="923">
        <f t="shared" si="10"/>
        <v>28.615515600000002</v>
      </c>
      <c r="M25" s="923">
        <f>SUM(M21:M22)</f>
        <v>69.5242425</v>
      </c>
      <c r="N25" s="923">
        <f t="shared" ref="N25:O25" si="11">SUM(N21:N22)</f>
        <v>55.096795999999998</v>
      </c>
      <c r="O25" s="923">
        <f t="shared" si="11"/>
        <v>80</v>
      </c>
      <c r="P25" s="923"/>
      <c r="Q25" s="923">
        <f t="shared" si="8"/>
        <v>55.969301792857152</v>
      </c>
      <c r="W25" s="921"/>
      <c r="X25" s="921"/>
      <c r="Y25" s="921"/>
      <c r="Z25" s="921"/>
      <c r="AA25" s="921"/>
      <c r="AB25" s="921"/>
      <c r="AC25" s="921"/>
      <c r="AD25" s="921"/>
      <c r="AE25" s="921"/>
      <c r="AF25" s="921"/>
      <c r="AG25" s="921"/>
      <c r="AH25" s="921"/>
      <c r="AM25" s="921"/>
      <c r="AN25" s="921"/>
    </row>
    <row r="26" spans="1:40" x14ac:dyDescent="0.2">
      <c r="V26" s="585" t="s">
        <v>43</v>
      </c>
      <c r="W26" s="921">
        <v>1.0000000000000002</v>
      </c>
      <c r="X26" s="921">
        <v>1</v>
      </c>
      <c r="Y26" s="921">
        <v>1</v>
      </c>
      <c r="Z26" s="921">
        <v>1.0001000000000002</v>
      </c>
      <c r="AA26" s="921">
        <v>0.9998999999999999</v>
      </c>
      <c r="AB26" s="921">
        <v>1</v>
      </c>
      <c r="AC26" s="921">
        <v>1</v>
      </c>
      <c r="AD26" s="921">
        <v>1</v>
      </c>
      <c r="AE26" s="921">
        <v>1</v>
      </c>
      <c r="AF26" s="921">
        <v>1</v>
      </c>
      <c r="AG26" s="921">
        <v>1.0000001000000001</v>
      </c>
      <c r="AH26" s="921">
        <v>1.0000000999999998</v>
      </c>
      <c r="AM26" s="921"/>
      <c r="AN26" s="921">
        <v>1.0000000166666667</v>
      </c>
    </row>
    <row r="27" spans="1:40" x14ac:dyDescent="0.2">
      <c r="A27" s="585" t="s">
        <v>620</v>
      </c>
      <c r="B27" s="585" t="s">
        <v>36</v>
      </c>
      <c r="V27" s="585" t="s">
        <v>610</v>
      </c>
      <c r="W27" s="921">
        <v>8.6030461684911949E-2</v>
      </c>
      <c r="X27" s="921">
        <v>0.21878778109131941</v>
      </c>
      <c r="Y27" s="921">
        <v>0.18391687372938786</v>
      </c>
      <c r="Z27" s="921">
        <v>6.08E-2</v>
      </c>
      <c r="AA27" s="921">
        <v>2.3800000000000002E-2</v>
      </c>
      <c r="AB27" s="921">
        <v>5.3200000000000004E-2</v>
      </c>
      <c r="AC27" s="921">
        <v>0.12910000000000002</v>
      </c>
      <c r="AD27" s="921">
        <v>0.16314964200477328</v>
      </c>
      <c r="AE27" s="921">
        <v>0.2179990740740741</v>
      </c>
      <c r="AF27" s="921">
        <v>0.1828591054313099</v>
      </c>
      <c r="AG27" s="921">
        <v>0.19435140000000001</v>
      </c>
      <c r="AH27" s="921">
        <v>0.19515060000000001</v>
      </c>
      <c r="AM27" s="921"/>
      <c r="AN27" s="921">
        <v>0.14242874483464804</v>
      </c>
    </row>
    <row r="28" spans="1:40" x14ac:dyDescent="0.2">
      <c r="A28" s="585" t="s">
        <v>598</v>
      </c>
      <c r="B28" s="585">
        <v>2007</v>
      </c>
      <c r="C28" s="585">
        <v>2010</v>
      </c>
      <c r="D28" s="585">
        <v>2011</v>
      </c>
      <c r="E28" s="585">
        <v>2012</v>
      </c>
      <c r="F28" s="585">
        <v>2013</v>
      </c>
      <c r="G28" s="585">
        <v>2014</v>
      </c>
      <c r="H28" s="585">
        <v>2017</v>
      </c>
      <c r="I28" s="585">
        <v>2018</v>
      </c>
      <c r="J28" s="585">
        <v>2019</v>
      </c>
      <c r="K28" s="585">
        <v>2020</v>
      </c>
      <c r="L28" s="585">
        <v>2021</v>
      </c>
      <c r="M28" s="585">
        <v>2022</v>
      </c>
      <c r="N28" s="585">
        <f>N15</f>
        <v>2023</v>
      </c>
      <c r="Q28" s="924" t="s">
        <v>150</v>
      </c>
      <c r="S28" s="585" t="s">
        <v>621</v>
      </c>
      <c r="V28" s="585" t="s">
        <v>622</v>
      </c>
      <c r="W28" s="921">
        <v>0.12595192765349833</v>
      </c>
      <c r="X28" s="921">
        <v>0.23337631981945675</v>
      </c>
      <c r="Y28" s="921">
        <v>0.20971312401174613</v>
      </c>
      <c r="Z28" s="921">
        <v>9.3700000000000006E-2</v>
      </c>
      <c r="AA28" s="921">
        <v>4.9299999999999997E-2</v>
      </c>
      <c r="AB28" s="921">
        <v>9.5600000000000004E-2</v>
      </c>
      <c r="AC28" s="921">
        <v>0.16330000000000003</v>
      </c>
      <c r="AD28" s="921">
        <v>0.1946529832935561</v>
      </c>
      <c r="AE28" s="921">
        <v>0.29312500000000002</v>
      </c>
      <c r="AF28" s="921">
        <v>0.21737284345047922</v>
      </c>
      <c r="AG28" s="921">
        <v>0.20978390000000002</v>
      </c>
      <c r="AH28" s="921">
        <v>0.21188420000000002</v>
      </c>
      <c r="AM28" s="921">
        <v>0</v>
      </c>
      <c r="AN28" s="921">
        <v>0.16136617678682591</v>
      </c>
    </row>
    <row r="29" spans="1:40" x14ac:dyDescent="0.2">
      <c r="A29" s="585" t="s">
        <v>600</v>
      </c>
      <c r="B29" s="908"/>
      <c r="C29" s="908"/>
      <c r="D29" s="908"/>
      <c r="E29" s="908"/>
      <c r="F29" s="908"/>
      <c r="G29" s="908">
        <v>2.9399759564089196</v>
      </c>
      <c r="H29" s="908">
        <v>4.6993961671191116</v>
      </c>
      <c r="I29" s="908">
        <v>3.4947293850808676</v>
      </c>
      <c r="J29" s="908">
        <v>2.0429300000000001</v>
      </c>
      <c r="K29" s="908">
        <v>2.5947900000000002</v>
      </c>
      <c r="L29" s="908">
        <v>2.8189099999999998</v>
      </c>
      <c r="M29" s="908">
        <v>3.4018099999999998</v>
      </c>
      <c r="N29" s="908"/>
      <c r="O29" s="908"/>
      <c r="P29" s="908"/>
      <c r="Q29" s="908">
        <f t="shared" ref="Q29:Q38" si="12">AVERAGE(B29:P29)</f>
        <v>3.1417916440869855</v>
      </c>
    </row>
    <row r="30" spans="1:40" x14ac:dyDescent="0.2">
      <c r="A30" s="585" t="s">
        <v>601</v>
      </c>
      <c r="B30" s="908"/>
      <c r="C30" s="908"/>
      <c r="D30" s="908"/>
      <c r="E30" s="908"/>
      <c r="F30" s="908"/>
      <c r="G30" s="908">
        <v>2.8730836598629663</v>
      </c>
      <c r="H30" s="908">
        <v>3.2626819477922933</v>
      </c>
      <c r="I30" s="908">
        <v>2.8040274853527496</v>
      </c>
      <c r="J30" s="908">
        <v>1.9517599999999999</v>
      </c>
      <c r="K30" s="908">
        <v>2.4855299999999998</v>
      </c>
      <c r="L30" s="908">
        <v>3.1653199999999999</v>
      </c>
      <c r="M30" s="908">
        <v>3.5395699999999999</v>
      </c>
      <c r="N30" s="908"/>
      <c r="O30" s="908"/>
      <c r="P30" s="908"/>
      <c r="Q30" s="908">
        <f t="shared" si="12"/>
        <v>2.8688532990011448</v>
      </c>
    </row>
    <row r="31" spans="1:40" x14ac:dyDescent="0.2">
      <c r="A31" s="585" t="s">
        <v>602</v>
      </c>
      <c r="B31" s="908"/>
      <c r="C31" s="908"/>
      <c r="D31" s="908"/>
      <c r="E31" s="908"/>
      <c r="F31" s="908"/>
      <c r="G31" s="908">
        <v>4.2926191397889921</v>
      </c>
      <c r="H31" s="908">
        <v>10.992289582328116</v>
      </c>
      <c r="I31" s="908">
        <v>8.5344577273725513</v>
      </c>
      <c r="J31" s="908">
        <v>3.41289</v>
      </c>
      <c r="K31" s="908">
        <v>3.4326099999999999</v>
      </c>
      <c r="L31" s="908">
        <v>3.9005200000000002</v>
      </c>
      <c r="M31" s="908">
        <v>3.4129999999999998</v>
      </c>
      <c r="N31" s="908"/>
      <c r="O31" s="908"/>
      <c r="P31" s="908"/>
      <c r="Q31" s="908">
        <f t="shared" si="12"/>
        <v>5.4254837784985233</v>
      </c>
    </row>
    <row r="32" spans="1:40" x14ac:dyDescent="0.2">
      <c r="A32" s="585" t="s">
        <v>603</v>
      </c>
      <c r="B32" s="908"/>
      <c r="C32" s="908"/>
      <c r="D32" s="908"/>
      <c r="E32" s="908"/>
      <c r="F32" s="908"/>
      <c r="G32" s="908">
        <v>2.093414064666725</v>
      </c>
      <c r="H32" s="908">
        <v>2.6687949082359568</v>
      </c>
      <c r="I32" s="908">
        <v>1.7426241566657841</v>
      </c>
      <c r="J32" s="908">
        <v>1.59528</v>
      </c>
      <c r="K32" s="908">
        <v>2.1071599999999999</v>
      </c>
      <c r="L32" s="908">
        <v>1.9871799999999999</v>
      </c>
      <c r="M32" s="908">
        <v>1.72305</v>
      </c>
      <c r="N32" s="908"/>
      <c r="O32" s="908"/>
      <c r="P32" s="908"/>
      <c r="Q32" s="908">
        <f t="shared" si="12"/>
        <v>1.9882147327954953</v>
      </c>
    </row>
    <row r="33" spans="1:17" x14ac:dyDescent="0.2">
      <c r="A33" s="585" t="s">
        <v>604</v>
      </c>
      <c r="B33" s="908"/>
      <c r="C33" s="908"/>
      <c r="D33" s="908"/>
      <c r="E33" s="908"/>
      <c r="F33" s="908"/>
      <c r="G33" s="908">
        <v>7.4501602711397954</v>
      </c>
      <c r="H33" s="908">
        <v>8.3978920358184297</v>
      </c>
      <c r="I33" s="908">
        <v>8.5494461941810656</v>
      </c>
      <c r="J33" s="908">
        <v>5.1956699999999998</v>
      </c>
      <c r="K33" s="908">
        <v>4.8181700000000003</v>
      </c>
      <c r="L33" s="908">
        <v>5.7793200000000002</v>
      </c>
      <c r="M33" s="908">
        <v>5.9087499999999995</v>
      </c>
      <c r="N33" s="908"/>
      <c r="O33" s="908"/>
      <c r="P33" s="908"/>
      <c r="Q33" s="908">
        <f t="shared" si="12"/>
        <v>6.5856297858770407</v>
      </c>
    </row>
    <row r="34" spans="1:17" x14ac:dyDescent="0.2">
      <c r="A34" s="585" t="s">
        <v>605</v>
      </c>
      <c r="B34" s="908"/>
      <c r="C34" s="908"/>
      <c r="D34" s="908"/>
      <c r="E34" s="908"/>
      <c r="F34" s="908"/>
      <c r="G34" s="908">
        <v>2.0944157978188902</v>
      </c>
      <c r="H34" s="908">
        <v>4.0040788278735961</v>
      </c>
      <c r="I34" s="908">
        <v>2.5961633926885828</v>
      </c>
      <c r="J34" s="908">
        <v>1.7746900000000001</v>
      </c>
      <c r="K34" s="908">
        <v>2.1246100000000001</v>
      </c>
      <c r="L34" s="908">
        <v>1.67042</v>
      </c>
      <c r="M34" s="908">
        <v>2.3359000000000001</v>
      </c>
      <c r="N34" s="908"/>
      <c r="O34" s="908"/>
      <c r="P34" s="908"/>
      <c r="Q34" s="908">
        <f t="shared" si="12"/>
        <v>2.3714682883401528</v>
      </c>
    </row>
    <row r="35" spans="1:17" x14ac:dyDescent="0.2">
      <c r="A35" s="585" t="s">
        <v>606</v>
      </c>
      <c r="B35" s="908"/>
      <c r="C35" s="908"/>
      <c r="D35" s="908"/>
      <c r="E35" s="908"/>
      <c r="F35" s="908"/>
      <c r="G35" s="908">
        <v>1.4546370520838923</v>
      </c>
      <c r="H35" s="908">
        <v>2.4048811062739621</v>
      </c>
      <c r="I35" s="908">
        <v>1.7934090954153055</v>
      </c>
      <c r="J35" s="908">
        <v>1.29227</v>
      </c>
      <c r="K35" s="908">
        <v>1.4095299999999999</v>
      </c>
      <c r="L35" s="908">
        <v>1.0836300000000001</v>
      </c>
      <c r="M35" s="908">
        <v>1.5182500000000001</v>
      </c>
      <c r="N35" s="908"/>
      <c r="O35" s="908"/>
      <c r="P35" s="908"/>
      <c r="Q35" s="908">
        <f t="shared" si="12"/>
        <v>1.5652296076818799</v>
      </c>
    </row>
    <row r="36" spans="1:17" x14ac:dyDescent="0.2">
      <c r="A36" s="585" t="s">
        <v>607</v>
      </c>
      <c r="B36" s="908"/>
      <c r="C36" s="908"/>
      <c r="D36" s="908"/>
      <c r="E36" s="908"/>
      <c r="F36" s="908"/>
      <c r="G36" s="908">
        <v>1.3522911149565071</v>
      </c>
      <c r="H36" s="908">
        <v>2.4609497414387844</v>
      </c>
      <c r="I36" s="908">
        <v>1.4184482928492628</v>
      </c>
      <c r="J36" s="908">
        <v>0.90964</v>
      </c>
      <c r="K36" s="908">
        <v>1.2950299999999999</v>
      </c>
      <c r="L36" s="908">
        <v>0.90920999999999996</v>
      </c>
      <c r="M36" s="908">
        <v>1.7298900000000001</v>
      </c>
      <c r="N36" s="908"/>
      <c r="O36" s="908"/>
      <c r="P36" s="908"/>
      <c r="Q36" s="908">
        <f t="shared" si="12"/>
        <v>1.4393513070349364</v>
      </c>
    </row>
    <row r="37" spans="1:17" x14ac:dyDescent="0.2">
      <c r="A37" s="585" t="s">
        <v>608</v>
      </c>
      <c r="B37" s="908"/>
      <c r="C37" s="908"/>
      <c r="D37" s="908"/>
      <c r="E37" s="908"/>
      <c r="F37" s="908"/>
      <c r="G37" s="908">
        <v>24.550597056726691</v>
      </c>
      <c r="H37" s="908">
        <v>38.890964316880243</v>
      </c>
      <c r="I37" s="908">
        <v>30.933305729606168</v>
      </c>
      <c r="J37" s="908">
        <v>18.175129999999999</v>
      </c>
      <c r="K37" s="908">
        <v>20.267430000000001</v>
      </c>
      <c r="L37" s="908">
        <v>21.314510000000002</v>
      </c>
      <c r="M37" s="908">
        <v>23.570219999999996</v>
      </c>
      <c r="N37" s="908"/>
      <c r="O37" s="908"/>
      <c r="P37" s="908"/>
      <c r="Q37" s="911">
        <f t="shared" si="12"/>
        <v>25.386022443316158</v>
      </c>
    </row>
    <row r="38" spans="1:17" x14ac:dyDescent="0.2">
      <c r="A38" s="910" t="s">
        <v>610</v>
      </c>
      <c r="B38" s="910">
        <v>0</v>
      </c>
      <c r="C38" s="910">
        <v>0</v>
      </c>
      <c r="D38" s="910">
        <v>0</v>
      </c>
      <c r="E38" s="910">
        <v>0</v>
      </c>
      <c r="F38" s="910">
        <v>0</v>
      </c>
      <c r="G38" s="910">
        <v>3.5490528499027825</v>
      </c>
      <c r="H38" s="910">
        <v>6.4089599341475587</v>
      </c>
      <c r="I38" s="910">
        <v>4.3895724881038882</v>
      </c>
      <c r="J38" s="910">
        <v>3.0669599999999999</v>
      </c>
      <c r="K38" s="910">
        <v>3.5341399999999998</v>
      </c>
      <c r="L38" s="910">
        <v>2.7540500000000003</v>
      </c>
      <c r="M38" s="910">
        <v>3.8541500000000002</v>
      </c>
      <c r="N38" s="910"/>
      <c r="O38" s="910"/>
      <c r="P38" s="910"/>
      <c r="Q38" s="910">
        <f t="shared" si="12"/>
        <v>2.2964071060128526</v>
      </c>
    </row>
    <row r="40" spans="1:17" x14ac:dyDescent="0.2">
      <c r="A40" s="585" t="s">
        <v>623</v>
      </c>
    </row>
    <row r="41" spans="1:17" x14ac:dyDescent="0.2">
      <c r="A41" s="585" t="s">
        <v>600</v>
      </c>
      <c r="L41" s="907">
        <v>16.049040000000002</v>
      </c>
      <c r="M41" s="907">
        <v>21.583649999999999</v>
      </c>
      <c r="N41" s="907">
        <v>22.510649999999998</v>
      </c>
      <c r="O41" s="907">
        <v>25</v>
      </c>
    </row>
    <row r="42" spans="1:17" x14ac:dyDescent="0.2">
      <c r="A42" s="585" t="s">
        <v>601</v>
      </c>
      <c r="L42" s="907">
        <v>23.019559999999998</v>
      </c>
      <c r="M42" s="907">
        <v>20.925599999999999</v>
      </c>
      <c r="N42" s="907">
        <v>12.252219999999999</v>
      </c>
      <c r="O42" s="907">
        <v>20.967741935483872</v>
      </c>
    </row>
    <row r="43" spans="1:17" x14ac:dyDescent="0.2">
      <c r="A43" s="585" t="s">
        <v>602</v>
      </c>
      <c r="L43" s="907">
        <v>11.289359999999999</v>
      </c>
      <c r="M43" s="907">
        <v>6.6603399999999997</v>
      </c>
      <c r="N43" s="907">
        <v>6.9375600000000004</v>
      </c>
      <c r="O43" s="907">
        <v>8.870967741935484</v>
      </c>
    </row>
    <row r="44" spans="1:17" x14ac:dyDescent="0.2">
      <c r="A44" s="585" t="s">
        <v>603</v>
      </c>
      <c r="L44" s="907">
        <v>8.3641000000000005</v>
      </c>
      <c r="M44" s="907">
        <v>3.88008</v>
      </c>
      <c r="N44" s="907">
        <v>2.69042</v>
      </c>
      <c r="O44" s="907">
        <v>8.4677419354838701</v>
      </c>
    </row>
    <row r="45" spans="1:17" x14ac:dyDescent="0.2">
      <c r="A45" s="585" t="s">
        <v>604</v>
      </c>
      <c r="L45" s="907">
        <v>32.691990000000004</v>
      </c>
      <c r="M45" s="907">
        <v>29.689990000000002</v>
      </c>
      <c r="N45" s="907">
        <v>35.217650000000006</v>
      </c>
      <c r="O45" s="907">
        <v>19.758064516129032</v>
      </c>
    </row>
    <row r="46" spans="1:17" x14ac:dyDescent="0.2">
      <c r="A46" s="585" t="s">
        <v>605</v>
      </c>
      <c r="L46" s="907">
        <v>4.8894500000000001</v>
      </c>
      <c r="M46" s="907">
        <v>9.2927099999999996</v>
      </c>
      <c r="N46" s="907">
        <v>13.85529</v>
      </c>
      <c r="O46" s="907">
        <v>10.080645161290322</v>
      </c>
    </row>
    <row r="47" spans="1:17" x14ac:dyDescent="0.2">
      <c r="A47" s="585" t="s">
        <v>606</v>
      </c>
      <c r="L47" s="907">
        <v>2.78227</v>
      </c>
      <c r="M47" s="907">
        <v>5.6587399999999999</v>
      </c>
      <c r="N47" s="907">
        <v>4.8215899999999996</v>
      </c>
      <c r="O47" s="907">
        <v>6.0483870967741939</v>
      </c>
    </row>
    <row r="48" spans="1:17" x14ac:dyDescent="0.2">
      <c r="A48" s="585" t="s">
        <v>607</v>
      </c>
      <c r="L48" s="907">
        <v>0.91421000000000008</v>
      </c>
      <c r="M48" s="907">
        <v>2.3088899999999999</v>
      </c>
      <c r="N48" s="907">
        <v>1.7146100000000002</v>
      </c>
      <c r="O48" s="907">
        <v>0.80645161290322576</v>
      </c>
    </row>
    <row r="53" spans="1:15" x14ac:dyDescent="0.2">
      <c r="A53" s="585" t="str">
        <f>A41</f>
        <v>DAMDOCHAX</v>
      </c>
      <c r="L53" s="907">
        <f>L3-L41</f>
        <v>0</v>
      </c>
      <c r="M53" s="907">
        <f t="shared" ref="M53:O53" si="13">M3-M41</f>
        <v>0</v>
      </c>
      <c r="N53" s="907">
        <f t="shared" si="13"/>
        <v>0</v>
      </c>
      <c r="O53" s="907">
        <f t="shared" si="13"/>
        <v>0</v>
      </c>
    </row>
    <row r="54" spans="1:15" x14ac:dyDescent="0.2">
      <c r="A54" s="585" t="str">
        <f t="shared" ref="A54:A60" si="14">A42</f>
        <v>KWINAGEESE</v>
      </c>
      <c r="L54" s="907">
        <f t="shared" ref="L54:O60" si="15">L4-L42</f>
        <v>0</v>
      </c>
      <c r="M54" s="907">
        <f t="shared" si="15"/>
        <v>0</v>
      </c>
      <c r="N54" s="907">
        <f t="shared" si="15"/>
        <v>0</v>
      </c>
      <c r="O54" s="907">
        <f t="shared" si="15"/>
        <v>0</v>
      </c>
    </row>
    <row r="55" spans="1:15" x14ac:dyDescent="0.2">
      <c r="A55" s="585" t="str">
        <f t="shared" si="14"/>
        <v>BELL-RIVER</v>
      </c>
      <c r="L55" s="907">
        <f t="shared" si="15"/>
        <v>0</v>
      </c>
      <c r="M55" s="907">
        <f t="shared" si="15"/>
        <v>0</v>
      </c>
      <c r="N55" s="907">
        <f t="shared" si="15"/>
        <v>0</v>
      </c>
      <c r="O55" s="907">
        <f t="shared" si="15"/>
        <v>0</v>
      </c>
    </row>
    <row r="56" spans="1:15" x14ac:dyDescent="0.2">
      <c r="A56" s="585" t="str">
        <f t="shared" si="14"/>
        <v>MEZIADIN</v>
      </c>
      <c r="L56" s="907">
        <f t="shared" si="15"/>
        <v>0</v>
      </c>
      <c r="M56" s="907">
        <f t="shared" si="15"/>
        <v>0</v>
      </c>
      <c r="N56" s="907">
        <f t="shared" si="15"/>
        <v>0</v>
      </c>
      <c r="O56" s="907">
        <f t="shared" si="15"/>
        <v>0</v>
      </c>
    </row>
    <row r="57" spans="1:15" x14ac:dyDescent="0.2">
      <c r="A57" s="585" t="str">
        <f t="shared" si="14"/>
        <v>CRAN-KITEEN</v>
      </c>
      <c r="L57" s="907">
        <f t="shared" si="15"/>
        <v>0</v>
      </c>
      <c r="M57" s="907">
        <f t="shared" si="15"/>
        <v>0</v>
      </c>
      <c r="N57" s="907">
        <f t="shared" si="15"/>
        <v>0</v>
      </c>
      <c r="O57" s="907">
        <f t="shared" si="15"/>
        <v>0</v>
      </c>
    </row>
    <row r="58" spans="1:15" x14ac:dyDescent="0.2">
      <c r="A58" s="585" t="str">
        <f t="shared" si="14"/>
        <v>SEASKINNISH</v>
      </c>
      <c r="L58" s="907">
        <f t="shared" si="15"/>
        <v>0</v>
      </c>
      <c r="M58" s="907">
        <f t="shared" si="15"/>
        <v>0</v>
      </c>
      <c r="N58" s="907">
        <f t="shared" si="15"/>
        <v>0</v>
      </c>
      <c r="O58" s="907">
        <f t="shared" si="15"/>
        <v>0</v>
      </c>
    </row>
    <row r="59" spans="1:15" x14ac:dyDescent="0.2">
      <c r="A59" s="585" t="str">
        <f t="shared" si="14"/>
        <v>TSEAX</v>
      </c>
      <c r="L59" s="907">
        <f t="shared" si="15"/>
        <v>0</v>
      </c>
      <c r="M59" s="907">
        <f t="shared" si="15"/>
        <v>0</v>
      </c>
      <c r="N59" s="907">
        <f t="shared" si="15"/>
        <v>0</v>
      </c>
      <c r="O59" s="907">
        <f t="shared" si="15"/>
        <v>0</v>
      </c>
    </row>
    <row r="60" spans="1:15" x14ac:dyDescent="0.2">
      <c r="A60" s="585" t="str">
        <f t="shared" si="14"/>
        <v>LOWER</v>
      </c>
      <c r="L60" s="907">
        <f t="shared" si="15"/>
        <v>0</v>
      </c>
      <c r="M60" s="907">
        <f t="shared" si="15"/>
        <v>0</v>
      </c>
      <c r="N60" s="907">
        <f t="shared" si="15"/>
        <v>0</v>
      </c>
      <c r="O60" s="907">
        <f t="shared" si="15"/>
        <v>0</v>
      </c>
    </row>
  </sheetData>
  <pageMargins left="0.7" right="0.7" top="0.75" bottom="0.75" header="0.3" footer="0.3"/>
  <pageSetup orientation="portrait" horizontalDpi="0" verticalDpi="0" r:id="rId1"/>
  <headerFooter>
    <oddHeader>&amp;R&amp;"Calibri"&amp;12&amp;K000000 Unclassified - Non-Classifié&amp;1#_x000D_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115981BE26BE04FBDE10A7B8B72EED1" ma:contentTypeVersion="20" ma:contentTypeDescription="Create a new document." ma:contentTypeScope="" ma:versionID="0bfbd0563bbe61b48f252420e46fd996">
  <xsd:schema xmlns:xsd="http://www.w3.org/2001/XMLSchema" xmlns:xs="http://www.w3.org/2001/XMLSchema" xmlns:p="http://schemas.microsoft.com/office/2006/metadata/properties" xmlns:ns2="b7b34635-da99-4859-a7b8-657d7c8706a9" xmlns:ns3="577581c0-142c-4309-8937-6da53fa522c3" targetNamespace="http://schemas.microsoft.com/office/2006/metadata/properties" ma:root="true" ma:fieldsID="f9649b73e94be9e979f128cdcdd8627e" ns2:_="" ns3:_="">
    <xsd:import namespace="b7b34635-da99-4859-a7b8-657d7c8706a9"/>
    <xsd:import namespace="577581c0-142c-4309-8937-6da53fa522c3"/>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Location" minOccurs="0"/>
                <xsd:element ref="ns2:MediaServiceGenerationTime" minOccurs="0"/>
                <xsd:element ref="ns2:MediaServiceEventHashCode" minOccurs="0"/>
                <xsd:element ref="ns2:MediaServiceAutoKeyPoints" minOccurs="0"/>
                <xsd:element ref="ns2:MediaServiceKeyPoints" minOccurs="0"/>
                <xsd:element ref="ns2:MediaServiceOCR"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element ref="ns2: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7b34635-da99-4859-a7b8-657d7c8706a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Location" ma:index="12" nillable="true" ma:displayName="Location"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9b3b8d1e-b08e-4408-9c8e-f23d8af09e2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element name="Date" ma:index="27" nillable="true" ma:displayName="Date" ma:format="DateOnly" ma:internalName="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577581c0-142c-4309-8937-6da53fa522c3"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262e9f65-8f48-40bc-9e46-a70bbaa08e45}" ma:internalName="TaxCatchAll" ma:showField="CatchAllData" ma:web="577581c0-142c-4309-8937-6da53fa522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7b34635-da99-4859-a7b8-657d7c8706a9">
      <Terms xmlns="http://schemas.microsoft.com/office/infopath/2007/PartnerControls"/>
    </lcf76f155ced4ddcb4097134ff3c332f>
    <Date xmlns="b7b34635-da99-4859-a7b8-657d7c8706a9" xsi:nil="true"/>
    <TaxCatchAll xmlns="577581c0-142c-4309-8937-6da53fa522c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B76D7AA-BEB8-4A3C-B9CD-E3A53F121FE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7b34635-da99-4859-a7b8-657d7c8706a9"/>
    <ds:schemaRef ds:uri="577581c0-142c-4309-8937-6da53fa522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0110219-C6FE-4DB8-B9B9-9CF49EB5B769}">
  <ds:schemaRefs>
    <ds:schemaRef ds:uri="http://schemas.microsoft.com/office/2006/metadata/properties"/>
    <ds:schemaRef ds:uri="http://schemas.microsoft.com/office/infopath/2007/PartnerControls"/>
    <ds:schemaRef ds:uri="b7b34635-da99-4859-a7b8-657d7c8706a9"/>
    <ds:schemaRef ds:uri="577581c0-142c-4309-8937-6da53fa522c3"/>
  </ds:schemaRefs>
</ds:datastoreItem>
</file>

<file path=customXml/itemProps3.xml><?xml version="1.0" encoding="utf-8"?>
<ds:datastoreItem xmlns:ds="http://schemas.openxmlformats.org/officeDocument/2006/customXml" ds:itemID="{D4F3A4C4-ED67-407E-B6C2-581559615F6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8</vt:i4>
      </vt:variant>
    </vt:vector>
  </HeadingPairs>
  <TitlesOfParts>
    <vt:vector size="25" baseType="lpstr">
      <vt:lpstr>For Brendan</vt:lpstr>
      <vt:lpstr>A6-Chin (NEW2)</vt:lpstr>
      <vt:lpstr>A6-Chin (NEW2+Khutz)</vt:lpstr>
      <vt:lpstr>A6a-Chin (Upper&amp;MidCU)</vt:lpstr>
      <vt:lpstr>A6b-Chin (LN&amp;CoastalCU)</vt:lpstr>
      <vt:lpstr>Data-Nisga'a Angling</vt:lpstr>
      <vt:lpstr>Data-PSC Chin (10Feb26)</vt:lpstr>
      <vt:lpstr>Bayesian Sum (10Feb26)</vt:lpstr>
      <vt:lpstr>Bayesian SD Ests (10Feb26rev)</vt:lpstr>
      <vt:lpstr>Data-Coastal-Chin-Esc (new)</vt:lpstr>
      <vt:lpstr>Data25_Table4 index method</vt:lpstr>
      <vt:lpstr>Data-Sport-Inriver (CH - new)</vt:lpstr>
      <vt:lpstr>Data-Chin-Nisga'a</vt:lpstr>
      <vt:lpstr>A3.1a_CF-Tidal (Chin)</vt:lpstr>
      <vt:lpstr>A3.1b CF-tidal-Harvests (Chin)</vt:lpstr>
      <vt:lpstr>A3.2a_CF-Tidal (Ch-rel)</vt:lpstr>
      <vt:lpstr>Data-CH_DNA 24</vt:lpstr>
      <vt:lpstr>'Data-PSC Chin (10Feb26)'!_Ref271185703</vt:lpstr>
      <vt:lpstr>'A3.1a_CF-Tidal (Chin)'!Print_Area</vt:lpstr>
      <vt:lpstr>'A3.2a_CF-Tidal (Ch-rel)'!Print_Area</vt:lpstr>
      <vt:lpstr>'A6a-Chin (Upper&amp;MidCU)'!Print_Area</vt:lpstr>
      <vt:lpstr>'A6b-Chin (LN&amp;CoastalCU)'!Print_Area</vt:lpstr>
      <vt:lpstr>'A6-Chin (NEW2)'!Print_Area</vt:lpstr>
      <vt:lpstr>'A6-Chin (NEW2+Khutz)'!Print_Area</vt:lpstr>
      <vt:lpstr>'Data-Coastal-Chin-Esc (new)'!Print_Area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Richard Alexander</dc:creator>
  <cp:lastModifiedBy>Connors, Brendan (DFO/MPO)</cp:lastModifiedBy>
  <dcterms:created xsi:type="dcterms:W3CDTF">2026-02-11T10:46:36Z</dcterms:created>
  <dcterms:modified xsi:type="dcterms:W3CDTF">2026-02-17T16:52:17Z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0x0101007115981BE26BE04FBDE10A7B8B72EED1</vt:lpwstr>
  </property>
  <property fmtid="{D5CDD505-2E9C-101B-9397-08002B2CF9AE}" pid="3" name="MediaServiceImageTags">
    <vt:lpwstr/>
  </property>
  <property fmtid="{D5CDD505-2E9C-101B-9397-08002B2CF9AE}" pid="4" name="MSIP_Label_4e6cdb53-fd15-486d-84de-c510e3a62203_Enabled">
    <vt:lpwstr>true</vt:lpwstr>
  </property>
  <property fmtid="{D5CDD505-2E9C-101B-9397-08002B2CF9AE}" pid="5" name="MSIP_Label_4e6cdb53-fd15-486d-84de-c510e3a62203_SetDate">
    <vt:lpwstr>2026-02-17T16:52:17Z</vt:lpwstr>
  </property>
  <property fmtid="{D5CDD505-2E9C-101B-9397-08002B2CF9AE}" pid="6" name="MSIP_Label_4e6cdb53-fd15-486d-84de-c510e3a62203_Method">
    <vt:lpwstr>Standard</vt:lpwstr>
  </property>
  <property fmtid="{D5CDD505-2E9C-101B-9397-08002B2CF9AE}" pid="7" name="MSIP_Label_4e6cdb53-fd15-486d-84de-c510e3a62203_Name">
    <vt:lpwstr>UNCLASSIFIED - NON-CLASSIFIÉ</vt:lpwstr>
  </property>
  <property fmtid="{D5CDD505-2E9C-101B-9397-08002B2CF9AE}" pid="8" name="MSIP_Label_4e6cdb53-fd15-486d-84de-c510e3a62203_SiteId">
    <vt:lpwstr>1594fdae-a1d9-4405-915d-011467234338</vt:lpwstr>
  </property>
  <property fmtid="{D5CDD505-2E9C-101B-9397-08002B2CF9AE}" pid="9" name="MSIP_Label_4e6cdb53-fd15-486d-84de-c510e3a62203_ActionId">
    <vt:lpwstr>4224968f-b378-45cf-9d3e-3e0975eb4047</vt:lpwstr>
  </property>
  <property fmtid="{D5CDD505-2E9C-101B-9397-08002B2CF9AE}" pid="10" name="MSIP_Label_4e6cdb53-fd15-486d-84de-c510e3a62203_ContentBits">
    <vt:lpwstr>1</vt:lpwstr>
  </property>
  <property fmtid="{D5CDD505-2E9C-101B-9397-08002B2CF9AE}" pid="11" name="MSIP_Label_4e6cdb53-fd15-486d-84de-c510e3a62203_Tag">
    <vt:lpwstr>10, 3, 0, 1</vt:lpwstr>
  </property>
</Properties>
</file>